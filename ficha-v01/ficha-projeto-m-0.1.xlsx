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F4F1F7"/>
      <sz val="10"/>
    </font>
    <font>
      <name val="Roboto"/>
      <color rgb="FFE8DCD4"/>
      <sz val="10"/>
    </font>
    <font>
      <name val="Castoro"/>
      <color rgb="FFE8DCD4"/>
      <sz val="11"/>
    </font>
    <font>
      <name val="Roboto"/>
      <color rgb="FFE8DCD4"/>
      <sz val="9"/>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2" borderId="2" applyAlignment="1" pivotButton="0" quotePrefix="0" xfId="0">
      <alignment horizontal="left" vertical="top" wrapText="1"/>
    </xf>
    <xf numFmtId="0" fontId="42"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3" fillId="7" borderId="2" applyAlignment="1" pivotButton="0" quotePrefix="0" xfId="0">
      <alignment horizontal="left" vertical="center"/>
    </xf>
    <xf numFmtId="0" fontId="44" fillId="4" borderId="2" applyAlignment="1" pivotButton="0" quotePrefix="0" xfId="0">
      <alignment horizontal="center" vertical="center"/>
    </xf>
    <xf numFmtId="0" fontId="5" fillId="5" borderId="2" applyAlignment="1" pivotButton="0" quotePrefix="0" xfId="0">
      <alignment horizontal="center" vertical="center"/>
    </xf>
    <xf numFmtId="0" fontId="42"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42" fillId="7"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t>
      </text>
    </comment>
    <comment ref="J58" authorId="0" shapeId="0">
      <text>
        <t>Até duas. Restrição só paga peça: o que passar do que foi gasto some.</t>
      </text>
    </comment>
    <comment ref="P58" authorId="0" shapeId="0">
      <text>
        <t>Até duas. Restrição só paga peça: o que passar do que foi gasto some.</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t>
      </text>
    </comment>
    <comment ref="J326" authorId="0" shapeId="0">
      <text>
        <t>Até duas. Restrição só paga peça: o que passar do que foi gasto some.</t>
      </text>
    </comment>
    <comment ref="P326" authorId="0" shapeId="0">
      <text>
        <t>Até duas. Restrição só paga peça: o que passar do que foi gasto some.</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8" authorId="0" shapeId="0">
      <text>
        <t>Para a entrada Própria do menu, escreva aqui o texto dela, fechado com o mestre. Nas outras, é espaço para anotação.</t>
      </text>
    </comment>
    <comment ref="D505" authorId="0" shapeId="0">
      <text>
        <t>Metade da Essência, para baixo, na campanha inteira. Temporário, Promessa e de restrição não têm teto.</t>
      </text>
    </comment>
    <comment ref="P509"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3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4" t="n"/>
      <c r="I9" s="14" t="n"/>
      <c r="J9" s="14" t="n"/>
      <c r="K9" s="14" t="n"/>
      <c r="L9" s="14" t="n"/>
      <c r="M9" s="14" t="n"/>
      <c r="N9" s="14" t="n"/>
      <c r="O9" s="14" t="n"/>
      <c r="P9" s="14" t="n"/>
      <c r="Q9" s="14" t="n"/>
      <c r="R9" s="14" t="n"/>
      <c r="S9" s="14" t="n"/>
      <c r="T9" s="15" t="n"/>
      <c r="U9" s="115" t="n"/>
    </row>
    <row r="10">
      <c r="B10" s="17" t="n"/>
      <c r="C10" s="115" t="n"/>
      <c r="D10" s="18" t="n"/>
      <c r="E10" s="19" t="n"/>
      <c r="F10" s="19" t="n"/>
      <c r="G10" s="19" t="n"/>
      <c r="H10" s="19" t="n"/>
      <c r="I10" s="19"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19"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19" t="n"/>
      <c r="E20" s="14" t="n"/>
      <c r="F20" s="14" t="n"/>
      <c r="G20" s="14" t="n"/>
      <c r="H20" s="14" t="n"/>
      <c r="I20" s="14" t="n"/>
      <c r="J20" s="14" t="n"/>
      <c r="K20" s="15" t="n"/>
      <c r="L20" s="119"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19"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19" t="n"/>
      <c r="E27" s="14" t="n"/>
      <c r="F27" s="14" t="n"/>
      <c r="G27" s="14" t="n"/>
      <c r="H27" s="14" t="n"/>
      <c r="I27" s="14" t="n"/>
      <c r="J27" s="14" t="n"/>
      <c r="K27" s="14" t="n"/>
      <c r="L27" s="14" t="n"/>
      <c r="M27" s="14" t="n"/>
      <c r="N27" s="15" t="n"/>
      <c r="O27" s="115" t="n"/>
      <c r="P27" s="120" t="n"/>
      <c r="Q27" s="15" t="n"/>
      <c r="R27" s="120">
        <f>DADOS_AM!$HK$2</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0" t="inlineStr">
        <is>
          <t>Neutra</t>
        </is>
      </c>
      <c r="E31" s="120" t="inlineStr">
        <is>
          <t>Neutra</t>
        </is>
      </c>
      <c r="F31" s="120" t="inlineStr">
        <is>
          <t>Neutra</t>
        </is>
      </c>
      <c r="G31" s="120" t="inlineStr">
        <is>
          <t>Neutra</t>
        </is>
      </c>
      <c r="H31" s="12" t="n"/>
      <c r="I31" s="115" t="n"/>
      <c r="J31" s="120" t="inlineStr">
        <is>
          <t>Neutra</t>
        </is>
      </c>
      <c r="K31" s="120" t="inlineStr">
        <is>
          <t>Neutra</t>
        </is>
      </c>
      <c r="L31" s="120" t="inlineStr">
        <is>
          <t>Neutra</t>
        </is>
      </c>
      <c r="M31" s="120" t="inlineStr">
        <is>
          <t>Neutra</t>
        </is>
      </c>
      <c r="N31" s="12" t="n"/>
      <c r="O31" s="115" t="n"/>
      <c r="P31" s="120" t="inlineStr">
        <is>
          <t>Neutra</t>
        </is>
      </c>
      <c r="Q31" s="120">
        <f>DADOS_AM!$HK$3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4" t="n"/>
      <c r="I33" s="14" t="n"/>
      <c r="J33" s="14" t="n"/>
      <c r="K33" s="14" t="n"/>
      <c r="L33" s="14" t="n"/>
      <c r="M33" s="14" t="n"/>
      <c r="N33" s="14" t="n"/>
      <c r="O33" s="14" t="n"/>
      <c r="P33" s="14" t="n"/>
      <c r="Q33" s="14" t="n"/>
      <c r="R33" s="14" t="n"/>
      <c r="S33" s="14" t="n"/>
      <c r="T33" s="15" t="n"/>
      <c r="U33" s="115" t="n"/>
    </row>
    <row r="34">
      <c r="B34" s="17" t="n"/>
      <c r="C34" s="115" t="n"/>
      <c r="D34" s="18" t="n"/>
      <c r="E34" s="19" t="n"/>
      <c r="F34" s="19" t="n"/>
      <c r="G34" s="19" t="n"/>
      <c r="H34" s="19" t="n"/>
      <c r="I34" s="19"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DADOS_AM!$GF$4</f>
        <v/>
      </c>
      <c r="E36" s="15" t="n"/>
      <c r="F36" s="89">
        <f>DADOS_AM!$GF$14</f>
        <v/>
      </c>
      <c r="G36" s="14" t="n"/>
      <c r="H36" s="15" t="n"/>
      <c r="I36" s="115" t="n"/>
      <c r="J36" s="89">
        <f>DADOS_AM!$HK$4</f>
        <v/>
      </c>
      <c r="K36" s="15" t="n"/>
      <c r="L36" s="89">
        <f>DADOS_AM!$GF$15</f>
        <v/>
      </c>
      <c r="M36" s="14" t="n"/>
      <c r="N36" s="15" t="n"/>
      <c r="O36" s="115" t="n"/>
      <c r="P36" s="89">
        <f>DADOS_AM!$HK$5</f>
        <v/>
      </c>
      <c r="Q36" s="89">
        <f>DADOS_AM!$HK$6</f>
        <v/>
      </c>
      <c r="R36" s="89">
        <f>DADOS_AM!$HK$7</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1" t="n"/>
      <c r="Q37" s="121"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2" t="n">
        <v>1</v>
      </c>
      <c r="E40" s="120">
        <f>DADOS_AM!$HK$8</f>
        <v/>
      </c>
      <c r="F40" s="120">
        <f>DADOS_AM!$HK$9</f>
        <v/>
      </c>
      <c r="G40" s="120">
        <f>DADOS_AM!$HK$10</f>
        <v/>
      </c>
      <c r="H40" s="12" t="n"/>
      <c r="I40" s="115" t="n"/>
      <c r="J40" s="120">
        <f>DADOS_AM!$HK$11</f>
        <v/>
      </c>
      <c r="K40" s="120">
        <f>DADOS_AM!$HK$12</f>
        <v/>
      </c>
      <c r="L40" s="120">
        <f>DADOS_AM!$HK$13</f>
        <v/>
      </c>
      <c r="M40" s="120">
        <f>DADOS_AM!$HK$14</f>
        <v/>
      </c>
      <c r="N40" s="12" t="n"/>
      <c r="O40" s="115" t="n"/>
      <c r="P40" s="120">
        <f>DADOS_AM!$HK$15</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4" t="n"/>
      <c r="I42" s="14" t="n"/>
      <c r="J42" s="14" t="n"/>
      <c r="K42" s="14" t="n"/>
      <c r="L42" s="14" t="n"/>
      <c r="M42" s="14" t="n"/>
      <c r="N42" s="14" t="n"/>
      <c r="O42" s="14" t="n"/>
      <c r="P42" s="14" t="n"/>
      <c r="Q42" s="14" t="n"/>
      <c r="R42" s="14" t="n"/>
      <c r="S42" s="14" t="n"/>
      <c r="T42" s="15" t="n"/>
      <c r="U42" s="115" t="n"/>
    </row>
    <row r="43">
      <c r="B43" s="17" t="n"/>
      <c r="C43" s="115" t="n"/>
      <c r="D43" s="18" t="n"/>
      <c r="E43" s="19" t="n"/>
      <c r="F43" s="19" t="n"/>
      <c r="G43" s="19" t="n"/>
      <c r="H43" s="19" t="n"/>
      <c r="I43" s="19"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DADOS_AM!$FK$2</f>
        <v/>
      </c>
      <c r="H45" s="12" t="n"/>
      <c r="I45" s="115" t="n"/>
      <c r="J45" s="123" t="n">
        <v>1</v>
      </c>
      <c r="K45" s="124" t="n"/>
      <c r="L45" s="12" t="n"/>
      <c r="M45" s="125">
        <f>DADOS_AM!$FK$3</f>
        <v/>
      </c>
      <c r="N45" s="12" t="n"/>
      <c r="O45" s="115" t="n"/>
      <c r="P45" s="123" t="n">
        <v>1</v>
      </c>
      <c r="Q45" s="124" t="n"/>
      <c r="R45" s="12" t="n"/>
      <c r="S45" s="125">
        <f>DADOS_AM!$FK$4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19" t="n"/>
      <c r="E47" s="14" t="n"/>
      <c r="F47" s="14" t="n"/>
      <c r="G47" s="14" t="n"/>
      <c r="H47" s="15" t="n"/>
      <c r="I47" s="115" t="n"/>
      <c r="J47" s="119" t="n"/>
      <c r="K47" s="14" t="n"/>
      <c r="L47" s="14" t="n"/>
      <c r="M47" s="14" t="n"/>
      <c r="N47" s="15" t="n"/>
      <c r="O47" s="115" t="n"/>
      <c r="P47" s="119"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0" t="inlineStr">
        <is>
          <t>Projétil</t>
        </is>
      </c>
      <c r="E52" s="65">
        <f>DADOS_AM!$FP$2</f>
        <v/>
      </c>
      <c r="F52" s="65">
        <f>DADOS_AM!$FM$2</f>
        <v/>
      </c>
      <c r="G52" s="120">
        <f>DADOS_AM!$FO$2</f>
        <v/>
      </c>
      <c r="H52" s="12" t="n"/>
      <c r="I52" s="115" t="n"/>
      <c r="J52" s="120" t="inlineStr">
        <is>
          <t>Projétil</t>
        </is>
      </c>
      <c r="K52" s="65">
        <f>DADOS_AM!$FP$3</f>
        <v/>
      </c>
      <c r="L52" s="65">
        <f>DADOS_AM!$FM$3</f>
        <v/>
      </c>
      <c r="M52" s="120">
        <f>DADOS_AM!$FO$3</f>
        <v/>
      </c>
      <c r="N52" s="12" t="n"/>
      <c r="O52" s="115" t="n"/>
      <c r="P52" s="120" t="inlineStr">
        <is>
          <t>Projétil</t>
        </is>
      </c>
      <c r="Q52" s="65">
        <f>DADOS_AM!$FP$4</f>
        <v/>
      </c>
      <c r="R52" s="65">
        <f>DADOS_AM!$FM$4</f>
        <v/>
      </c>
      <c r="S52" s="120">
        <f>DADOS_AM!$FO$4</f>
        <v/>
      </c>
      <c r="T52" s="12" t="n"/>
      <c r="U52" s="115" t="n"/>
    </row>
    <row r="53" outlineLevel="1">
      <c r="A53" s="8" t="n"/>
      <c r="B53" s="22" t="n"/>
      <c r="C53" s="115" t="n"/>
      <c r="D53" s="120">
        <f>DADOS_AM!$FN$2</f>
        <v/>
      </c>
      <c r="E53" s="126">
        <f>DADOS_AM!$FU$2</f>
        <v/>
      </c>
      <c r="F53" s="11" t="n"/>
      <c r="G53" s="11" t="n"/>
      <c r="H53" s="12" t="n"/>
      <c r="I53" s="115" t="n"/>
      <c r="J53" s="120">
        <f>DADOS_AM!$FN$3</f>
        <v/>
      </c>
      <c r="K53" s="126">
        <f>DADOS_AM!$FU$3</f>
        <v/>
      </c>
      <c r="L53" s="11" t="n"/>
      <c r="M53" s="11" t="n"/>
      <c r="N53" s="12" t="n"/>
      <c r="O53" s="115" t="n"/>
      <c r="P53" s="120">
        <f>DADOS_AM!$FN$4</f>
        <v/>
      </c>
      <c r="Q53" s="126">
        <f>DADOS_AM!$FU$4</f>
        <v/>
      </c>
      <c r="R53" s="11" t="n"/>
      <c r="S53" s="11" t="n"/>
      <c r="T53" s="12" t="n"/>
      <c r="U53" s="115" t="n"/>
    </row>
    <row r="54" outlineLevel="2">
      <c r="A54" s="8" t="n"/>
      <c r="B54" s="22" t="n"/>
      <c r="C54" s="115" t="n"/>
      <c r="D54" s="52" t="inlineStr">
        <is>
          <t>MELHORIAS</t>
        </is>
      </c>
      <c r="E54" s="127" t="n"/>
      <c r="F54" s="12" t="n"/>
      <c r="G54" s="126">
        <f>DADOS_AM!$FX$2</f>
        <v/>
      </c>
      <c r="H54" s="12" t="n"/>
      <c r="I54" s="115" t="n"/>
      <c r="J54" s="52" t="inlineStr">
        <is>
          <t>MELHORIAS</t>
        </is>
      </c>
      <c r="K54" s="127" t="n"/>
      <c r="L54" s="12" t="n"/>
      <c r="M54" s="126">
        <f>DADOS_AM!$FX$3</f>
        <v/>
      </c>
      <c r="N54" s="12" t="n"/>
      <c r="O54" s="115" t="n"/>
      <c r="P54" s="52" t="inlineStr">
        <is>
          <t>MELHORIAS</t>
        </is>
      </c>
      <c r="Q54" s="127" t="n"/>
      <c r="R54" s="12" t="n"/>
      <c r="S54" s="126">
        <f>DADOS_AM!$FX$4</f>
        <v/>
      </c>
      <c r="T54" s="12" t="n"/>
      <c r="U54" s="115" t="n"/>
    </row>
    <row r="55" outlineLevel="2">
      <c r="A55" s="8" t="n"/>
      <c r="B55" s="22" t="n"/>
      <c r="C55" s="115" t="n"/>
      <c r="D55" s="128" t="n"/>
      <c r="E55" s="127" t="n"/>
      <c r="F55" s="12" t="n"/>
      <c r="G55" s="126">
        <f>DADOS_AM!$FY$2</f>
        <v/>
      </c>
      <c r="H55" s="12" t="n"/>
      <c r="I55" s="115" t="n"/>
      <c r="J55" s="128" t="n"/>
      <c r="K55" s="127" t="n"/>
      <c r="L55" s="12" t="n"/>
      <c r="M55" s="126">
        <f>DADOS_AM!$FY$3</f>
        <v/>
      </c>
      <c r="N55" s="12" t="n"/>
      <c r="O55" s="115" t="n"/>
      <c r="P55" s="128" t="n"/>
      <c r="Q55" s="127" t="n"/>
      <c r="R55" s="12" t="n"/>
      <c r="S55" s="126">
        <f>DADOS_AM!$FY$4</f>
        <v/>
      </c>
      <c r="T55" s="12" t="n"/>
      <c r="U55" s="115" t="n"/>
    </row>
    <row r="56" outlineLevel="2">
      <c r="A56" s="8" t="n"/>
      <c r="B56" s="22" t="n"/>
      <c r="C56" s="115" t="n"/>
      <c r="D56" s="128" t="n"/>
      <c r="E56" s="127" t="n"/>
      <c r="F56" s="12" t="n"/>
      <c r="G56" s="126">
        <f>DADOS_AM!$FZ$2</f>
        <v/>
      </c>
      <c r="H56" s="12" t="n"/>
      <c r="I56" s="115" t="n"/>
      <c r="J56" s="128" t="n"/>
      <c r="K56" s="127" t="n"/>
      <c r="L56" s="12" t="n"/>
      <c r="M56" s="126">
        <f>DADOS_AM!$FZ$3</f>
        <v/>
      </c>
      <c r="N56" s="12" t="n"/>
      <c r="O56" s="115" t="n"/>
      <c r="P56" s="128" t="n"/>
      <c r="Q56" s="127" t="n"/>
      <c r="R56" s="12" t="n"/>
      <c r="S56" s="126">
        <f>DADOS_AM!$FZ$4</f>
        <v/>
      </c>
      <c r="T56" s="12" t="n"/>
      <c r="U56" s="115" t="n"/>
    </row>
    <row r="57" outlineLevel="2">
      <c r="A57" s="8" t="n"/>
      <c r="B57" s="22" t="n"/>
      <c r="C57" s="115" t="n"/>
      <c r="D57" s="121" t="n"/>
      <c r="E57" s="127" t="n"/>
      <c r="F57" s="12" t="n"/>
      <c r="G57" s="126">
        <f>DADOS_AM!$GA$2</f>
        <v/>
      </c>
      <c r="H57" s="12" t="n"/>
      <c r="I57" s="115" t="n"/>
      <c r="J57" s="121" t="n"/>
      <c r="K57" s="127" t="n"/>
      <c r="L57" s="12" t="n"/>
      <c r="M57" s="126">
        <f>DADOS_AM!$GA$3</f>
        <v/>
      </c>
      <c r="N57" s="12" t="n"/>
      <c r="O57" s="115" t="n"/>
      <c r="P57" s="121" t="n"/>
      <c r="Q57" s="127" t="n"/>
      <c r="R57" s="12" t="n"/>
      <c r="S57" s="126">
        <f>DADOS_AM!$GA$4</f>
        <v/>
      </c>
      <c r="T57" s="12" t="n"/>
      <c r="U57" s="115" t="n"/>
    </row>
    <row r="58" outlineLevel="2">
      <c r="A58" s="8" t="n"/>
      <c r="B58" s="22" t="n"/>
      <c r="C58" s="115" t="n"/>
      <c r="D58" s="52" t="inlineStr">
        <is>
          <t>RESTRIÇÕES</t>
        </is>
      </c>
      <c r="E58" s="127" t="n"/>
      <c r="F58" s="12" t="n"/>
      <c r="G58" s="126">
        <f>DADOS_AM!$GB$2</f>
        <v/>
      </c>
      <c r="H58" s="12" t="n"/>
      <c r="I58" s="115" t="n"/>
      <c r="J58" s="52" t="inlineStr">
        <is>
          <t>RESTRIÇÕES</t>
        </is>
      </c>
      <c r="K58" s="127" t="n"/>
      <c r="L58" s="12" t="n"/>
      <c r="M58" s="126">
        <f>DADOS_AM!$GB$3</f>
        <v/>
      </c>
      <c r="N58" s="12" t="n"/>
      <c r="O58" s="115" t="n"/>
      <c r="P58" s="52" t="inlineStr">
        <is>
          <t>RESTRIÇÕES</t>
        </is>
      </c>
      <c r="Q58" s="127" t="n"/>
      <c r="R58" s="12" t="n"/>
      <c r="S58" s="126">
        <f>DADOS_AM!$GB$4</f>
        <v/>
      </c>
      <c r="T58" s="12" t="n"/>
      <c r="U58" s="115" t="n"/>
    </row>
    <row r="59" outlineLevel="2">
      <c r="A59" s="8" t="n"/>
      <c r="B59" s="22" t="n"/>
      <c r="C59" s="115" t="n"/>
      <c r="D59" s="121" t="n"/>
      <c r="E59" s="127" t="n"/>
      <c r="F59" s="12" t="n"/>
      <c r="G59" s="126">
        <f>DADOS_AM!$GC$2</f>
        <v/>
      </c>
      <c r="H59" s="12" t="n"/>
      <c r="I59" s="115" t="n"/>
      <c r="J59" s="121" t="n"/>
      <c r="K59" s="127" t="n"/>
      <c r="L59" s="12" t="n"/>
      <c r="M59" s="126">
        <f>DADOS_AM!$GC$3</f>
        <v/>
      </c>
      <c r="N59" s="12" t="n"/>
      <c r="O59" s="115" t="n"/>
      <c r="P59" s="121" t="n"/>
      <c r="Q59" s="127" t="n"/>
      <c r="R59" s="12" t="n"/>
      <c r="S59" s="126">
        <f>DADOS_AM!$GC$4</f>
        <v/>
      </c>
      <c r="T59" s="12" t="n"/>
      <c r="U59" s="115" t="n"/>
    </row>
    <row r="60" outlineLevel="2">
      <c r="A60" s="8" t="n"/>
      <c r="B60" s="22" t="n"/>
      <c r="C60" s="115" t="n"/>
      <c r="D60" s="52" t="inlineStr">
        <is>
          <t>CONTA</t>
        </is>
      </c>
      <c r="E60" s="129">
        <f>DADOS_AM!$FV$2</f>
        <v/>
      </c>
      <c r="F60" s="11" t="n"/>
      <c r="G60" s="11" t="n"/>
      <c r="H60" s="12" t="n"/>
      <c r="I60" s="115" t="n"/>
      <c r="J60" s="52" t="inlineStr">
        <is>
          <t>CONTA</t>
        </is>
      </c>
      <c r="K60" s="129">
        <f>DADOS_AM!$FV$3</f>
        <v/>
      </c>
      <c r="L60" s="11" t="n"/>
      <c r="M60" s="11" t="n"/>
      <c r="N60" s="12" t="n"/>
      <c r="O60" s="115" t="n"/>
      <c r="P60" s="52" t="inlineStr">
        <is>
          <t>CONTA</t>
        </is>
      </c>
      <c r="Q60" s="129">
        <f>DADOS_AM!$FV$4</f>
        <v/>
      </c>
      <c r="R60" s="11" t="n"/>
      <c r="S60" s="11" t="n"/>
      <c r="T60" s="12" t="n"/>
      <c r="U60" s="115" t="n"/>
    </row>
    <row r="61" outlineLevel="2">
      <c r="A61" s="8" t="n"/>
      <c r="B61" s="22" t="n"/>
      <c r="C61" s="115" t="n"/>
      <c r="D61" s="52" t="inlineStr">
        <is>
          <t>AMPLIAR</t>
        </is>
      </c>
      <c r="E61" s="129">
        <f>DADOS_AM!$FW$2</f>
        <v/>
      </c>
      <c r="F61" s="14" t="n"/>
      <c r="G61" s="14" t="n"/>
      <c r="H61" s="15" t="n"/>
      <c r="I61" s="115" t="n"/>
      <c r="J61" s="52" t="inlineStr">
        <is>
          <t>AMPLIAR</t>
        </is>
      </c>
      <c r="K61" s="129">
        <f>DADOS_AM!$FW$3</f>
        <v/>
      </c>
      <c r="L61" s="14" t="n"/>
      <c r="M61" s="14" t="n"/>
      <c r="N61" s="15" t="n"/>
      <c r="O61" s="115" t="n"/>
      <c r="P61" s="52" t="inlineStr">
        <is>
          <t>AMPLIAR</t>
        </is>
      </c>
      <c r="Q61" s="129">
        <f>DADOS_AM!$FW$4</f>
        <v/>
      </c>
      <c r="R61" s="14" t="n"/>
      <c r="S61" s="14" t="n"/>
      <c r="T61" s="15" t="n"/>
      <c r="U61" s="115" t="n"/>
    </row>
    <row r="62" outlineLevel="2">
      <c r="A62" s="8" t="n"/>
      <c r="B62" s="22" t="n"/>
      <c r="C62" s="115" t="n"/>
      <c r="D62" s="121" t="n"/>
      <c r="E62" s="18" t="n"/>
      <c r="F62" s="19" t="n"/>
      <c r="G62" s="19" t="n"/>
      <c r="H62" s="20" t="n"/>
      <c r="I62" s="115" t="n"/>
      <c r="J62" s="121" t="n"/>
      <c r="K62" s="18" t="n"/>
      <c r="L62" s="19" t="n"/>
      <c r="M62" s="19" t="n"/>
      <c r="N62" s="20" t="n"/>
      <c r="O62" s="115" t="n"/>
      <c r="P62" s="121" t="n"/>
      <c r="Q62" s="18" t="n"/>
      <c r="R62" s="19" t="n"/>
      <c r="S62" s="19" t="n"/>
      <c r="T62" s="20" t="n"/>
      <c r="U62" s="115" t="n"/>
    </row>
    <row r="63" outlineLevel="2">
      <c r="A63" s="8" t="n"/>
      <c r="B63" s="22" t="n"/>
      <c r="C63" s="115" t="n"/>
      <c r="D63" s="52" t="inlineStr">
        <is>
          <t>AVISOS</t>
        </is>
      </c>
      <c r="E63" s="129">
        <f>DADOS_AM!$FL$2</f>
        <v/>
      </c>
      <c r="F63" s="14" t="n"/>
      <c r="G63" s="14" t="n"/>
      <c r="H63" s="15" t="n"/>
      <c r="I63" s="115" t="n"/>
      <c r="J63" s="52" t="inlineStr">
        <is>
          <t>AVISOS</t>
        </is>
      </c>
      <c r="K63" s="129">
        <f>DADOS_AM!$FL$3</f>
        <v/>
      </c>
      <c r="L63" s="14" t="n"/>
      <c r="M63" s="14" t="n"/>
      <c r="N63" s="15" t="n"/>
      <c r="O63" s="115" t="n"/>
      <c r="P63" s="52" t="inlineStr">
        <is>
          <t>AVISOS</t>
        </is>
      </c>
      <c r="Q63" s="129">
        <f>DADOS_AM!$FL$4</f>
        <v/>
      </c>
      <c r="R63" s="14" t="n"/>
      <c r="S63" s="14" t="n"/>
      <c r="T63" s="15" t="n"/>
      <c r="U63" s="115" t="n"/>
    </row>
    <row r="64" outlineLevel="2">
      <c r="A64" s="8" t="n"/>
      <c r="B64" s="22" t="n"/>
      <c r="C64" s="115" t="n"/>
      <c r="D64" s="121" t="n"/>
      <c r="E64" s="18" t="n"/>
      <c r="F64" s="19" t="n"/>
      <c r="G64" s="19" t="n"/>
      <c r="H64" s="20" t="n"/>
      <c r="I64" s="115" t="n"/>
      <c r="J64" s="121" t="n"/>
      <c r="K64" s="18" t="n"/>
      <c r="L64" s="19" t="n"/>
      <c r="M64" s="19" t="n"/>
      <c r="N64" s="20" t="n"/>
      <c r="O64" s="115" t="n"/>
      <c r="P64" s="121"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DADOS_AM!$FK$5</f>
        <v/>
      </c>
      <c r="H66" s="12" t="n"/>
      <c r="I66" s="115" t="n"/>
      <c r="J66" s="123" t="n">
        <v>1</v>
      </c>
      <c r="K66" s="124" t="n"/>
      <c r="L66" s="12" t="n"/>
      <c r="M66" s="125">
        <f>DADOS_AM!$FK$6</f>
        <v/>
      </c>
      <c r="N66" s="12" t="n"/>
      <c r="O66" s="115" t="n"/>
      <c r="P66" s="123" t="n">
        <v>1</v>
      </c>
      <c r="Q66" s="124" t="n"/>
      <c r="R66" s="12" t="n"/>
      <c r="S66" s="125">
        <f>DADOS_AM!$FK$7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19" t="n"/>
      <c r="E68" s="14" t="n"/>
      <c r="F68" s="14" t="n"/>
      <c r="G68" s="14" t="n"/>
      <c r="H68" s="15" t="n"/>
      <c r="I68" s="115" t="n"/>
      <c r="J68" s="119" t="n"/>
      <c r="K68" s="14" t="n"/>
      <c r="L68" s="14" t="n"/>
      <c r="M68" s="14" t="n"/>
      <c r="N68" s="15" t="n"/>
      <c r="O68" s="115" t="n"/>
      <c r="P68" s="119"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0" t="inlineStr">
        <is>
          <t>Projétil</t>
        </is>
      </c>
      <c r="E73" s="65">
        <f>DADOS_AM!$FP$5</f>
        <v/>
      </c>
      <c r="F73" s="65">
        <f>DADOS_AM!$FM$5</f>
        <v/>
      </c>
      <c r="G73" s="120">
        <f>DADOS_AM!$FO$5</f>
        <v/>
      </c>
      <c r="H73" s="12" t="n"/>
      <c r="I73" s="115" t="n"/>
      <c r="J73" s="120" t="inlineStr">
        <is>
          <t>Projétil</t>
        </is>
      </c>
      <c r="K73" s="65">
        <f>DADOS_AM!$FP$6</f>
        <v/>
      </c>
      <c r="L73" s="65">
        <f>DADOS_AM!$FM$6</f>
        <v/>
      </c>
      <c r="M73" s="120">
        <f>DADOS_AM!$FO$6</f>
        <v/>
      </c>
      <c r="N73" s="12" t="n"/>
      <c r="O73" s="115" t="n"/>
      <c r="P73" s="120" t="inlineStr">
        <is>
          <t>Projétil</t>
        </is>
      </c>
      <c r="Q73" s="65">
        <f>DADOS_AM!$FP$7</f>
        <v/>
      </c>
      <c r="R73" s="65">
        <f>DADOS_AM!$FM$7</f>
        <v/>
      </c>
      <c r="S73" s="120">
        <f>DADOS_AM!$FO$7</f>
        <v/>
      </c>
      <c r="T73" s="12" t="n"/>
      <c r="U73" s="115" t="n"/>
    </row>
    <row r="74" outlineLevel="1">
      <c r="A74" s="8" t="n"/>
      <c r="B74" s="22" t="n"/>
      <c r="C74" s="115" t="n"/>
      <c r="D74" s="120">
        <f>DADOS_AM!$FN$5</f>
        <v/>
      </c>
      <c r="E74" s="126">
        <f>DADOS_AM!$FU$5</f>
        <v/>
      </c>
      <c r="F74" s="11" t="n"/>
      <c r="G74" s="11" t="n"/>
      <c r="H74" s="12" t="n"/>
      <c r="I74" s="115" t="n"/>
      <c r="J74" s="120">
        <f>DADOS_AM!$FN$6</f>
        <v/>
      </c>
      <c r="K74" s="126">
        <f>DADOS_AM!$FU$6</f>
        <v/>
      </c>
      <c r="L74" s="11" t="n"/>
      <c r="M74" s="11" t="n"/>
      <c r="N74" s="12" t="n"/>
      <c r="O74" s="115" t="n"/>
      <c r="P74" s="120">
        <f>DADOS_AM!$FN$7</f>
        <v/>
      </c>
      <c r="Q74" s="126">
        <f>DADOS_AM!$FU$7</f>
        <v/>
      </c>
      <c r="R74" s="11" t="n"/>
      <c r="S74" s="11" t="n"/>
      <c r="T74" s="12" t="n"/>
      <c r="U74" s="115" t="n"/>
    </row>
    <row r="75" hidden="1" outlineLevel="2">
      <c r="A75" s="8" t="n"/>
      <c r="B75" s="22" t="n"/>
      <c r="C75" s="115" t="n"/>
      <c r="D75" s="52" t="inlineStr">
        <is>
          <t>MELHORIAS</t>
        </is>
      </c>
      <c r="E75" s="127" t="n"/>
      <c r="F75" s="12" t="n"/>
      <c r="G75" s="126">
        <f>DADOS_AM!$FX$5</f>
        <v/>
      </c>
      <c r="H75" s="12" t="n"/>
      <c r="I75" s="115" t="n"/>
      <c r="J75" s="52" t="inlineStr">
        <is>
          <t>MELHORIAS</t>
        </is>
      </c>
      <c r="K75" s="127" t="n"/>
      <c r="L75" s="12" t="n"/>
      <c r="M75" s="126">
        <f>DADOS_AM!$FX$6</f>
        <v/>
      </c>
      <c r="N75" s="12" t="n"/>
      <c r="O75" s="115" t="n"/>
      <c r="P75" s="52" t="inlineStr">
        <is>
          <t>MELHORIAS</t>
        </is>
      </c>
      <c r="Q75" s="127" t="n"/>
      <c r="R75" s="12" t="n"/>
      <c r="S75" s="126">
        <f>DADOS_AM!$FX$7</f>
        <v/>
      </c>
      <c r="T75" s="12" t="n"/>
      <c r="U75" s="115" t="n"/>
    </row>
    <row r="76" hidden="1" outlineLevel="2">
      <c r="A76" s="8" t="n"/>
      <c r="B76" s="22" t="n"/>
      <c r="C76" s="115" t="n"/>
      <c r="D76" s="128" t="n"/>
      <c r="E76" s="127" t="n"/>
      <c r="F76" s="12" t="n"/>
      <c r="G76" s="126">
        <f>DADOS_AM!$FY$5</f>
        <v/>
      </c>
      <c r="H76" s="12" t="n"/>
      <c r="I76" s="115" t="n"/>
      <c r="J76" s="128" t="n"/>
      <c r="K76" s="127" t="n"/>
      <c r="L76" s="12" t="n"/>
      <c r="M76" s="126">
        <f>DADOS_AM!$FY$6</f>
        <v/>
      </c>
      <c r="N76" s="12" t="n"/>
      <c r="O76" s="115" t="n"/>
      <c r="P76" s="128" t="n"/>
      <c r="Q76" s="127" t="n"/>
      <c r="R76" s="12" t="n"/>
      <c r="S76" s="126">
        <f>DADOS_AM!$FY$7</f>
        <v/>
      </c>
      <c r="T76" s="12" t="n"/>
      <c r="U76" s="115" t="n"/>
    </row>
    <row r="77" hidden="1" outlineLevel="2">
      <c r="A77" s="8" t="n"/>
      <c r="B77" s="22" t="n"/>
      <c r="C77" s="115" t="n"/>
      <c r="D77" s="128" t="n"/>
      <c r="E77" s="127" t="n"/>
      <c r="F77" s="12" t="n"/>
      <c r="G77" s="126">
        <f>DADOS_AM!$FZ$5</f>
        <v/>
      </c>
      <c r="H77" s="12" t="n"/>
      <c r="I77" s="115" t="n"/>
      <c r="J77" s="128" t="n"/>
      <c r="K77" s="127" t="n"/>
      <c r="L77" s="12" t="n"/>
      <c r="M77" s="126">
        <f>DADOS_AM!$FZ$6</f>
        <v/>
      </c>
      <c r="N77" s="12" t="n"/>
      <c r="O77" s="115" t="n"/>
      <c r="P77" s="128" t="n"/>
      <c r="Q77" s="127" t="n"/>
      <c r="R77" s="12" t="n"/>
      <c r="S77" s="126">
        <f>DADOS_AM!$FZ$7</f>
        <v/>
      </c>
      <c r="T77" s="12" t="n"/>
      <c r="U77" s="115" t="n"/>
    </row>
    <row r="78" hidden="1" outlineLevel="2">
      <c r="A78" s="8" t="n"/>
      <c r="B78" s="22" t="n"/>
      <c r="C78" s="115" t="n"/>
      <c r="D78" s="121" t="n"/>
      <c r="E78" s="127" t="n"/>
      <c r="F78" s="12" t="n"/>
      <c r="G78" s="126">
        <f>DADOS_AM!$GA$5</f>
        <v/>
      </c>
      <c r="H78" s="12" t="n"/>
      <c r="I78" s="115" t="n"/>
      <c r="J78" s="121" t="n"/>
      <c r="K78" s="127" t="n"/>
      <c r="L78" s="12" t="n"/>
      <c r="M78" s="126">
        <f>DADOS_AM!$GA$6</f>
        <v/>
      </c>
      <c r="N78" s="12" t="n"/>
      <c r="O78" s="115" t="n"/>
      <c r="P78" s="121" t="n"/>
      <c r="Q78" s="127" t="n"/>
      <c r="R78" s="12" t="n"/>
      <c r="S78" s="126">
        <f>DADOS_AM!$GA$7</f>
        <v/>
      </c>
      <c r="T78" s="12" t="n"/>
      <c r="U78" s="115" t="n"/>
    </row>
    <row r="79" hidden="1" outlineLevel="2">
      <c r="A79" s="8" t="n"/>
      <c r="B79" s="22" t="n"/>
      <c r="C79" s="115" t="n"/>
      <c r="D79" s="52" t="inlineStr">
        <is>
          <t>RESTRIÇÕES</t>
        </is>
      </c>
      <c r="E79" s="127" t="n"/>
      <c r="F79" s="12" t="n"/>
      <c r="G79" s="126">
        <f>DADOS_AM!$GB$5</f>
        <v/>
      </c>
      <c r="H79" s="12" t="n"/>
      <c r="I79" s="115" t="n"/>
      <c r="J79" s="52" t="inlineStr">
        <is>
          <t>RESTRIÇÕES</t>
        </is>
      </c>
      <c r="K79" s="127" t="n"/>
      <c r="L79" s="12" t="n"/>
      <c r="M79" s="126">
        <f>DADOS_AM!$GB$6</f>
        <v/>
      </c>
      <c r="N79" s="12" t="n"/>
      <c r="O79" s="115" t="n"/>
      <c r="P79" s="52" t="inlineStr">
        <is>
          <t>RESTRIÇÕES</t>
        </is>
      </c>
      <c r="Q79" s="127" t="n"/>
      <c r="R79" s="12" t="n"/>
      <c r="S79" s="126">
        <f>DADOS_AM!$GB$7</f>
        <v/>
      </c>
      <c r="T79" s="12" t="n"/>
      <c r="U79" s="115" t="n"/>
    </row>
    <row r="80" hidden="1" outlineLevel="2">
      <c r="A80" s="8" t="n"/>
      <c r="B80" s="22" t="n"/>
      <c r="C80" s="115" t="n"/>
      <c r="D80" s="121" t="n"/>
      <c r="E80" s="127" t="n"/>
      <c r="F80" s="12" t="n"/>
      <c r="G80" s="126">
        <f>DADOS_AM!$GC$5</f>
        <v/>
      </c>
      <c r="H80" s="12" t="n"/>
      <c r="I80" s="115" t="n"/>
      <c r="J80" s="121" t="n"/>
      <c r="K80" s="127" t="n"/>
      <c r="L80" s="12" t="n"/>
      <c r="M80" s="126">
        <f>DADOS_AM!$GC$6</f>
        <v/>
      </c>
      <c r="N80" s="12" t="n"/>
      <c r="O80" s="115" t="n"/>
      <c r="P80" s="121" t="n"/>
      <c r="Q80" s="127" t="n"/>
      <c r="R80" s="12" t="n"/>
      <c r="S80" s="126">
        <f>DADOS_AM!$GC$7</f>
        <v/>
      </c>
      <c r="T80" s="12" t="n"/>
      <c r="U80" s="115" t="n"/>
    </row>
    <row r="81" hidden="1" outlineLevel="2">
      <c r="A81" s="8" t="n"/>
      <c r="B81" s="22" t="n"/>
      <c r="C81" s="115" t="n"/>
      <c r="D81" s="52" t="inlineStr">
        <is>
          <t>CONTA</t>
        </is>
      </c>
      <c r="E81" s="129">
        <f>DADOS_AM!$FV$5</f>
        <v/>
      </c>
      <c r="F81" s="11" t="n"/>
      <c r="G81" s="11" t="n"/>
      <c r="H81" s="12" t="n"/>
      <c r="I81" s="115" t="n"/>
      <c r="J81" s="52" t="inlineStr">
        <is>
          <t>CONTA</t>
        </is>
      </c>
      <c r="K81" s="129">
        <f>DADOS_AM!$FV$6</f>
        <v/>
      </c>
      <c r="L81" s="11" t="n"/>
      <c r="M81" s="11" t="n"/>
      <c r="N81" s="12" t="n"/>
      <c r="O81" s="115" t="n"/>
      <c r="P81" s="52" t="inlineStr">
        <is>
          <t>CONTA</t>
        </is>
      </c>
      <c r="Q81" s="129">
        <f>DADOS_AM!$FV$7</f>
        <v/>
      </c>
      <c r="R81" s="11" t="n"/>
      <c r="S81" s="11" t="n"/>
      <c r="T81" s="12" t="n"/>
      <c r="U81" s="115" t="n"/>
    </row>
    <row r="82" hidden="1" outlineLevel="2">
      <c r="A82" s="8" t="n"/>
      <c r="B82" s="22" t="n"/>
      <c r="C82" s="115" t="n"/>
      <c r="D82" s="52" t="inlineStr">
        <is>
          <t>AMPLIAR</t>
        </is>
      </c>
      <c r="E82" s="129">
        <f>DADOS_AM!$FW$5</f>
        <v/>
      </c>
      <c r="F82" s="14" t="n"/>
      <c r="G82" s="14" t="n"/>
      <c r="H82" s="15" t="n"/>
      <c r="I82" s="115" t="n"/>
      <c r="J82" s="52" t="inlineStr">
        <is>
          <t>AMPLIAR</t>
        </is>
      </c>
      <c r="K82" s="129">
        <f>DADOS_AM!$FW$6</f>
        <v/>
      </c>
      <c r="L82" s="14" t="n"/>
      <c r="M82" s="14" t="n"/>
      <c r="N82" s="15" t="n"/>
      <c r="O82" s="115" t="n"/>
      <c r="P82" s="52" t="inlineStr">
        <is>
          <t>AMPLIAR</t>
        </is>
      </c>
      <c r="Q82" s="129">
        <f>DADOS_AM!$FW$7</f>
        <v/>
      </c>
      <c r="R82" s="14" t="n"/>
      <c r="S82" s="14" t="n"/>
      <c r="T82" s="15" t="n"/>
      <c r="U82" s="115" t="n"/>
    </row>
    <row r="83" hidden="1" outlineLevel="2">
      <c r="A83" s="8" t="n"/>
      <c r="B83" s="22" t="n"/>
      <c r="C83" s="115" t="n"/>
      <c r="D83" s="121" t="n"/>
      <c r="E83" s="18" t="n"/>
      <c r="F83" s="19" t="n"/>
      <c r="G83" s="19" t="n"/>
      <c r="H83" s="20" t="n"/>
      <c r="I83" s="115" t="n"/>
      <c r="J83" s="121" t="n"/>
      <c r="K83" s="18" t="n"/>
      <c r="L83" s="19" t="n"/>
      <c r="M83" s="19" t="n"/>
      <c r="N83" s="20" t="n"/>
      <c r="O83" s="115" t="n"/>
      <c r="P83" s="121" t="n"/>
      <c r="Q83" s="18" t="n"/>
      <c r="R83" s="19" t="n"/>
      <c r="S83" s="19" t="n"/>
      <c r="T83" s="20" t="n"/>
      <c r="U83" s="115" t="n"/>
    </row>
    <row r="84" hidden="1" outlineLevel="2">
      <c r="A84" s="8" t="n"/>
      <c r="B84" s="22" t="n"/>
      <c r="C84" s="115" t="n"/>
      <c r="D84" s="52" t="inlineStr">
        <is>
          <t>AVISOS</t>
        </is>
      </c>
      <c r="E84" s="129">
        <f>DADOS_AM!$FL$5</f>
        <v/>
      </c>
      <c r="F84" s="14" t="n"/>
      <c r="G84" s="14" t="n"/>
      <c r="H84" s="15" t="n"/>
      <c r="I84" s="115" t="n"/>
      <c r="J84" s="52" t="inlineStr">
        <is>
          <t>AVISOS</t>
        </is>
      </c>
      <c r="K84" s="129">
        <f>DADOS_AM!$FL$6</f>
        <v/>
      </c>
      <c r="L84" s="14" t="n"/>
      <c r="M84" s="14" t="n"/>
      <c r="N84" s="15" t="n"/>
      <c r="O84" s="115" t="n"/>
      <c r="P84" s="52" t="inlineStr">
        <is>
          <t>AVISOS</t>
        </is>
      </c>
      <c r="Q84" s="129">
        <f>DADOS_AM!$FL$7</f>
        <v/>
      </c>
      <c r="R84" s="14" t="n"/>
      <c r="S84" s="14" t="n"/>
      <c r="T84" s="15" t="n"/>
      <c r="U84" s="115" t="n"/>
    </row>
    <row r="85" hidden="1" outlineLevel="2">
      <c r="A85" s="8" t="n"/>
      <c r="B85" s="22" t="n"/>
      <c r="C85" s="115" t="n"/>
      <c r="D85" s="121" t="n"/>
      <c r="E85" s="18" t="n"/>
      <c r="F85" s="19" t="n"/>
      <c r="G85" s="19" t="n"/>
      <c r="H85" s="20" t="n"/>
      <c r="I85" s="115" t="n"/>
      <c r="J85" s="121" t="n"/>
      <c r="K85" s="18" t="n"/>
      <c r="L85" s="19" t="n"/>
      <c r="M85" s="19" t="n"/>
      <c r="N85" s="20" t="n"/>
      <c r="O85" s="115" t="n"/>
      <c r="P85" s="121"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DADOS_AM!$FK$8</f>
        <v/>
      </c>
      <c r="H87" s="12" t="n"/>
      <c r="I87" s="115" t="n"/>
      <c r="J87" s="123" t="n">
        <v>1</v>
      </c>
      <c r="K87" s="124" t="n"/>
      <c r="L87" s="12" t="n"/>
      <c r="M87" s="125">
        <f>DADOS_AM!$FK$9</f>
        <v/>
      </c>
      <c r="N87" s="12" t="n"/>
      <c r="O87" s="115" t="n"/>
      <c r="P87" s="123" t="n">
        <v>1</v>
      </c>
      <c r="Q87" s="124" t="n"/>
      <c r="R87" s="12" t="n"/>
      <c r="S87" s="125">
        <f>DADOS_AM!$FK$10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19" t="n"/>
      <c r="E89" s="14" t="n"/>
      <c r="F89" s="14" t="n"/>
      <c r="G89" s="14" t="n"/>
      <c r="H89" s="15" t="n"/>
      <c r="I89" s="115" t="n"/>
      <c r="J89" s="119" t="n"/>
      <c r="K89" s="14" t="n"/>
      <c r="L89" s="14" t="n"/>
      <c r="M89" s="14" t="n"/>
      <c r="N89" s="15" t="n"/>
      <c r="O89" s="115" t="n"/>
      <c r="P89" s="119"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0" t="inlineStr">
        <is>
          <t>Projétil</t>
        </is>
      </c>
      <c r="E94" s="65">
        <f>DADOS_AM!$FP$8</f>
        <v/>
      </c>
      <c r="F94" s="65">
        <f>DADOS_AM!$FM$8</f>
        <v/>
      </c>
      <c r="G94" s="120">
        <f>DADOS_AM!$FO$8</f>
        <v/>
      </c>
      <c r="H94" s="12" t="n"/>
      <c r="I94" s="115" t="n"/>
      <c r="J94" s="120" t="inlineStr">
        <is>
          <t>Projétil</t>
        </is>
      </c>
      <c r="K94" s="65">
        <f>DADOS_AM!$FP$9</f>
        <v/>
      </c>
      <c r="L94" s="65">
        <f>DADOS_AM!$FM$9</f>
        <v/>
      </c>
      <c r="M94" s="120">
        <f>DADOS_AM!$FO$9</f>
        <v/>
      </c>
      <c r="N94" s="12" t="n"/>
      <c r="O94" s="115" t="n"/>
      <c r="P94" s="120" t="inlineStr">
        <is>
          <t>Projétil</t>
        </is>
      </c>
      <c r="Q94" s="65">
        <f>DADOS_AM!$FP$10</f>
        <v/>
      </c>
      <c r="R94" s="65">
        <f>DADOS_AM!$FM$10</f>
        <v/>
      </c>
      <c r="S94" s="120">
        <f>DADOS_AM!$FO$10</f>
        <v/>
      </c>
      <c r="T94" s="12" t="n"/>
      <c r="U94" s="115" t="n"/>
    </row>
    <row r="95" outlineLevel="1">
      <c r="A95" s="8" t="n"/>
      <c r="B95" s="22" t="n"/>
      <c r="C95" s="115" t="n"/>
      <c r="D95" s="120">
        <f>DADOS_AM!$FN$8</f>
        <v/>
      </c>
      <c r="E95" s="126">
        <f>DADOS_AM!$FU$8</f>
        <v/>
      </c>
      <c r="F95" s="11" t="n"/>
      <c r="G95" s="11" t="n"/>
      <c r="H95" s="12" t="n"/>
      <c r="I95" s="115" t="n"/>
      <c r="J95" s="120">
        <f>DADOS_AM!$FN$9</f>
        <v/>
      </c>
      <c r="K95" s="126">
        <f>DADOS_AM!$FU$9</f>
        <v/>
      </c>
      <c r="L95" s="11" t="n"/>
      <c r="M95" s="11" t="n"/>
      <c r="N95" s="12" t="n"/>
      <c r="O95" s="115" t="n"/>
      <c r="P95" s="120">
        <f>DADOS_AM!$FN$10</f>
        <v/>
      </c>
      <c r="Q95" s="126">
        <f>DADOS_AM!$FU$10</f>
        <v/>
      </c>
      <c r="R95" s="11" t="n"/>
      <c r="S95" s="11" t="n"/>
      <c r="T95" s="12" t="n"/>
      <c r="U95" s="115" t="n"/>
    </row>
    <row r="96" hidden="1" outlineLevel="2">
      <c r="A96" s="8" t="n"/>
      <c r="B96" s="22" t="n"/>
      <c r="C96" s="115" t="n"/>
      <c r="D96" s="52" t="inlineStr">
        <is>
          <t>MELHORIAS</t>
        </is>
      </c>
      <c r="E96" s="127" t="n"/>
      <c r="F96" s="12" t="n"/>
      <c r="G96" s="126">
        <f>DADOS_AM!$FX$8</f>
        <v/>
      </c>
      <c r="H96" s="12" t="n"/>
      <c r="I96" s="115" t="n"/>
      <c r="J96" s="52" t="inlineStr">
        <is>
          <t>MELHORIAS</t>
        </is>
      </c>
      <c r="K96" s="127" t="n"/>
      <c r="L96" s="12" t="n"/>
      <c r="M96" s="126">
        <f>DADOS_AM!$FX$9</f>
        <v/>
      </c>
      <c r="N96" s="12" t="n"/>
      <c r="O96" s="115" t="n"/>
      <c r="P96" s="52" t="inlineStr">
        <is>
          <t>MELHORIAS</t>
        </is>
      </c>
      <c r="Q96" s="127" t="n"/>
      <c r="R96" s="12" t="n"/>
      <c r="S96" s="126">
        <f>DADOS_AM!$FX$10</f>
        <v/>
      </c>
      <c r="T96" s="12" t="n"/>
      <c r="U96" s="115" t="n"/>
    </row>
    <row r="97" hidden="1" outlineLevel="2">
      <c r="A97" s="8" t="n"/>
      <c r="B97" s="22" t="n"/>
      <c r="C97" s="115" t="n"/>
      <c r="D97" s="128" t="n"/>
      <c r="E97" s="127" t="n"/>
      <c r="F97" s="12" t="n"/>
      <c r="G97" s="126">
        <f>DADOS_AM!$FY$8</f>
        <v/>
      </c>
      <c r="H97" s="12" t="n"/>
      <c r="I97" s="115" t="n"/>
      <c r="J97" s="128" t="n"/>
      <c r="K97" s="127" t="n"/>
      <c r="L97" s="12" t="n"/>
      <c r="M97" s="126">
        <f>DADOS_AM!$FY$9</f>
        <v/>
      </c>
      <c r="N97" s="12" t="n"/>
      <c r="O97" s="115" t="n"/>
      <c r="P97" s="128" t="n"/>
      <c r="Q97" s="127" t="n"/>
      <c r="R97" s="12" t="n"/>
      <c r="S97" s="126">
        <f>DADOS_AM!$FY$10</f>
        <v/>
      </c>
      <c r="T97" s="12" t="n"/>
      <c r="U97" s="115" t="n"/>
    </row>
    <row r="98" hidden="1" outlineLevel="2">
      <c r="A98" s="8" t="n"/>
      <c r="B98" s="22" t="n"/>
      <c r="C98" s="115" t="n"/>
      <c r="D98" s="128" t="n"/>
      <c r="E98" s="127" t="n"/>
      <c r="F98" s="12" t="n"/>
      <c r="G98" s="126">
        <f>DADOS_AM!$FZ$8</f>
        <v/>
      </c>
      <c r="H98" s="12" t="n"/>
      <c r="I98" s="115" t="n"/>
      <c r="J98" s="128" t="n"/>
      <c r="K98" s="127" t="n"/>
      <c r="L98" s="12" t="n"/>
      <c r="M98" s="126">
        <f>DADOS_AM!$FZ$9</f>
        <v/>
      </c>
      <c r="N98" s="12" t="n"/>
      <c r="O98" s="115" t="n"/>
      <c r="P98" s="128" t="n"/>
      <c r="Q98" s="127" t="n"/>
      <c r="R98" s="12" t="n"/>
      <c r="S98" s="126">
        <f>DADOS_AM!$FZ$10</f>
        <v/>
      </c>
      <c r="T98" s="12" t="n"/>
      <c r="U98" s="115" t="n"/>
    </row>
    <row r="99" hidden="1" outlineLevel="2">
      <c r="A99" s="8" t="n"/>
      <c r="B99" s="22" t="n"/>
      <c r="C99" s="115" t="n"/>
      <c r="D99" s="121" t="n"/>
      <c r="E99" s="127" t="n"/>
      <c r="F99" s="12" t="n"/>
      <c r="G99" s="126">
        <f>DADOS_AM!$GA$8</f>
        <v/>
      </c>
      <c r="H99" s="12" t="n"/>
      <c r="I99" s="115" t="n"/>
      <c r="J99" s="121" t="n"/>
      <c r="K99" s="127" t="n"/>
      <c r="L99" s="12" t="n"/>
      <c r="M99" s="126">
        <f>DADOS_AM!$GA$9</f>
        <v/>
      </c>
      <c r="N99" s="12" t="n"/>
      <c r="O99" s="115" t="n"/>
      <c r="P99" s="121" t="n"/>
      <c r="Q99" s="127" t="n"/>
      <c r="R99" s="12" t="n"/>
      <c r="S99" s="126">
        <f>DADOS_AM!$GA$10</f>
        <v/>
      </c>
      <c r="T99" s="12" t="n"/>
      <c r="U99" s="115" t="n"/>
    </row>
    <row r="100" hidden="1" outlineLevel="2">
      <c r="A100" s="8" t="n"/>
      <c r="B100" s="22" t="n"/>
      <c r="C100" s="115" t="n"/>
      <c r="D100" s="52" t="inlineStr">
        <is>
          <t>RESTRIÇÕES</t>
        </is>
      </c>
      <c r="E100" s="127" t="n"/>
      <c r="F100" s="12" t="n"/>
      <c r="G100" s="126">
        <f>DADOS_AM!$GB$8</f>
        <v/>
      </c>
      <c r="H100" s="12" t="n"/>
      <c r="I100" s="115" t="n"/>
      <c r="J100" s="52" t="inlineStr">
        <is>
          <t>RESTRIÇÕES</t>
        </is>
      </c>
      <c r="K100" s="127" t="n"/>
      <c r="L100" s="12" t="n"/>
      <c r="M100" s="126">
        <f>DADOS_AM!$GB$9</f>
        <v/>
      </c>
      <c r="N100" s="12" t="n"/>
      <c r="O100" s="115" t="n"/>
      <c r="P100" s="52" t="inlineStr">
        <is>
          <t>RESTRIÇÕES</t>
        </is>
      </c>
      <c r="Q100" s="127" t="n"/>
      <c r="R100" s="12" t="n"/>
      <c r="S100" s="126">
        <f>DADOS_AM!$GB$10</f>
        <v/>
      </c>
      <c r="T100" s="12" t="n"/>
      <c r="U100" s="115" t="n"/>
    </row>
    <row r="101" hidden="1" outlineLevel="2">
      <c r="A101" s="8" t="n"/>
      <c r="B101" s="22" t="n"/>
      <c r="C101" s="115" t="n"/>
      <c r="D101" s="121" t="n"/>
      <c r="E101" s="127" t="n"/>
      <c r="F101" s="12" t="n"/>
      <c r="G101" s="126">
        <f>DADOS_AM!$GC$8</f>
        <v/>
      </c>
      <c r="H101" s="12" t="n"/>
      <c r="I101" s="115" t="n"/>
      <c r="J101" s="121" t="n"/>
      <c r="K101" s="127" t="n"/>
      <c r="L101" s="12" t="n"/>
      <c r="M101" s="126">
        <f>DADOS_AM!$GC$9</f>
        <v/>
      </c>
      <c r="N101" s="12" t="n"/>
      <c r="O101" s="115" t="n"/>
      <c r="P101" s="121" t="n"/>
      <c r="Q101" s="127" t="n"/>
      <c r="R101" s="12" t="n"/>
      <c r="S101" s="126">
        <f>DADOS_AM!$GC$10</f>
        <v/>
      </c>
      <c r="T101" s="12" t="n"/>
      <c r="U101" s="115" t="n"/>
    </row>
    <row r="102" hidden="1" outlineLevel="2">
      <c r="A102" s="8" t="n"/>
      <c r="B102" s="22" t="n"/>
      <c r="C102" s="115" t="n"/>
      <c r="D102" s="52" t="inlineStr">
        <is>
          <t>CONTA</t>
        </is>
      </c>
      <c r="E102" s="129">
        <f>DADOS_AM!$FV$8</f>
        <v/>
      </c>
      <c r="F102" s="11" t="n"/>
      <c r="G102" s="11" t="n"/>
      <c r="H102" s="12" t="n"/>
      <c r="I102" s="115" t="n"/>
      <c r="J102" s="52" t="inlineStr">
        <is>
          <t>CONTA</t>
        </is>
      </c>
      <c r="K102" s="129">
        <f>DADOS_AM!$FV$9</f>
        <v/>
      </c>
      <c r="L102" s="11" t="n"/>
      <c r="M102" s="11" t="n"/>
      <c r="N102" s="12" t="n"/>
      <c r="O102" s="115" t="n"/>
      <c r="P102" s="52" t="inlineStr">
        <is>
          <t>CONTA</t>
        </is>
      </c>
      <c r="Q102" s="129">
        <f>DADOS_AM!$FV$10</f>
        <v/>
      </c>
      <c r="R102" s="11" t="n"/>
      <c r="S102" s="11" t="n"/>
      <c r="T102" s="12" t="n"/>
      <c r="U102" s="115" t="n"/>
    </row>
    <row r="103" hidden="1" outlineLevel="2">
      <c r="A103" s="8" t="n"/>
      <c r="B103" s="22" t="n"/>
      <c r="C103" s="115" t="n"/>
      <c r="D103" s="52" t="inlineStr">
        <is>
          <t>AMPLIAR</t>
        </is>
      </c>
      <c r="E103" s="129">
        <f>DADOS_AM!$FW$8</f>
        <v/>
      </c>
      <c r="F103" s="14" t="n"/>
      <c r="G103" s="14" t="n"/>
      <c r="H103" s="15" t="n"/>
      <c r="I103" s="115" t="n"/>
      <c r="J103" s="52" t="inlineStr">
        <is>
          <t>AMPLIAR</t>
        </is>
      </c>
      <c r="K103" s="129">
        <f>DADOS_AM!$FW$9</f>
        <v/>
      </c>
      <c r="L103" s="14" t="n"/>
      <c r="M103" s="14" t="n"/>
      <c r="N103" s="15" t="n"/>
      <c r="O103" s="115" t="n"/>
      <c r="P103" s="52" t="inlineStr">
        <is>
          <t>AMPLIAR</t>
        </is>
      </c>
      <c r="Q103" s="129">
        <f>DADOS_AM!$FW$10</f>
        <v/>
      </c>
      <c r="R103" s="14" t="n"/>
      <c r="S103" s="14" t="n"/>
      <c r="T103" s="15" t="n"/>
      <c r="U103" s="115" t="n"/>
    </row>
    <row r="104" hidden="1" outlineLevel="2">
      <c r="A104" s="8" t="n"/>
      <c r="B104" s="22" t="n"/>
      <c r="C104" s="115" t="n"/>
      <c r="D104" s="121" t="n"/>
      <c r="E104" s="18" t="n"/>
      <c r="F104" s="19" t="n"/>
      <c r="G104" s="19" t="n"/>
      <c r="H104" s="20" t="n"/>
      <c r="I104" s="115" t="n"/>
      <c r="J104" s="121" t="n"/>
      <c r="K104" s="18" t="n"/>
      <c r="L104" s="19" t="n"/>
      <c r="M104" s="19" t="n"/>
      <c r="N104" s="20" t="n"/>
      <c r="O104" s="115" t="n"/>
      <c r="P104" s="121" t="n"/>
      <c r="Q104" s="18" t="n"/>
      <c r="R104" s="19" t="n"/>
      <c r="S104" s="19" t="n"/>
      <c r="T104" s="20" t="n"/>
      <c r="U104" s="115" t="n"/>
    </row>
    <row r="105" hidden="1" outlineLevel="2">
      <c r="A105" s="8" t="n"/>
      <c r="B105" s="22" t="n"/>
      <c r="C105" s="115" t="n"/>
      <c r="D105" s="52" t="inlineStr">
        <is>
          <t>AVISOS</t>
        </is>
      </c>
      <c r="E105" s="129">
        <f>DADOS_AM!$FL$8</f>
        <v/>
      </c>
      <c r="F105" s="14" t="n"/>
      <c r="G105" s="14" t="n"/>
      <c r="H105" s="15" t="n"/>
      <c r="I105" s="115" t="n"/>
      <c r="J105" s="52" t="inlineStr">
        <is>
          <t>AVISOS</t>
        </is>
      </c>
      <c r="K105" s="129">
        <f>DADOS_AM!$FL$9</f>
        <v/>
      </c>
      <c r="L105" s="14" t="n"/>
      <c r="M105" s="14" t="n"/>
      <c r="N105" s="15" t="n"/>
      <c r="O105" s="115" t="n"/>
      <c r="P105" s="52" t="inlineStr">
        <is>
          <t>AVISOS</t>
        </is>
      </c>
      <c r="Q105" s="129">
        <f>DADOS_AM!$FL$10</f>
        <v/>
      </c>
      <c r="R105" s="14" t="n"/>
      <c r="S105" s="14" t="n"/>
      <c r="T105" s="15" t="n"/>
      <c r="U105" s="115" t="n"/>
    </row>
    <row r="106" hidden="1" outlineLevel="2">
      <c r="A106" s="8" t="n"/>
      <c r="B106" s="22" t="n"/>
      <c r="C106" s="115" t="n"/>
      <c r="D106" s="121" t="n"/>
      <c r="E106" s="18" t="n"/>
      <c r="F106" s="19" t="n"/>
      <c r="G106" s="19" t="n"/>
      <c r="H106" s="20" t="n"/>
      <c r="I106" s="115" t="n"/>
      <c r="J106" s="121" t="n"/>
      <c r="K106" s="18" t="n"/>
      <c r="L106" s="19" t="n"/>
      <c r="M106" s="19" t="n"/>
      <c r="N106" s="20" t="n"/>
      <c r="O106" s="115" t="n"/>
      <c r="P106" s="121"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DADOS_AM!$FK$11</f>
        <v/>
      </c>
      <c r="H108" s="12" t="n"/>
      <c r="I108" s="115" t="n"/>
      <c r="J108" s="123" t="n">
        <v>1</v>
      </c>
      <c r="K108" s="124" t="n"/>
      <c r="L108" s="12" t="n"/>
      <c r="M108" s="125">
        <f>DADOS_AM!$FK$12</f>
        <v/>
      </c>
      <c r="N108" s="12" t="n"/>
      <c r="O108" s="115" t="n"/>
      <c r="P108" s="123" t="n">
        <v>1</v>
      </c>
      <c r="Q108" s="124" t="n"/>
      <c r="R108" s="12" t="n"/>
      <c r="S108" s="125">
        <f>DADOS_AM!$FK$13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19" t="n"/>
      <c r="E110" s="14" t="n"/>
      <c r="F110" s="14" t="n"/>
      <c r="G110" s="14" t="n"/>
      <c r="H110" s="15" t="n"/>
      <c r="I110" s="115" t="n"/>
      <c r="J110" s="119" t="n"/>
      <c r="K110" s="14" t="n"/>
      <c r="L110" s="14" t="n"/>
      <c r="M110" s="14" t="n"/>
      <c r="N110" s="15" t="n"/>
      <c r="O110" s="115" t="n"/>
      <c r="P110" s="119"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0" t="inlineStr">
        <is>
          <t>Projétil</t>
        </is>
      </c>
      <c r="E115" s="65">
        <f>DADOS_AM!$FP$11</f>
        <v/>
      </c>
      <c r="F115" s="65">
        <f>DADOS_AM!$FM$11</f>
        <v/>
      </c>
      <c r="G115" s="120">
        <f>DADOS_AM!$FO$11</f>
        <v/>
      </c>
      <c r="H115" s="12" t="n"/>
      <c r="I115" s="115" t="n"/>
      <c r="J115" s="120" t="inlineStr">
        <is>
          <t>Projétil</t>
        </is>
      </c>
      <c r="K115" s="65">
        <f>DADOS_AM!$FP$12</f>
        <v/>
      </c>
      <c r="L115" s="65">
        <f>DADOS_AM!$FM$12</f>
        <v/>
      </c>
      <c r="M115" s="120">
        <f>DADOS_AM!$FO$12</f>
        <v/>
      </c>
      <c r="N115" s="12" t="n"/>
      <c r="O115" s="115" t="n"/>
      <c r="P115" s="120" t="inlineStr">
        <is>
          <t>Projétil</t>
        </is>
      </c>
      <c r="Q115" s="65">
        <f>DADOS_AM!$FP$13</f>
        <v/>
      </c>
      <c r="R115" s="65">
        <f>DADOS_AM!$FM$13</f>
        <v/>
      </c>
      <c r="S115" s="120">
        <f>DADOS_AM!$FO$13</f>
        <v/>
      </c>
      <c r="T115" s="12" t="n"/>
      <c r="U115" s="115" t="n"/>
    </row>
    <row r="116" outlineLevel="1">
      <c r="A116" s="8" t="n"/>
      <c r="B116" s="22" t="n"/>
      <c r="C116" s="115" t="n"/>
      <c r="D116" s="120">
        <f>DADOS_AM!$FN$11</f>
        <v/>
      </c>
      <c r="E116" s="126">
        <f>DADOS_AM!$FU$11</f>
        <v/>
      </c>
      <c r="F116" s="11" t="n"/>
      <c r="G116" s="11" t="n"/>
      <c r="H116" s="12" t="n"/>
      <c r="I116" s="115" t="n"/>
      <c r="J116" s="120">
        <f>DADOS_AM!$FN$12</f>
        <v/>
      </c>
      <c r="K116" s="126">
        <f>DADOS_AM!$FU$12</f>
        <v/>
      </c>
      <c r="L116" s="11" t="n"/>
      <c r="M116" s="11" t="n"/>
      <c r="N116" s="12" t="n"/>
      <c r="O116" s="115" t="n"/>
      <c r="P116" s="120">
        <f>DADOS_AM!$FN$13</f>
        <v/>
      </c>
      <c r="Q116" s="126">
        <f>DADOS_AM!$FU$13</f>
        <v/>
      </c>
      <c r="R116" s="11" t="n"/>
      <c r="S116" s="11" t="n"/>
      <c r="T116" s="12" t="n"/>
      <c r="U116" s="115" t="n"/>
    </row>
    <row r="117" hidden="1" outlineLevel="2">
      <c r="A117" s="8" t="n"/>
      <c r="B117" s="22" t="n"/>
      <c r="C117" s="115" t="n"/>
      <c r="D117" s="52" t="inlineStr">
        <is>
          <t>MELHORIAS</t>
        </is>
      </c>
      <c r="E117" s="127" t="n"/>
      <c r="F117" s="12" t="n"/>
      <c r="G117" s="126">
        <f>DADOS_AM!$FX$11</f>
        <v/>
      </c>
      <c r="H117" s="12" t="n"/>
      <c r="I117" s="115" t="n"/>
      <c r="J117" s="52" t="inlineStr">
        <is>
          <t>MELHORIAS</t>
        </is>
      </c>
      <c r="K117" s="127" t="n"/>
      <c r="L117" s="12" t="n"/>
      <c r="M117" s="126">
        <f>DADOS_AM!$FX$12</f>
        <v/>
      </c>
      <c r="N117" s="12" t="n"/>
      <c r="O117" s="115" t="n"/>
      <c r="P117" s="52" t="inlineStr">
        <is>
          <t>MELHORIAS</t>
        </is>
      </c>
      <c r="Q117" s="127" t="n"/>
      <c r="R117" s="12" t="n"/>
      <c r="S117" s="126">
        <f>DADOS_AM!$FX$13</f>
        <v/>
      </c>
      <c r="T117" s="12" t="n"/>
      <c r="U117" s="115" t="n"/>
    </row>
    <row r="118" hidden="1" outlineLevel="2">
      <c r="A118" s="8" t="n"/>
      <c r="B118" s="22" t="n"/>
      <c r="C118" s="115" t="n"/>
      <c r="D118" s="128" t="n"/>
      <c r="E118" s="127" t="n"/>
      <c r="F118" s="12" t="n"/>
      <c r="G118" s="126">
        <f>DADOS_AM!$FY$11</f>
        <v/>
      </c>
      <c r="H118" s="12" t="n"/>
      <c r="I118" s="115" t="n"/>
      <c r="J118" s="128" t="n"/>
      <c r="K118" s="127" t="n"/>
      <c r="L118" s="12" t="n"/>
      <c r="M118" s="126">
        <f>DADOS_AM!$FY$12</f>
        <v/>
      </c>
      <c r="N118" s="12" t="n"/>
      <c r="O118" s="115" t="n"/>
      <c r="P118" s="128" t="n"/>
      <c r="Q118" s="127" t="n"/>
      <c r="R118" s="12" t="n"/>
      <c r="S118" s="126">
        <f>DADOS_AM!$FY$13</f>
        <v/>
      </c>
      <c r="T118" s="12" t="n"/>
      <c r="U118" s="115" t="n"/>
    </row>
    <row r="119" hidden="1" outlineLevel="2">
      <c r="A119" s="8" t="n"/>
      <c r="B119" s="22" t="n"/>
      <c r="C119" s="115" t="n"/>
      <c r="D119" s="128" t="n"/>
      <c r="E119" s="127" t="n"/>
      <c r="F119" s="12" t="n"/>
      <c r="G119" s="126">
        <f>DADOS_AM!$FZ$11</f>
        <v/>
      </c>
      <c r="H119" s="12" t="n"/>
      <c r="I119" s="115" t="n"/>
      <c r="J119" s="128" t="n"/>
      <c r="K119" s="127" t="n"/>
      <c r="L119" s="12" t="n"/>
      <c r="M119" s="126">
        <f>DADOS_AM!$FZ$12</f>
        <v/>
      </c>
      <c r="N119" s="12" t="n"/>
      <c r="O119" s="115" t="n"/>
      <c r="P119" s="128" t="n"/>
      <c r="Q119" s="127" t="n"/>
      <c r="R119" s="12" t="n"/>
      <c r="S119" s="126">
        <f>DADOS_AM!$FZ$13</f>
        <v/>
      </c>
      <c r="T119" s="12" t="n"/>
      <c r="U119" s="115" t="n"/>
    </row>
    <row r="120" hidden="1" outlineLevel="2">
      <c r="A120" s="8" t="n"/>
      <c r="B120" s="22" t="n"/>
      <c r="C120" s="115" t="n"/>
      <c r="D120" s="121" t="n"/>
      <c r="E120" s="127" t="n"/>
      <c r="F120" s="12" t="n"/>
      <c r="G120" s="126">
        <f>DADOS_AM!$GA$11</f>
        <v/>
      </c>
      <c r="H120" s="12" t="n"/>
      <c r="I120" s="115" t="n"/>
      <c r="J120" s="121" t="n"/>
      <c r="K120" s="127" t="n"/>
      <c r="L120" s="12" t="n"/>
      <c r="M120" s="126">
        <f>DADOS_AM!$GA$12</f>
        <v/>
      </c>
      <c r="N120" s="12" t="n"/>
      <c r="O120" s="115" t="n"/>
      <c r="P120" s="121" t="n"/>
      <c r="Q120" s="127" t="n"/>
      <c r="R120" s="12" t="n"/>
      <c r="S120" s="126">
        <f>DADOS_AM!$GA$13</f>
        <v/>
      </c>
      <c r="T120" s="12" t="n"/>
      <c r="U120" s="115" t="n"/>
    </row>
    <row r="121" hidden="1" outlineLevel="2">
      <c r="A121" s="8" t="n"/>
      <c r="B121" s="22" t="n"/>
      <c r="C121" s="115" t="n"/>
      <c r="D121" s="52" t="inlineStr">
        <is>
          <t>RESTRIÇÕES</t>
        </is>
      </c>
      <c r="E121" s="127" t="n"/>
      <c r="F121" s="12" t="n"/>
      <c r="G121" s="126">
        <f>DADOS_AM!$GB$11</f>
        <v/>
      </c>
      <c r="H121" s="12" t="n"/>
      <c r="I121" s="115" t="n"/>
      <c r="J121" s="52" t="inlineStr">
        <is>
          <t>RESTRIÇÕES</t>
        </is>
      </c>
      <c r="K121" s="127" t="n"/>
      <c r="L121" s="12" t="n"/>
      <c r="M121" s="126">
        <f>DADOS_AM!$GB$12</f>
        <v/>
      </c>
      <c r="N121" s="12" t="n"/>
      <c r="O121" s="115" t="n"/>
      <c r="P121" s="52" t="inlineStr">
        <is>
          <t>RESTRIÇÕES</t>
        </is>
      </c>
      <c r="Q121" s="127" t="n"/>
      <c r="R121" s="12" t="n"/>
      <c r="S121" s="126">
        <f>DADOS_AM!$GB$13</f>
        <v/>
      </c>
      <c r="T121" s="12" t="n"/>
      <c r="U121" s="115" t="n"/>
    </row>
    <row r="122" hidden="1" outlineLevel="2">
      <c r="A122" s="8" t="n"/>
      <c r="B122" s="22" t="n"/>
      <c r="C122" s="115" t="n"/>
      <c r="D122" s="121" t="n"/>
      <c r="E122" s="127" t="n"/>
      <c r="F122" s="12" t="n"/>
      <c r="G122" s="126">
        <f>DADOS_AM!$GC$11</f>
        <v/>
      </c>
      <c r="H122" s="12" t="n"/>
      <c r="I122" s="115" t="n"/>
      <c r="J122" s="121" t="n"/>
      <c r="K122" s="127" t="n"/>
      <c r="L122" s="12" t="n"/>
      <c r="M122" s="126">
        <f>DADOS_AM!$GC$12</f>
        <v/>
      </c>
      <c r="N122" s="12" t="n"/>
      <c r="O122" s="115" t="n"/>
      <c r="P122" s="121" t="n"/>
      <c r="Q122" s="127" t="n"/>
      <c r="R122" s="12" t="n"/>
      <c r="S122" s="126">
        <f>DADOS_AM!$GC$13</f>
        <v/>
      </c>
      <c r="T122" s="12" t="n"/>
      <c r="U122" s="115" t="n"/>
    </row>
    <row r="123" hidden="1" outlineLevel="2">
      <c r="A123" s="8" t="n"/>
      <c r="B123" s="22" t="n"/>
      <c r="C123" s="115" t="n"/>
      <c r="D123" s="52" t="inlineStr">
        <is>
          <t>CONTA</t>
        </is>
      </c>
      <c r="E123" s="129">
        <f>DADOS_AM!$FV$11</f>
        <v/>
      </c>
      <c r="F123" s="11" t="n"/>
      <c r="G123" s="11" t="n"/>
      <c r="H123" s="12" t="n"/>
      <c r="I123" s="115" t="n"/>
      <c r="J123" s="52" t="inlineStr">
        <is>
          <t>CONTA</t>
        </is>
      </c>
      <c r="K123" s="129">
        <f>DADOS_AM!$FV$12</f>
        <v/>
      </c>
      <c r="L123" s="11" t="n"/>
      <c r="M123" s="11" t="n"/>
      <c r="N123" s="12" t="n"/>
      <c r="O123" s="115" t="n"/>
      <c r="P123" s="52" t="inlineStr">
        <is>
          <t>CONTA</t>
        </is>
      </c>
      <c r="Q123" s="129">
        <f>DADOS_AM!$FV$13</f>
        <v/>
      </c>
      <c r="R123" s="11" t="n"/>
      <c r="S123" s="11" t="n"/>
      <c r="T123" s="12" t="n"/>
      <c r="U123" s="115" t="n"/>
    </row>
    <row r="124" hidden="1" outlineLevel="2">
      <c r="A124" s="8" t="n"/>
      <c r="B124" s="22" t="n"/>
      <c r="C124" s="115" t="n"/>
      <c r="D124" s="52" t="inlineStr">
        <is>
          <t>AMPLIAR</t>
        </is>
      </c>
      <c r="E124" s="129">
        <f>DADOS_AM!$FW$11</f>
        <v/>
      </c>
      <c r="F124" s="14" t="n"/>
      <c r="G124" s="14" t="n"/>
      <c r="H124" s="15" t="n"/>
      <c r="I124" s="115" t="n"/>
      <c r="J124" s="52" t="inlineStr">
        <is>
          <t>AMPLIAR</t>
        </is>
      </c>
      <c r="K124" s="129">
        <f>DADOS_AM!$FW$12</f>
        <v/>
      </c>
      <c r="L124" s="14" t="n"/>
      <c r="M124" s="14" t="n"/>
      <c r="N124" s="15" t="n"/>
      <c r="O124" s="115" t="n"/>
      <c r="P124" s="52" t="inlineStr">
        <is>
          <t>AMPLIAR</t>
        </is>
      </c>
      <c r="Q124" s="129">
        <f>DADOS_AM!$FW$13</f>
        <v/>
      </c>
      <c r="R124" s="14" t="n"/>
      <c r="S124" s="14" t="n"/>
      <c r="T124" s="15" t="n"/>
      <c r="U124" s="115" t="n"/>
    </row>
    <row r="125" hidden="1" outlineLevel="2">
      <c r="A125" s="8" t="n"/>
      <c r="B125" s="22" t="n"/>
      <c r="C125" s="115" t="n"/>
      <c r="D125" s="121" t="n"/>
      <c r="E125" s="18" t="n"/>
      <c r="F125" s="19" t="n"/>
      <c r="G125" s="19" t="n"/>
      <c r="H125" s="20" t="n"/>
      <c r="I125" s="115" t="n"/>
      <c r="J125" s="121" t="n"/>
      <c r="K125" s="18" t="n"/>
      <c r="L125" s="19" t="n"/>
      <c r="M125" s="19" t="n"/>
      <c r="N125" s="20" t="n"/>
      <c r="O125" s="115" t="n"/>
      <c r="P125" s="121" t="n"/>
      <c r="Q125" s="18" t="n"/>
      <c r="R125" s="19" t="n"/>
      <c r="S125" s="19" t="n"/>
      <c r="T125" s="20" t="n"/>
      <c r="U125" s="115" t="n"/>
    </row>
    <row r="126" hidden="1" outlineLevel="2">
      <c r="A126" s="8" t="n"/>
      <c r="B126" s="22" t="n"/>
      <c r="C126" s="115" t="n"/>
      <c r="D126" s="52" t="inlineStr">
        <is>
          <t>AVISOS</t>
        </is>
      </c>
      <c r="E126" s="129">
        <f>DADOS_AM!$FL$11</f>
        <v/>
      </c>
      <c r="F126" s="14" t="n"/>
      <c r="G126" s="14" t="n"/>
      <c r="H126" s="15" t="n"/>
      <c r="I126" s="115" t="n"/>
      <c r="J126" s="52" t="inlineStr">
        <is>
          <t>AVISOS</t>
        </is>
      </c>
      <c r="K126" s="129">
        <f>DADOS_AM!$FL$12</f>
        <v/>
      </c>
      <c r="L126" s="14" t="n"/>
      <c r="M126" s="14" t="n"/>
      <c r="N126" s="15" t="n"/>
      <c r="O126" s="115" t="n"/>
      <c r="P126" s="52" t="inlineStr">
        <is>
          <t>AVISOS</t>
        </is>
      </c>
      <c r="Q126" s="129">
        <f>DADOS_AM!$FL$13</f>
        <v/>
      </c>
      <c r="R126" s="14" t="n"/>
      <c r="S126" s="14" t="n"/>
      <c r="T126" s="15" t="n"/>
      <c r="U126" s="115" t="n"/>
    </row>
    <row r="127" hidden="1" outlineLevel="2">
      <c r="A127" s="8" t="n"/>
      <c r="B127" s="22" t="n"/>
      <c r="C127" s="115" t="n"/>
      <c r="D127" s="121" t="n"/>
      <c r="E127" s="18" t="n"/>
      <c r="F127" s="19" t="n"/>
      <c r="G127" s="19" t="n"/>
      <c r="H127" s="20" t="n"/>
      <c r="I127" s="115" t="n"/>
      <c r="J127" s="121" t="n"/>
      <c r="K127" s="18" t="n"/>
      <c r="L127" s="19" t="n"/>
      <c r="M127" s="19" t="n"/>
      <c r="N127" s="20" t="n"/>
      <c r="O127" s="115" t="n"/>
      <c r="P127" s="121"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DADOS_AM!$FK$14</f>
        <v/>
      </c>
      <c r="H131" s="12" t="n"/>
      <c r="I131" s="115" t="n"/>
      <c r="J131" s="123" t="n">
        <v>1</v>
      </c>
      <c r="K131" s="124" t="n"/>
      <c r="L131" s="12" t="n"/>
      <c r="M131" s="125">
        <f>DADOS_AM!$FK$15</f>
        <v/>
      </c>
      <c r="N131" s="12" t="n"/>
      <c r="O131" s="115" t="n"/>
      <c r="P131" s="123" t="n">
        <v>1</v>
      </c>
      <c r="Q131" s="124" t="n"/>
      <c r="R131" s="12" t="n"/>
      <c r="S131" s="125">
        <f>DADOS_AM!$FK$16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19" t="n"/>
      <c r="E133" s="14" t="n"/>
      <c r="F133" s="14" t="n"/>
      <c r="G133" s="14" t="n"/>
      <c r="H133" s="15" t="n"/>
      <c r="I133" s="115" t="n"/>
      <c r="J133" s="119" t="n"/>
      <c r="K133" s="14" t="n"/>
      <c r="L133" s="14" t="n"/>
      <c r="M133" s="14" t="n"/>
      <c r="N133" s="15" t="n"/>
      <c r="O133" s="115" t="n"/>
      <c r="P133" s="119"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0" t="inlineStr">
        <is>
          <t>Projétil</t>
        </is>
      </c>
      <c r="E138" s="65">
        <f>DADOS_AM!$FP$14</f>
        <v/>
      </c>
      <c r="F138" s="65">
        <f>DADOS_AM!$FM$14</f>
        <v/>
      </c>
      <c r="G138" s="120">
        <f>DADOS_AM!$FO$14</f>
        <v/>
      </c>
      <c r="H138" s="12" t="n"/>
      <c r="I138" s="115" t="n"/>
      <c r="J138" s="120" t="inlineStr">
        <is>
          <t>Projétil</t>
        </is>
      </c>
      <c r="K138" s="65">
        <f>DADOS_AM!$FP$15</f>
        <v/>
      </c>
      <c r="L138" s="65">
        <f>DADOS_AM!$FM$15</f>
        <v/>
      </c>
      <c r="M138" s="120">
        <f>DADOS_AM!$FO$15</f>
        <v/>
      </c>
      <c r="N138" s="12" t="n"/>
      <c r="O138" s="115" t="n"/>
      <c r="P138" s="120" t="inlineStr">
        <is>
          <t>Projétil</t>
        </is>
      </c>
      <c r="Q138" s="65">
        <f>DADOS_AM!$FP$16</f>
        <v/>
      </c>
      <c r="R138" s="65">
        <f>DADOS_AM!$FM$16</f>
        <v/>
      </c>
      <c r="S138" s="120">
        <f>DADOS_AM!$FO$16</f>
        <v/>
      </c>
      <c r="T138" s="12" t="n"/>
      <c r="U138" s="115" t="n"/>
    </row>
    <row r="139" hidden="1" outlineLevel="2">
      <c r="A139" s="8" t="n"/>
      <c r="B139" s="22" t="n"/>
      <c r="C139" s="115" t="n"/>
      <c r="D139" s="120">
        <f>DADOS_AM!$FN$14</f>
        <v/>
      </c>
      <c r="E139" s="126">
        <f>DADOS_AM!$FU$14</f>
        <v/>
      </c>
      <c r="F139" s="11" t="n"/>
      <c r="G139" s="11" t="n"/>
      <c r="H139" s="12" t="n"/>
      <c r="I139" s="115" t="n"/>
      <c r="J139" s="120">
        <f>DADOS_AM!$FN$15</f>
        <v/>
      </c>
      <c r="K139" s="126">
        <f>DADOS_AM!$FU$15</f>
        <v/>
      </c>
      <c r="L139" s="11" t="n"/>
      <c r="M139" s="11" t="n"/>
      <c r="N139" s="12" t="n"/>
      <c r="O139" s="115" t="n"/>
      <c r="P139" s="120">
        <f>DADOS_AM!$FN$16</f>
        <v/>
      </c>
      <c r="Q139" s="126">
        <f>DADOS_AM!$FU$16</f>
        <v/>
      </c>
      <c r="R139" s="11" t="n"/>
      <c r="S139" s="11" t="n"/>
      <c r="T139" s="12" t="n"/>
      <c r="U139" s="115" t="n"/>
    </row>
    <row r="140" hidden="1" outlineLevel="3">
      <c r="A140" s="8" t="n"/>
      <c r="B140" s="22" t="n"/>
      <c r="C140" s="115" t="n"/>
      <c r="D140" s="52" t="inlineStr">
        <is>
          <t>MELHORIAS</t>
        </is>
      </c>
      <c r="E140" s="127" t="n"/>
      <c r="F140" s="12" t="n"/>
      <c r="G140" s="126">
        <f>DADOS_AM!$FX$14</f>
        <v/>
      </c>
      <c r="H140" s="12" t="n"/>
      <c r="I140" s="115" t="n"/>
      <c r="J140" s="52" t="inlineStr">
        <is>
          <t>MELHORIAS</t>
        </is>
      </c>
      <c r="K140" s="127" t="n"/>
      <c r="L140" s="12" t="n"/>
      <c r="M140" s="126">
        <f>DADOS_AM!$FX$15</f>
        <v/>
      </c>
      <c r="N140" s="12" t="n"/>
      <c r="O140" s="115" t="n"/>
      <c r="P140" s="52" t="inlineStr">
        <is>
          <t>MELHORIAS</t>
        </is>
      </c>
      <c r="Q140" s="127" t="n"/>
      <c r="R140" s="12" t="n"/>
      <c r="S140" s="126">
        <f>DADOS_AM!$FX$16</f>
        <v/>
      </c>
      <c r="T140" s="12" t="n"/>
      <c r="U140" s="115" t="n"/>
    </row>
    <row r="141" hidden="1" outlineLevel="3">
      <c r="A141" s="8" t="n"/>
      <c r="B141" s="22" t="n"/>
      <c r="C141" s="115" t="n"/>
      <c r="D141" s="128" t="n"/>
      <c r="E141" s="127" t="n"/>
      <c r="F141" s="12" t="n"/>
      <c r="G141" s="126">
        <f>DADOS_AM!$FY$14</f>
        <v/>
      </c>
      <c r="H141" s="12" t="n"/>
      <c r="I141" s="115" t="n"/>
      <c r="J141" s="128" t="n"/>
      <c r="K141" s="127" t="n"/>
      <c r="L141" s="12" t="n"/>
      <c r="M141" s="126">
        <f>DADOS_AM!$FY$15</f>
        <v/>
      </c>
      <c r="N141" s="12" t="n"/>
      <c r="O141" s="115" t="n"/>
      <c r="P141" s="128" t="n"/>
      <c r="Q141" s="127" t="n"/>
      <c r="R141" s="12" t="n"/>
      <c r="S141" s="126">
        <f>DADOS_AM!$FY$16</f>
        <v/>
      </c>
      <c r="T141" s="12" t="n"/>
      <c r="U141" s="115" t="n"/>
    </row>
    <row r="142" hidden="1" outlineLevel="3">
      <c r="A142" s="8" t="n"/>
      <c r="B142" s="22" t="n"/>
      <c r="C142" s="115" t="n"/>
      <c r="D142" s="128" t="n"/>
      <c r="E142" s="127" t="n"/>
      <c r="F142" s="12" t="n"/>
      <c r="G142" s="126">
        <f>DADOS_AM!$FZ$14</f>
        <v/>
      </c>
      <c r="H142" s="12" t="n"/>
      <c r="I142" s="115" t="n"/>
      <c r="J142" s="128" t="n"/>
      <c r="K142" s="127" t="n"/>
      <c r="L142" s="12" t="n"/>
      <c r="M142" s="126">
        <f>DADOS_AM!$FZ$15</f>
        <v/>
      </c>
      <c r="N142" s="12" t="n"/>
      <c r="O142" s="115" t="n"/>
      <c r="P142" s="128" t="n"/>
      <c r="Q142" s="127" t="n"/>
      <c r="R142" s="12" t="n"/>
      <c r="S142" s="126">
        <f>DADOS_AM!$FZ$16</f>
        <v/>
      </c>
      <c r="T142" s="12" t="n"/>
      <c r="U142" s="115" t="n"/>
    </row>
    <row r="143" hidden="1" outlineLevel="3">
      <c r="A143" s="8" t="n"/>
      <c r="B143" s="22" t="n"/>
      <c r="C143" s="115" t="n"/>
      <c r="D143" s="121" t="n"/>
      <c r="E143" s="127" t="n"/>
      <c r="F143" s="12" t="n"/>
      <c r="G143" s="126">
        <f>DADOS_AM!$GA$14</f>
        <v/>
      </c>
      <c r="H143" s="12" t="n"/>
      <c r="I143" s="115" t="n"/>
      <c r="J143" s="121" t="n"/>
      <c r="K143" s="127" t="n"/>
      <c r="L143" s="12" t="n"/>
      <c r="M143" s="126">
        <f>DADOS_AM!$GA$15</f>
        <v/>
      </c>
      <c r="N143" s="12" t="n"/>
      <c r="O143" s="115" t="n"/>
      <c r="P143" s="121" t="n"/>
      <c r="Q143" s="127" t="n"/>
      <c r="R143" s="12" t="n"/>
      <c r="S143" s="126">
        <f>DADOS_AM!$GA$16</f>
        <v/>
      </c>
      <c r="T143" s="12" t="n"/>
      <c r="U143" s="115" t="n"/>
    </row>
    <row r="144" hidden="1" outlineLevel="3">
      <c r="A144" s="8" t="n"/>
      <c r="B144" s="22" t="n"/>
      <c r="C144" s="115" t="n"/>
      <c r="D144" s="52" t="inlineStr">
        <is>
          <t>RESTRIÇÕES</t>
        </is>
      </c>
      <c r="E144" s="127" t="n"/>
      <c r="F144" s="12" t="n"/>
      <c r="G144" s="126">
        <f>DADOS_AM!$GB$14</f>
        <v/>
      </c>
      <c r="H144" s="12" t="n"/>
      <c r="I144" s="115" t="n"/>
      <c r="J144" s="52" t="inlineStr">
        <is>
          <t>RESTRIÇÕES</t>
        </is>
      </c>
      <c r="K144" s="127" t="n"/>
      <c r="L144" s="12" t="n"/>
      <c r="M144" s="126">
        <f>DADOS_AM!$GB$15</f>
        <v/>
      </c>
      <c r="N144" s="12" t="n"/>
      <c r="O144" s="115" t="n"/>
      <c r="P144" s="52" t="inlineStr">
        <is>
          <t>RESTRIÇÕES</t>
        </is>
      </c>
      <c r="Q144" s="127" t="n"/>
      <c r="R144" s="12" t="n"/>
      <c r="S144" s="126">
        <f>DADOS_AM!$GB$16</f>
        <v/>
      </c>
      <c r="T144" s="12" t="n"/>
      <c r="U144" s="115" t="n"/>
    </row>
    <row r="145" hidden="1" outlineLevel="3">
      <c r="A145" s="8" t="n"/>
      <c r="B145" s="22" t="n"/>
      <c r="C145" s="115" t="n"/>
      <c r="D145" s="121" t="n"/>
      <c r="E145" s="127" t="n"/>
      <c r="F145" s="12" t="n"/>
      <c r="G145" s="126">
        <f>DADOS_AM!$GC$14</f>
        <v/>
      </c>
      <c r="H145" s="12" t="n"/>
      <c r="I145" s="115" t="n"/>
      <c r="J145" s="121" t="n"/>
      <c r="K145" s="127" t="n"/>
      <c r="L145" s="12" t="n"/>
      <c r="M145" s="126">
        <f>DADOS_AM!$GC$15</f>
        <v/>
      </c>
      <c r="N145" s="12" t="n"/>
      <c r="O145" s="115" t="n"/>
      <c r="P145" s="121" t="n"/>
      <c r="Q145" s="127" t="n"/>
      <c r="R145" s="12" t="n"/>
      <c r="S145" s="126">
        <f>DADOS_AM!$GC$16</f>
        <v/>
      </c>
      <c r="T145" s="12" t="n"/>
      <c r="U145" s="115" t="n"/>
    </row>
    <row r="146" hidden="1" outlineLevel="3">
      <c r="A146" s="8" t="n"/>
      <c r="B146" s="22" t="n"/>
      <c r="C146" s="115" t="n"/>
      <c r="D146" s="52" t="inlineStr">
        <is>
          <t>CONTA</t>
        </is>
      </c>
      <c r="E146" s="129">
        <f>DADOS_AM!$FV$14</f>
        <v/>
      </c>
      <c r="F146" s="11" t="n"/>
      <c r="G146" s="11" t="n"/>
      <c r="H146" s="12" t="n"/>
      <c r="I146" s="115" t="n"/>
      <c r="J146" s="52" t="inlineStr">
        <is>
          <t>CONTA</t>
        </is>
      </c>
      <c r="K146" s="129">
        <f>DADOS_AM!$FV$15</f>
        <v/>
      </c>
      <c r="L146" s="11" t="n"/>
      <c r="M146" s="11" t="n"/>
      <c r="N146" s="12" t="n"/>
      <c r="O146" s="115" t="n"/>
      <c r="P146" s="52" t="inlineStr">
        <is>
          <t>CONTA</t>
        </is>
      </c>
      <c r="Q146" s="129">
        <f>DADOS_AM!$FV$16</f>
        <v/>
      </c>
      <c r="R146" s="11" t="n"/>
      <c r="S146" s="11" t="n"/>
      <c r="T146" s="12" t="n"/>
      <c r="U146" s="115" t="n"/>
    </row>
    <row r="147" hidden="1" outlineLevel="3">
      <c r="A147" s="8" t="n"/>
      <c r="B147" s="22" t="n"/>
      <c r="C147" s="115" t="n"/>
      <c r="D147" s="52" t="inlineStr">
        <is>
          <t>AMPLIAR</t>
        </is>
      </c>
      <c r="E147" s="129">
        <f>DADOS_AM!$FW$14</f>
        <v/>
      </c>
      <c r="F147" s="14" t="n"/>
      <c r="G147" s="14" t="n"/>
      <c r="H147" s="15" t="n"/>
      <c r="I147" s="115" t="n"/>
      <c r="J147" s="52" t="inlineStr">
        <is>
          <t>AMPLIAR</t>
        </is>
      </c>
      <c r="K147" s="129">
        <f>DADOS_AM!$FW$15</f>
        <v/>
      </c>
      <c r="L147" s="14" t="n"/>
      <c r="M147" s="14" t="n"/>
      <c r="N147" s="15" t="n"/>
      <c r="O147" s="115" t="n"/>
      <c r="P147" s="52" t="inlineStr">
        <is>
          <t>AMPLIAR</t>
        </is>
      </c>
      <c r="Q147" s="129">
        <f>DADOS_AM!$FW$16</f>
        <v/>
      </c>
      <c r="R147" s="14" t="n"/>
      <c r="S147" s="14" t="n"/>
      <c r="T147" s="15" t="n"/>
      <c r="U147" s="115" t="n"/>
    </row>
    <row r="148" hidden="1" outlineLevel="3">
      <c r="A148" s="8" t="n"/>
      <c r="B148" s="22" t="n"/>
      <c r="C148" s="115" t="n"/>
      <c r="D148" s="121" t="n"/>
      <c r="E148" s="18" t="n"/>
      <c r="F148" s="19" t="n"/>
      <c r="G148" s="19" t="n"/>
      <c r="H148" s="20" t="n"/>
      <c r="I148" s="115" t="n"/>
      <c r="J148" s="121" t="n"/>
      <c r="K148" s="18" t="n"/>
      <c r="L148" s="19" t="n"/>
      <c r="M148" s="19" t="n"/>
      <c r="N148" s="20" t="n"/>
      <c r="O148" s="115" t="n"/>
      <c r="P148" s="121" t="n"/>
      <c r="Q148" s="18" t="n"/>
      <c r="R148" s="19" t="n"/>
      <c r="S148" s="19" t="n"/>
      <c r="T148" s="20" t="n"/>
      <c r="U148" s="115" t="n"/>
    </row>
    <row r="149" hidden="1" outlineLevel="3">
      <c r="A149" s="8" t="n"/>
      <c r="B149" s="22" t="n"/>
      <c r="C149" s="115" t="n"/>
      <c r="D149" s="52" t="inlineStr">
        <is>
          <t>AVISOS</t>
        </is>
      </c>
      <c r="E149" s="129">
        <f>DADOS_AM!$FL$14</f>
        <v/>
      </c>
      <c r="F149" s="14" t="n"/>
      <c r="G149" s="14" t="n"/>
      <c r="H149" s="15" t="n"/>
      <c r="I149" s="115" t="n"/>
      <c r="J149" s="52" t="inlineStr">
        <is>
          <t>AVISOS</t>
        </is>
      </c>
      <c r="K149" s="129">
        <f>DADOS_AM!$FL$15</f>
        <v/>
      </c>
      <c r="L149" s="14" t="n"/>
      <c r="M149" s="14" t="n"/>
      <c r="N149" s="15" t="n"/>
      <c r="O149" s="115" t="n"/>
      <c r="P149" s="52" t="inlineStr">
        <is>
          <t>AVISOS</t>
        </is>
      </c>
      <c r="Q149" s="129">
        <f>DADOS_AM!$FL$16</f>
        <v/>
      </c>
      <c r="R149" s="14" t="n"/>
      <c r="S149" s="14" t="n"/>
      <c r="T149" s="15" t="n"/>
      <c r="U149" s="115" t="n"/>
    </row>
    <row r="150" hidden="1" outlineLevel="3">
      <c r="A150" s="8" t="n"/>
      <c r="B150" s="22" t="n"/>
      <c r="C150" s="115" t="n"/>
      <c r="D150" s="121" t="n"/>
      <c r="E150" s="18" t="n"/>
      <c r="F150" s="19" t="n"/>
      <c r="G150" s="19" t="n"/>
      <c r="H150" s="20" t="n"/>
      <c r="I150" s="115" t="n"/>
      <c r="J150" s="121" t="n"/>
      <c r="K150" s="18" t="n"/>
      <c r="L150" s="19" t="n"/>
      <c r="M150" s="19" t="n"/>
      <c r="N150" s="20" t="n"/>
      <c r="O150" s="115" t="n"/>
      <c r="P150" s="121"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DADOS_AM!$FK$17</f>
        <v/>
      </c>
      <c r="H152" s="12" t="n"/>
      <c r="I152" s="115" t="n"/>
      <c r="J152" s="123" t="n">
        <v>1</v>
      </c>
      <c r="K152" s="124" t="n"/>
      <c r="L152" s="12" t="n"/>
      <c r="M152" s="125">
        <f>DADOS_AM!$FK$18</f>
        <v/>
      </c>
      <c r="N152" s="12" t="n"/>
      <c r="O152" s="115" t="n"/>
      <c r="P152" s="123" t="n">
        <v>1</v>
      </c>
      <c r="Q152" s="124" t="n"/>
      <c r="R152" s="12" t="n"/>
      <c r="S152" s="125">
        <f>DADOS_AM!$FK$19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19" t="n"/>
      <c r="E154" s="14" t="n"/>
      <c r="F154" s="14" t="n"/>
      <c r="G154" s="14" t="n"/>
      <c r="H154" s="15" t="n"/>
      <c r="I154" s="115" t="n"/>
      <c r="J154" s="119" t="n"/>
      <c r="K154" s="14" t="n"/>
      <c r="L154" s="14" t="n"/>
      <c r="M154" s="14" t="n"/>
      <c r="N154" s="15" t="n"/>
      <c r="O154" s="115" t="n"/>
      <c r="P154" s="119"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0" t="inlineStr">
        <is>
          <t>Projétil</t>
        </is>
      </c>
      <c r="E159" s="65">
        <f>DADOS_AM!$FP$17</f>
        <v/>
      </c>
      <c r="F159" s="65">
        <f>DADOS_AM!$FM$17</f>
        <v/>
      </c>
      <c r="G159" s="120">
        <f>DADOS_AM!$FO$17</f>
        <v/>
      </c>
      <c r="H159" s="12" t="n"/>
      <c r="I159" s="115" t="n"/>
      <c r="J159" s="120" t="inlineStr">
        <is>
          <t>Projétil</t>
        </is>
      </c>
      <c r="K159" s="65">
        <f>DADOS_AM!$FP$18</f>
        <v/>
      </c>
      <c r="L159" s="65">
        <f>DADOS_AM!$FM$18</f>
        <v/>
      </c>
      <c r="M159" s="120">
        <f>DADOS_AM!$FO$18</f>
        <v/>
      </c>
      <c r="N159" s="12" t="n"/>
      <c r="O159" s="115" t="n"/>
      <c r="P159" s="120" t="inlineStr">
        <is>
          <t>Projétil</t>
        </is>
      </c>
      <c r="Q159" s="65">
        <f>DADOS_AM!$FP$19</f>
        <v/>
      </c>
      <c r="R159" s="65">
        <f>DADOS_AM!$FM$19</f>
        <v/>
      </c>
      <c r="S159" s="120">
        <f>DADOS_AM!$FO$19</f>
        <v/>
      </c>
      <c r="T159" s="12" t="n"/>
      <c r="U159" s="115" t="n"/>
    </row>
    <row r="160" hidden="1" outlineLevel="2">
      <c r="A160" s="8" t="n"/>
      <c r="B160" s="22" t="n"/>
      <c r="C160" s="115" t="n"/>
      <c r="D160" s="120">
        <f>DADOS_AM!$FN$17</f>
        <v/>
      </c>
      <c r="E160" s="126">
        <f>DADOS_AM!$FU$17</f>
        <v/>
      </c>
      <c r="F160" s="11" t="n"/>
      <c r="G160" s="11" t="n"/>
      <c r="H160" s="12" t="n"/>
      <c r="I160" s="115" t="n"/>
      <c r="J160" s="120">
        <f>DADOS_AM!$FN$18</f>
        <v/>
      </c>
      <c r="K160" s="126">
        <f>DADOS_AM!$FU$18</f>
        <v/>
      </c>
      <c r="L160" s="11" t="n"/>
      <c r="M160" s="11" t="n"/>
      <c r="N160" s="12" t="n"/>
      <c r="O160" s="115" t="n"/>
      <c r="P160" s="120">
        <f>DADOS_AM!$FN$19</f>
        <v/>
      </c>
      <c r="Q160" s="126">
        <f>DADOS_AM!$FU$19</f>
        <v/>
      </c>
      <c r="R160" s="11" t="n"/>
      <c r="S160" s="11" t="n"/>
      <c r="T160" s="12" t="n"/>
      <c r="U160" s="115" t="n"/>
    </row>
    <row r="161" hidden="1" outlineLevel="3">
      <c r="A161" s="8" t="n"/>
      <c r="B161" s="22" t="n"/>
      <c r="C161" s="115" t="n"/>
      <c r="D161" s="52" t="inlineStr">
        <is>
          <t>MELHORIAS</t>
        </is>
      </c>
      <c r="E161" s="127" t="n"/>
      <c r="F161" s="12" t="n"/>
      <c r="G161" s="126">
        <f>DADOS_AM!$FX$17</f>
        <v/>
      </c>
      <c r="H161" s="12" t="n"/>
      <c r="I161" s="115" t="n"/>
      <c r="J161" s="52" t="inlineStr">
        <is>
          <t>MELHORIAS</t>
        </is>
      </c>
      <c r="K161" s="127" t="n"/>
      <c r="L161" s="12" t="n"/>
      <c r="M161" s="126">
        <f>DADOS_AM!$FX$18</f>
        <v/>
      </c>
      <c r="N161" s="12" t="n"/>
      <c r="O161" s="115" t="n"/>
      <c r="P161" s="52" t="inlineStr">
        <is>
          <t>MELHORIAS</t>
        </is>
      </c>
      <c r="Q161" s="127" t="n"/>
      <c r="R161" s="12" t="n"/>
      <c r="S161" s="126">
        <f>DADOS_AM!$FX$19</f>
        <v/>
      </c>
      <c r="T161" s="12" t="n"/>
      <c r="U161" s="115" t="n"/>
    </row>
    <row r="162" hidden="1" outlineLevel="3">
      <c r="A162" s="8" t="n"/>
      <c r="B162" s="22" t="n"/>
      <c r="C162" s="115" t="n"/>
      <c r="D162" s="128" t="n"/>
      <c r="E162" s="127" t="n"/>
      <c r="F162" s="12" t="n"/>
      <c r="G162" s="126">
        <f>DADOS_AM!$FY$17</f>
        <v/>
      </c>
      <c r="H162" s="12" t="n"/>
      <c r="I162" s="115" t="n"/>
      <c r="J162" s="128" t="n"/>
      <c r="K162" s="127" t="n"/>
      <c r="L162" s="12" t="n"/>
      <c r="M162" s="126">
        <f>DADOS_AM!$FY$18</f>
        <v/>
      </c>
      <c r="N162" s="12" t="n"/>
      <c r="O162" s="115" t="n"/>
      <c r="P162" s="128" t="n"/>
      <c r="Q162" s="127" t="n"/>
      <c r="R162" s="12" t="n"/>
      <c r="S162" s="126">
        <f>DADOS_AM!$FY$19</f>
        <v/>
      </c>
      <c r="T162" s="12" t="n"/>
      <c r="U162" s="115" t="n"/>
    </row>
    <row r="163" hidden="1" outlineLevel="3">
      <c r="A163" s="8" t="n"/>
      <c r="B163" s="22" t="n"/>
      <c r="C163" s="115" t="n"/>
      <c r="D163" s="128" t="n"/>
      <c r="E163" s="127" t="n"/>
      <c r="F163" s="12" t="n"/>
      <c r="G163" s="126">
        <f>DADOS_AM!$FZ$17</f>
        <v/>
      </c>
      <c r="H163" s="12" t="n"/>
      <c r="I163" s="115" t="n"/>
      <c r="J163" s="128" t="n"/>
      <c r="K163" s="127" t="n"/>
      <c r="L163" s="12" t="n"/>
      <c r="M163" s="126">
        <f>DADOS_AM!$FZ$18</f>
        <v/>
      </c>
      <c r="N163" s="12" t="n"/>
      <c r="O163" s="115" t="n"/>
      <c r="P163" s="128" t="n"/>
      <c r="Q163" s="127" t="n"/>
      <c r="R163" s="12" t="n"/>
      <c r="S163" s="126">
        <f>DADOS_AM!$FZ$19</f>
        <v/>
      </c>
      <c r="T163" s="12" t="n"/>
      <c r="U163" s="115" t="n"/>
    </row>
    <row r="164" hidden="1" outlineLevel="3">
      <c r="A164" s="8" t="n"/>
      <c r="B164" s="22" t="n"/>
      <c r="C164" s="115" t="n"/>
      <c r="D164" s="121" t="n"/>
      <c r="E164" s="127" t="n"/>
      <c r="F164" s="12" t="n"/>
      <c r="G164" s="126">
        <f>DADOS_AM!$GA$17</f>
        <v/>
      </c>
      <c r="H164" s="12" t="n"/>
      <c r="I164" s="115" t="n"/>
      <c r="J164" s="121" t="n"/>
      <c r="K164" s="127" t="n"/>
      <c r="L164" s="12" t="n"/>
      <c r="M164" s="126">
        <f>DADOS_AM!$GA$18</f>
        <v/>
      </c>
      <c r="N164" s="12" t="n"/>
      <c r="O164" s="115" t="n"/>
      <c r="P164" s="121" t="n"/>
      <c r="Q164" s="127" t="n"/>
      <c r="R164" s="12" t="n"/>
      <c r="S164" s="126">
        <f>DADOS_AM!$GA$19</f>
        <v/>
      </c>
      <c r="T164" s="12" t="n"/>
      <c r="U164" s="115" t="n"/>
    </row>
    <row r="165" hidden="1" outlineLevel="3">
      <c r="A165" s="8" t="n"/>
      <c r="B165" s="22" t="n"/>
      <c r="C165" s="115" t="n"/>
      <c r="D165" s="52" t="inlineStr">
        <is>
          <t>RESTRIÇÕES</t>
        </is>
      </c>
      <c r="E165" s="127" t="n"/>
      <c r="F165" s="12" t="n"/>
      <c r="G165" s="126">
        <f>DADOS_AM!$GB$17</f>
        <v/>
      </c>
      <c r="H165" s="12" t="n"/>
      <c r="I165" s="115" t="n"/>
      <c r="J165" s="52" t="inlineStr">
        <is>
          <t>RESTRIÇÕES</t>
        </is>
      </c>
      <c r="K165" s="127" t="n"/>
      <c r="L165" s="12" t="n"/>
      <c r="M165" s="126">
        <f>DADOS_AM!$GB$18</f>
        <v/>
      </c>
      <c r="N165" s="12" t="n"/>
      <c r="O165" s="115" t="n"/>
      <c r="P165" s="52" t="inlineStr">
        <is>
          <t>RESTRIÇÕES</t>
        </is>
      </c>
      <c r="Q165" s="127" t="n"/>
      <c r="R165" s="12" t="n"/>
      <c r="S165" s="126">
        <f>DADOS_AM!$GB$19</f>
        <v/>
      </c>
      <c r="T165" s="12" t="n"/>
      <c r="U165" s="115" t="n"/>
    </row>
    <row r="166" hidden="1" outlineLevel="3">
      <c r="A166" s="8" t="n"/>
      <c r="B166" s="22" t="n"/>
      <c r="C166" s="115" t="n"/>
      <c r="D166" s="121" t="n"/>
      <c r="E166" s="127" t="n"/>
      <c r="F166" s="12" t="n"/>
      <c r="G166" s="126">
        <f>DADOS_AM!$GC$17</f>
        <v/>
      </c>
      <c r="H166" s="12" t="n"/>
      <c r="I166" s="115" t="n"/>
      <c r="J166" s="121" t="n"/>
      <c r="K166" s="127" t="n"/>
      <c r="L166" s="12" t="n"/>
      <c r="M166" s="126">
        <f>DADOS_AM!$GC$18</f>
        <v/>
      </c>
      <c r="N166" s="12" t="n"/>
      <c r="O166" s="115" t="n"/>
      <c r="P166" s="121" t="n"/>
      <c r="Q166" s="127" t="n"/>
      <c r="R166" s="12" t="n"/>
      <c r="S166" s="126">
        <f>DADOS_AM!$GC$19</f>
        <v/>
      </c>
      <c r="T166" s="12" t="n"/>
      <c r="U166" s="115" t="n"/>
    </row>
    <row r="167" hidden="1" outlineLevel="3">
      <c r="A167" s="8" t="n"/>
      <c r="B167" s="22" t="n"/>
      <c r="C167" s="115" t="n"/>
      <c r="D167" s="52" t="inlineStr">
        <is>
          <t>CONTA</t>
        </is>
      </c>
      <c r="E167" s="129">
        <f>DADOS_AM!$FV$17</f>
        <v/>
      </c>
      <c r="F167" s="11" t="n"/>
      <c r="G167" s="11" t="n"/>
      <c r="H167" s="12" t="n"/>
      <c r="I167" s="115" t="n"/>
      <c r="J167" s="52" t="inlineStr">
        <is>
          <t>CONTA</t>
        </is>
      </c>
      <c r="K167" s="129">
        <f>DADOS_AM!$FV$18</f>
        <v/>
      </c>
      <c r="L167" s="11" t="n"/>
      <c r="M167" s="11" t="n"/>
      <c r="N167" s="12" t="n"/>
      <c r="O167" s="115" t="n"/>
      <c r="P167" s="52" t="inlineStr">
        <is>
          <t>CONTA</t>
        </is>
      </c>
      <c r="Q167" s="129">
        <f>DADOS_AM!$FV$19</f>
        <v/>
      </c>
      <c r="R167" s="11" t="n"/>
      <c r="S167" s="11" t="n"/>
      <c r="T167" s="12" t="n"/>
      <c r="U167" s="115" t="n"/>
    </row>
    <row r="168" hidden="1" outlineLevel="3">
      <c r="A168" s="8" t="n"/>
      <c r="B168" s="22" t="n"/>
      <c r="C168" s="115" t="n"/>
      <c r="D168" s="52" t="inlineStr">
        <is>
          <t>AMPLIAR</t>
        </is>
      </c>
      <c r="E168" s="129">
        <f>DADOS_AM!$FW$17</f>
        <v/>
      </c>
      <c r="F168" s="14" t="n"/>
      <c r="G168" s="14" t="n"/>
      <c r="H168" s="15" t="n"/>
      <c r="I168" s="115" t="n"/>
      <c r="J168" s="52" t="inlineStr">
        <is>
          <t>AMPLIAR</t>
        </is>
      </c>
      <c r="K168" s="129">
        <f>DADOS_AM!$FW$18</f>
        <v/>
      </c>
      <c r="L168" s="14" t="n"/>
      <c r="M168" s="14" t="n"/>
      <c r="N168" s="15" t="n"/>
      <c r="O168" s="115" t="n"/>
      <c r="P168" s="52" t="inlineStr">
        <is>
          <t>AMPLIAR</t>
        </is>
      </c>
      <c r="Q168" s="129">
        <f>DADOS_AM!$FW$19</f>
        <v/>
      </c>
      <c r="R168" s="14" t="n"/>
      <c r="S168" s="14" t="n"/>
      <c r="T168" s="15" t="n"/>
      <c r="U168" s="115" t="n"/>
    </row>
    <row r="169" hidden="1" outlineLevel="3">
      <c r="A169" s="8" t="n"/>
      <c r="B169" s="22" t="n"/>
      <c r="C169" s="115" t="n"/>
      <c r="D169" s="121" t="n"/>
      <c r="E169" s="18" t="n"/>
      <c r="F169" s="19" t="n"/>
      <c r="G169" s="19" t="n"/>
      <c r="H169" s="20" t="n"/>
      <c r="I169" s="115" t="n"/>
      <c r="J169" s="121" t="n"/>
      <c r="K169" s="18" t="n"/>
      <c r="L169" s="19" t="n"/>
      <c r="M169" s="19" t="n"/>
      <c r="N169" s="20" t="n"/>
      <c r="O169" s="115" t="n"/>
      <c r="P169" s="121" t="n"/>
      <c r="Q169" s="18" t="n"/>
      <c r="R169" s="19" t="n"/>
      <c r="S169" s="19" t="n"/>
      <c r="T169" s="20" t="n"/>
      <c r="U169" s="115" t="n"/>
    </row>
    <row r="170" hidden="1" outlineLevel="3">
      <c r="A170" s="8" t="n"/>
      <c r="B170" s="22" t="n"/>
      <c r="C170" s="115" t="n"/>
      <c r="D170" s="52" t="inlineStr">
        <is>
          <t>AVISOS</t>
        </is>
      </c>
      <c r="E170" s="129">
        <f>DADOS_AM!$FL$17</f>
        <v/>
      </c>
      <c r="F170" s="14" t="n"/>
      <c r="G170" s="14" t="n"/>
      <c r="H170" s="15" t="n"/>
      <c r="I170" s="115" t="n"/>
      <c r="J170" s="52" t="inlineStr">
        <is>
          <t>AVISOS</t>
        </is>
      </c>
      <c r="K170" s="129">
        <f>DADOS_AM!$FL$18</f>
        <v/>
      </c>
      <c r="L170" s="14" t="n"/>
      <c r="M170" s="14" t="n"/>
      <c r="N170" s="15" t="n"/>
      <c r="O170" s="115" t="n"/>
      <c r="P170" s="52" t="inlineStr">
        <is>
          <t>AVISOS</t>
        </is>
      </c>
      <c r="Q170" s="129">
        <f>DADOS_AM!$FL$19</f>
        <v/>
      </c>
      <c r="R170" s="14" t="n"/>
      <c r="S170" s="14" t="n"/>
      <c r="T170" s="15" t="n"/>
      <c r="U170" s="115" t="n"/>
    </row>
    <row r="171" hidden="1" outlineLevel="3">
      <c r="A171" s="8" t="n"/>
      <c r="B171" s="22" t="n"/>
      <c r="C171" s="115" t="n"/>
      <c r="D171" s="121" t="n"/>
      <c r="E171" s="18" t="n"/>
      <c r="F171" s="19" t="n"/>
      <c r="G171" s="19" t="n"/>
      <c r="H171" s="20" t="n"/>
      <c r="I171" s="115" t="n"/>
      <c r="J171" s="121" t="n"/>
      <c r="K171" s="18" t="n"/>
      <c r="L171" s="19" t="n"/>
      <c r="M171" s="19" t="n"/>
      <c r="N171" s="20" t="n"/>
      <c r="O171" s="115" t="n"/>
      <c r="P171" s="121"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DADOS_AM!$FK$20</f>
        <v/>
      </c>
      <c r="H173" s="12" t="n"/>
      <c r="I173" s="115" t="n"/>
      <c r="J173" s="123" t="n">
        <v>1</v>
      </c>
      <c r="K173" s="124" t="n"/>
      <c r="L173" s="12" t="n"/>
      <c r="M173" s="125">
        <f>DADOS_AM!$FK$21</f>
        <v/>
      </c>
      <c r="N173" s="12" t="n"/>
      <c r="O173" s="115" t="n"/>
      <c r="P173" s="123" t="n">
        <v>1</v>
      </c>
      <c r="Q173" s="124" t="n"/>
      <c r="R173" s="12" t="n"/>
      <c r="S173" s="125">
        <f>DADOS_AM!$FK$22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19" t="n"/>
      <c r="E175" s="14" t="n"/>
      <c r="F175" s="14" t="n"/>
      <c r="G175" s="14" t="n"/>
      <c r="H175" s="15" t="n"/>
      <c r="I175" s="115" t="n"/>
      <c r="J175" s="119" t="n"/>
      <c r="K175" s="14" t="n"/>
      <c r="L175" s="14" t="n"/>
      <c r="M175" s="14" t="n"/>
      <c r="N175" s="15" t="n"/>
      <c r="O175" s="115" t="n"/>
      <c r="P175" s="119"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0" t="inlineStr">
        <is>
          <t>Projétil</t>
        </is>
      </c>
      <c r="E180" s="65">
        <f>DADOS_AM!$FP$20</f>
        <v/>
      </c>
      <c r="F180" s="65">
        <f>DADOS_AM!$FM$20</f>
        <v/>
      </c>
      <c r="G180" s="120">
        <f>DADOS_AM!$FO$20</f>
        <v/>
      </c>
      <c r="H180" s="12" t="n"/>
      <c r="I180" s="115" t="n"/>
      <c r="J180" s="120" t="inlineStr">
        <is>
          <t>Projétil</t>
        </is>
      </c>
      <c r="K180" s="65">
        <f>DADOS_AM!$FP$21</f>
        <v/>
      </c>
      <c r="L180" s="65">
        <f>DADOS_AM!$FM$21</f>
        <v/>
      </c>
      <c r="M180" s="120">
        <f>DADOS_AM!$FO$21</f>
        <v/>
      </c>
      <c r="N180" s="12" t="n"/>
      <c r="O180" s="115" t="n"/>
      <c r="P180" s="120" t="inlineStr">
        <is>
          <t>Projétil</t>
        </is>
      </c>
      <c r="Q180" s="65">
        <f>DADOS_AM!$FP$22</f>
        <v/>
      </c>
      <c r="R180" s="65">
        <f>DADOS_AM!$FM$22</f>
        <v/>
      </c>
      <c r="S180" s="120">
        <f>DADOS_AM!$FO$22</f>
        <v/>
      </c>
      <c r="T180" s="12" t="n"/>
      <c r="U180" s="115" t="n"/>
    </row>
    <row r="181" hidden="1" outlineLevel="2">
      <c r="A181" s="8" t="n"/>
      <c r="B181" s="22" t="n"/>
      <c r="C181" s="115" t="n"/>
      <c r="D181" s="120">
        <f>DADOS_AM!$FN$20</f>
        <v/>
      </c>
      <c r="E181" s="126">
        <f>DADOS_AM!$FU$20</f>
        <v/>
      </c>
      <c r="F181" s="11" t="n"/>
      <c r="G181" s="11" t="n"/>
      <c r="H181" s="12" t="n"/>
      <c r="I181" s="115" t="n"/>
      <c r="J181" s="120">
        <f>DADOS_AM!$FN$21</f>
        <v/>
      </c>
      <c r="K181" s="126">
        <f>DADOS_AM!$FU$21</f>
        <v/>
      </c>
      <c r="L181" s="11" t="n"/>
      <c r="M181" s="11" t="n"/>
      <c r="N181" s="12" t="n"/>
      <c r="O181" s="115" t="n"/>
      <c r="P181" s="120">
        <f>DADOS_AM!$FN$22</f>
        <v/>
      </c>
      <c r="Q181" s="126">
        <f>DADOS_AM!$FU$22</f>
        <v/>
      </c>
      <c r="R181" s="11" t="n"/>
      <c r="S181" s="11" t="n"/>
      <c r="T181" s="12" t="n"/>
      <c r="U181" s="115" t="n"/>
    </row>
    <row r="182" hidden="1" outlineLevel="3">
      <c r="A182" s="8" t="n"/>
      <c r="B182" s="22" t="n"/>
      <c r="C182" s="115" t="n"/>
      <c r="D182" s="52" t="inlineStr">
        <is>
          <t>MELHORIAS</t>
        </is>
      </c>
      <c r="E182" s="127" t="n"/>
      <c r="F182" s="12" t="n"/>
      <c r="G182" s="126">
        <f>DADOS_AM!$FX$20</f>
        <v/>
      </c>
      <c r="H182" s="12" t="n"/>
      <c r="I182" s="115" t="n"/>
      <c r="J182" s="52" t="inlineStr">
        <is>
          <t>MELHORIAS</t>
        </is>
      </c>
      <c r="K182" s="127" t="n"/>
      <c r="L182" s="12" t="n"/>
      <c r="M182" s="126">
        <f>DADOS_AM!$FX$21</f>
        <v/>
      </c>
      <c r="N182" s="12" t="n"/>
      <c r="O182" s="115" t="n"/>
      <c r="P182" s="52" t="inlineStr">
        <is>
          <t>MELHORIAS</t>
        </is>
      </c>
      <c r="Q182" s="127" t="n"/>
      <c r="R182" s="12" t="n"/>
      <c r="S182" s="126">
        <f>DADOS_AM!$FX$22</f>
        <v/>
      </c>
      <c r="T182" s="12" t="n"/>
      <c r="U182" s="115" t="n"/>
    </row>
    <row r="183" hidden="1" outlineLevel="3">
      <c r="A183" s="8" t="n"/>
      <c r="B183" s="22" t="n"/>
      <c r="C183" s="115" t="n"/>
      <c r="D183" s="128" t="n"/>
      <c r="E183" s="127" t="n"/>
      <c r="F183" s="12" t="n"/>
      <c r="G183" s="126">
        <f>DADOS_AM!$FY$20</f>
        <v/>
      </c>
      <c r="H183" s="12" t="n"/>
      <c r="I183" s="115" t="n"/>
      <c r="J183" s="128" t="n"/>
      <c r="K183" s="127" t="n"/>
      <c r="L183" s="12" t="n"/>
      <c r="M183" s="126">
        <f>DADOS_AM!$FY$21</f>
        <v/>
      </c>
      <c r="N183" s="12" t="n"/>
      <c r="O183" s="115" t="n"/>
      <c r="P183" s="128" t="n"/>
      <c r="Q183" s="127" t="n"/>
      <c r="R183" s="12" t="n"/>
      <c r="S183" s="126">
        <f>DADOS_AM!$FY$22</f>
        <v/>
      </c>
      <c r="T183" s="12" t="n"/>
      <c r="U183" s="115" t="n"/>
    </row>
    <row r="184" hidden="1" outlineLevel="3">
      <c r="A184" s="8" t="n"/>
      <c r="B184" s="22" t="n"/>
      <c r="C184" s="115" t="n"/>
      <c r="D184" s="128" t="n"/>
      <c r="E184" s="127" t="n"/>
      <c r="F184" s="12" t="n"/>
      <c r="G184" s="126">
        <f>DADOS_AM!$FZ$20</f>
        <v/>
      </c>
      <c r="H184" s="12" t="n"/>
      <c r="I184" s="115" t="n"/>
      <c r="J184" s="128" t="n"/>
      <c r="K184" s="127" t="n"/>
      <c r="L184" s="12" t="n"/>
      <c r="M184" s="126">
        <f>DADOS_AM!$FZ$21</f>
        <v/>
      </c>
      <c r="N184" s="12" t="n"/>
      <c r="O184" s="115" t="n"/>
      <c r="P184" s="128" t="n"/>
      <c r="Q184" s="127" t="n"/>
      <c r="R184" s="12" t="n"/>
      <c r="S184" s="126">
        <f>DADOS_AM!$FZ$22</f>
        <v/>
      </c>
      <c r="T184" s="12" t="n"/>
      <c r="U184" s="115" t="n"/>
    </row>
    <row r="185" hidden="1" outlineLevel="3">
      <c r="A185" s="8" t="n"/>
      <c r="B185" s="22" t="n"/>
      <c r="C185" s="115" t="n"/>
      <c r="D185" s="121" t="n"/>
      <c r="E185" s="127" t="n"/>
      <c r="F185" s="12" t="n"/>
      <c r="G185" s="126">
        <f>DADOS_AM!$GA$20</f>
        <v/>
      </c>
      <c r="H185" s="12" t="n"/>
      <c r="I185" s="115" t="n"/>
      <c r="J185" s="121" t="n"/>
      <c r="K185" s="127" t="n"/>
      <c r="L185" s="12" t="n"/>
      <c r="M185" s="126">
        <f>DADOS_AM!$GA$21</f>
        <v/>
      </c>
      <c r="N185" s="12" t="n"/>
      <c r="O185" s="115" t="n"/>
      <c r="P185" s="121" t="n"/>
      <c r="Q185" s="127" t="n"/>
      <c r="R185" s="12" t="n"/>
      <c r="S185" s="126">
        <f>DADOS_AM!$GA$22</f>
        <v/>
      </c>
      <c r="T185" s="12" t="n"/>
      <c r="U185" s="115" t="n"/>
    </row>
    <row r="186" hidden="1" outlineLevel="3">
      <c r="A186" s="8" t="n"/>
      <c r="B186" s="22" t="n"/>
      <c r="C186" s="115" t="n"/>
      <c r="D186" s="52" t="inlineStr">
        <is>
          <t>RESTRIÇÕES</t>
        </is>
      </c>
      <c r="E186" s="127" t="n"/>
      <c r="F186" s="12" t="n"/>
      <c r="G186" s="126">
        <f>DADOS_AM!$GB$20</f>
        <v/>
      </c>
      <c r="H186" s="12" t="n"/>
      <c r="I186" s="115" t="n"/>
      <c r="J186" s="52" t="inlineStr">
        <is>
          <t>RESTRIÇÕES</t>
        </is>
      </c>
      <c r="K186" s="127" t="n"/>
      <c r="L186" s="12" t="n"/>
      <c r="M186" s="126">
        <f>DADOS_AM!$GB$21</f>
        <v/>
      </c>
      <c r="N186" s="12" t="n"/>
      <c r="O186" s="115" t="n"/>
      <c r="P186" s="52" t="inlineStr">
        <is>
          <t>RESTRIÇÕES</t>
        </is>
      </c>
      <c r="Q186" s="127" t="n"/>
      <c r="R186" s="12" t="n"/>
      <c r="S186" s="126">
        <f>DADOS_AM!$GB$22</f>
        <v/>
      </c>
      <c r="T186" s="12" t="n"/>
      <c r="U186" s="115" t="n"/>
    </row>
    <row r="187" hidden="1" outlineLevel="3">
      <c r="A187" s="8" t="n"/>
      <c r="B187" s="22" t="n"/>
      <c r="C187" s="115" t="n"/>
      <c r="D187" s="121" t="n"/>
      <c r="E187" s="127" t="n"/>
      <c r="F187" s="12" t="n"/>
      <c r="G187" s="126">
        <f>DADOS_AM!$GC$20</f>
        <v/>
      </c>
      <c r="H187" s="12" t="n"/>
      <c r="I187" s="115" t="n"/>
      <c r="J187" s="121" t="n"/>
      <c r="K187" s="127" t="n"/>
      <c r="L187" s="12" t="n"/>
      <c r="M187" s="126">
        <f>DADOS_AM!$GC$21</f>
        <v/>
      </c>
      <c r="N187" s="12" t="n"/>
      <c r="O187" s="115" t="n"/>
      <c r="P187" s="121" t="n"/>
      <c r="Q187" s="127" t="n"/>
      <c r="R187" s="12" t="n"/>
      <c r="S187" s="126">
        <f>DADOS_AM!$GC$22</f>
        <v/>
      </c>
      <c r="T187" s="12" t="n"/>
      <c r="U187" s="115" t="n"/>
    </row>
    <row r="188" hidden="1" outlineLevel="3">
      <c r="A188" s="8" t="n"/>
      <c r="B188" s="22" t="n"/>
      <c r="C188" s="115" t="n"/>
      <c r="D188" s="52" t="inlineStr">
        <is>
          <t>CONTA</t>
        </is>
      </c>
      <c r="E188" s="129">
        <f>DADOS_AM!$FV$20</f>
        <v/>
      </c>
      <c r="F188" s="11" t="n"/>
      <c r="G188" s="11" t="n"/>
      <c r="H188" s="12" t="n"/>
      <c r="I188" s="115" t="n"/>
      <c r="J188" s="52" t="inlineStr">
        <is>
          <t>CONTA</t>
        </is>
      </c>
      <c r="K188" s="129">
        <f>DADOS_AM!$FV$21</f>
        <v/>
      </c>
      <c r="L188" s="11" t="n"/>
      <c r="M188" s="11" t="n"/>
      <c r="N188" s="12" t="n"/>
      <c r="O188" s="115" t="n"/>
      <c r="P188" s="52" t="inlineStr">
        <is>
          <t>CONTA</t>
        </is>
      </c>
      <c r="Q188" s="129">
        <f>DADOS_AM!$FV$22</f>
        <v/>
      </c>
      <c r="R188" s="11" t="n"/>
      <c r="S188" s="11" t="n"/>
      <c r="T188" s="12" t="n"/>
      <c r="U188" s="115" t="n"/>
    </row>
    <row r="189" hidden="1" outlineLevel="3">
      <c r="A189" s="8" t="n"/>
      <c r="B189" s="22" t="n"/>
      <c r="C189" s="115" t="n"/>
      <c r="D189" s="52" t="inlineStr">
        <is>
          <t>AMPLIAR</t>
        </is>
      </c>
      <c r="E189" s="129">
        <f>DADOS_AM!$FW$20</f>
        <v/>
      </c>
      <c r="F189" s="14" t="n"/>
      <c r="G189" s="14" t="n"/>
      <c r="H189" s="15" t="n"/>
      <c r="I189" s="115" t="n"/>
      <c r="J189" s="52" t="inlineStr">
        <is>
          <t>AMPLIAR</t>
        </is>
      </c>
      <c r="K189" s="129">
        <f>DADOS_AM!$FW$21</f>
        <v/>
      </c>
      <c r="L189" s="14" t="n"/>
      <c r="M189" s="14" t="n"/>
      <c r="N189" s="15" t="n"/>
      <c r="O189" s="115" t="n"/>
      <c r="P189" s="52" t="inlineStr">
        <is>
          <t>AMPLIAR</t>
        </is>
      </c>
      <c r="Q189" s="129">
        <f>DADOS_AM!$FW$22</f>
        <v/>
      </c>
      <c r="R189" s="14" t="n"/>
      <c r="S189" s="14" t="n"/>
      <c r="T189" s="15" t="n"/>
      <c r="U189" s="115" t="n"/>
    </row>
    <row r="190" hidden="1" outlineLevel="3">
      <c r="A190" s="8" t="n"/>
      <c r="B190" s="22" t="n"/>
      <c r="C190" s="115" t="n"/>
      <c r="D190" s="121" t="n"/>
      <c r="E190" s="18" t="n"/>
      <c r="F190" s="19" t="n"/>
      <c r="G190" s="19" t="n"/>
      <c r="H190" s="20" t="n"/>
      <c r="I190" s="115" t="n"/>
      <c r="J190" s="121" t="n"/>
      <c r="K190" s="18" t="n"/>
      <c r="L190" s="19" t="n"/>
      <c r="M190" s="19" t="n"/>
      <c r="N190" s="20" t="n"/>
      <c r="O190" s="115" t="n"/>
      <c r="P190" s="121" t="n"/>
      <c r="Q190" s="18" t="n"/>
      <c r="R190" s="19" t="n"/>
      <c r="S190" s="19" t="n"/>
      <c r="T190" s="20" t="n"/>
      <c r="U190" s="115" t="n"/>
    </row>
    <row r="191" hidden="1" outlineLevel="3">
      <c r="A191" s="8" t="n"/>
      <c r="B191" s="22" t="n"/>
      <c r="C191" s="115" t="n"/>
      <c r="D191" s="52" t="inlineStr">
        <is>
          <t>AVISOS</t>
        </is>
      </c>
      <c r="E191" s="129">
        <f>DADOS_AM!$FL$20</f>
        <v/>
      </c>
      <c r="F191" s="14" t="n"/>
      <c r="G191" s="14" t="n"/>
      <c r="H191" s="15" t="n"/>
      <c r="I191" s="115" t="n"/>
      <c r="J191" s="52" t="inlineStr">
        <is>
          <t>AVISOS</t>
        </is>
      </c>
      <c r="K191" s="129">
        <f>DADOS_AM!$FL$21</f>
        <v/>
      </c>
      <c r="L191" s="14" t="n"/>
      <c r="M191" s="14" t="n"/>
      <c r="N191" s="15" t="n"/>
      <c r="O191" s="115" t="n"/>
      <c r="P191" s="52" t="inlineStr">
        <is>
          <t>AVISOS</t>
        </is>
      </c>
      <c r="Q191" s="129">
        <f>DADOS_AM!$FL$22</f>
        <v/>
      </c>
      <c r="R191" s="14" t="n"/>
      <c r="S191" s="14" t="n"/>
      <c r="T191" s="15" t="n"/>
      <c r="U191" s="115" t="n"/>
    </row>
    <row r="192" hidden="1" outlineLevel="3">
      <c r="A192" s="8" t="n"/>
      <c r="B192" s="22" t="n"/>
      <c r="C192" s="115" t="n"/>
      <c r="D192" s="121" t="n"/>
      <c r="E192" s="18" t="n"/>
      <c r="F192" s="19" t="n"/>
      <c r="G192" s="19" t="n"/>
      <c r="H192" s="20" t="n"/>
      <c r="I192" s="115" t="n"/>
      <c r="J192" s="121" t="n"/>
      <c r="K192" s="18" t="n"/>
      <c r="L192" s="19" t="n"/>
      <c r="M192" s="19" t="n"/>
      <c r="N192" s="20" t="n"/>
      <c r="O192" s="115" t="n"/>
      <c r="P192" s="121"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DADOS_AM!$FK$23</f>
        <v/>
      </c>
      <c r="H194" s="12" t="n"/>
      <c r="I194" s="115" t="n"/>
      <c r="J194" s="123" t="n">
        <v>1</v>
      </c>
      <c r="K194" s="124" t="n"/>
      <c r="L194" s="12" t="n"/>
      <c r="M194" s="125">
        <f>DADOS_AM!$FK$24</f>
        <v/>
      </c>
      <c r="N194" s="12" t="n"/>
      <c r="O194" s="115" t="n"/>
      <c r="P194" s="123" t="n">
        <v>1</v>
      </c>
      <c r="Q194" s="124" t="n"/>
      <c r="R194" s="12" t="n"/>
      <c r="S194" s="125">
        <f>DADOS_AM!$FK$25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19" t="n"/>
      <c r="E196" s="14" t="n"/>
      <c r="F196" s="14" t="n"/>
      <c r="G196" s="14" t="n"/>
      <c r="H196" s="15" t="n"/>
      <c r="I196" s="115" t="n"/>
      <c r="J196" s="119" t="n"/>
      <c r="K196" s="14" t="n"/>
      <c r="L196" s="14" t="n"/>
      <c r="M196" s="14" t="n"/>
      <c r="N196" s="15" t="n"/>
      <c r="O196" s="115" t="n"/>
      <c r="P196" s="119"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0" t="inlineStr">
        <is>
          <t>Projétil</t>
        </is>
      </c>
      <c r="E201" s="65">
        <f>DADOS_AM!$FP$23</f>
        <v/>
      </c>
      <c r="F201" s="65">
        <f>DADOS_AM!$FM$23</f>
        <v/>
      </c>
      <c r="G201" s="120">
        <f>DADOS_AM!$FO$23</f>
        <v/>
      </c>
      <c r="H201" s="12" t="n"/>
      <c r="I201" s="115" t="n"/>
      <c r="J201" s="120" t="inlineStr">
        <is>
          <t>Projétil</t>
        </is>
      </c>
      <c r="K201" s="65">
        <f>DADOS_AM!$FP$24</f>
        <v/>
      </c>
      <c r="L201" s="65">
        <f>DADOS_AM!$FM$24</f>
        <v/>
      </c>
      <c r="M201" s="120">
        <f>DADOS_AM!$FO$24</f>
        <v/>
      </c>
      <c r="N201" s="12" t="n"/>
      <c r="O201" s="115" t="n"/>
      <c r="P201" s="120" t="inlineStr">
        <is>
          <t>Projétil</t>
        </is>
      </c>
      <c r="Q201" s="65">
        <f>DADOS_AM!$FP$25</f>
        <v/>
      </c>
      <c r="R201" s="65">
        <f>DADOS_AM!$FM$25</f>
        <v/>
      </c>
      <c r="S201" s="120">
        <f>DADOS_AM!$FO$25</f>
        <v/>
      </c>
      <c r="T201" s="12" t="n"/>
      <c r="U201" s="115" t="n"/>
    </row>
    <row r="202" hidden="1" outlineLevel="2">
      <c r="A202" s="8" t="n"/>
      <c r="B202" s="22" t="n"/>
      <c r="C202" s="115" t="n"/>
      <c r="D202" s="120">
        <f>DADOS_AM!$FN$23</f>
        <v/>
      </c>
      <c r="E202" s="126">
        <f>DADOS_AM!$FU$23</f>
        <v/>
      </c>
      <c r="F202" s="11" t="n"/>
      <c r="G202" s="11" t="n"/>
      <c r="H202" s="12" t="n"/>
      <c r="I202" s="115" t="n"/>
      <c r="J202" s="120">
        <f>DADOS_AM!$FN$24</f>
        <v/>
      </c>
      <c r="K202" s="126">
        <f>DADOS_AM!$FU$24</f>
        <v/>
      </c>
      <c r="L202" s="11" t="n"/>
      <c r="M202" s="11" t="n"/>
      <c r="N202" s="12" t="n"/>
      <c r="O202" s="115" t="n"/>
      <c r="P202" s="120">
        <f>DADOS_AM!$FN$25</f>
        <v/>
      </c>
      <c r="Q202" s="126">
        <f>DADOS_AM!$FU$25</f>
        <v/>
      </c>
      <c r="R202" s="11" t="n"/>
      <c r="S202" s="11" t="n"/>
      <c r="T202" s="12" t="n"/>
      <c r="U202" s="115" t="n"/>
    </row>
    <row r="203" hidden="1" outlineLevel="3">
      <c r="A203" s="8" t="n"/>
      <c r="B203" s="22" t="n"/>
      <c r="C203" s="115" t="n"/>
      <c r="D203" s="52" t="inlineStr">
        <is>
          <t>MELHORIAS</t>
        </is>
      </c>
      <c r="E203" s="127" t="n"/>
      <c r="F203" s="12" t="n"/>
      <c r="G203" s="126">
        <f>DADOS_AM!$FX$23</f>
        <v/>
      </c>
      <c r="H203" s="12" t="n"/>
      <c r="I203" s="115" t="n"/>
      <c r="J203" s="52" t="inlineStr">
        <is>
          <t>MELHORIAS</t>
        </is>
      </c>
      <c r="K203" s="127" t="n"/>
      <c r="L203" s="12" t="n"/>
      <c r="M203" s="126">
        <f>DADOS_AM!$FX$24</f>
        <v/>
      </c>
      <c r="N203" s="12" t="n"/>
      <c r="O203" s="115" t="n"/>
      <c r="P203" s="52" t="inlineStr">
        <is>
          <t>MELHORIAS</t>
        </is>
      </c>
      <c r="Q203" s="127" t="n"/>
      <c r="R203" s="12" t="n"/>
      <c r="S203" s="126">
        <f>DADOS_AM!$FX$25</f>
        <v/>
      </c>
      <c r="T203" s="12" t="n"/>
      <c r="U203" s="115" t="n"/>
    </row>
    <row r="204" hidden="1" outlineLevel="3">
      <c r="A204" s="8" t="n"/>
      <c r="B204" s="22" t="n"/>
      <c r="C204" s="115" t="n"/>
      <c r="D204" s="128" t="n"/>
      <c r="E204" s="127" t="n"/>
      <c r="F204" s="12" t="n"/>
      <c r="G204" s="126">
        <f>DADOS_AM!$FY$23</f>
        <v/>
      </c>
      <c r="H204" s="12" t="n"/>
      <c r="I204" s="115" t="n"/>
      <c r="J204" s="128" t="n"/>
      <c r="K204" s="127" t="n"/>
      <c r="L204" s="12" t="n"/>
      <c r="M204" s="126">
        <f>DADOS_AM!$FY$24</f>
        <v/>
      </c>
      <c r="N204" s="12" t="n"/>
      <c r="O204" s="115" t="n"/>
      <c r="P204" s="128" t="n"/>
      <c r="Q204" s="127" t="n"/>
      <c r="R204" s="12" t="n"/>
      <c r="S204" s="126">
        <f>DADOS_AM!$FY$25</f>
        <v/>
      </c>
      <c r="T204" s="12" t="n"/>
      <c r="U204" s="115" t="n"/>
    </row>
    <row r="205" hidden="1" outlineLevel="3">
      <c r="A205" s="8" t="n"/>
      <c r="B205" s="22" t="n"/>
      <c r="C205" s="115" t="n"/>
      <c r="D205" s="128" t="n"/>
      <c r="E205" s="127" t="n"/>
      <c r="F205" s="12" t="n"/>
      <c r="G205" s="126">
        <f>DADOS_AM!$FZ$23</f>
        <v/>
      </c>
      <c r="H205" s="12" t="n"/>
      <c r="I205" s="115" t="n"/>
      <c r="J205" s="128" t="n"/>
      <c r="K205" s="127" t="n"/>
      <c r="L205" s="12" t="n"/>
      <c r="M205" s="126">
        <f>DADOS_AM!$FZ$24</f>
        <v/>
      </c>
      <c r="N205" s="12" t="n"/>
      <c r="O205" s="115" t="n"/>
      <c r="P205" s="128" t="n"/>
      <c r="Q205" s="127" t="n"/>
      <c r="R205" s="12" t="n"/>
      <c r="S205" s="126">
        <f>DADOS_AM!$FZ$25</f>
        <v/>
      </c>
      <c r="T205" s="12" t="n"/>
      <c r="U205" s="115" t="n"/>
    </row>
    <row r="206" hidden="1" outlineLevel="3">
      <c r="A206" s="8" t="n"/>
      <c r="B206" s="22" t="n"/>
      <c r="C206" s="115" t="n"/>
      <c r="D206" s="121" t="n"/>
      <c r="E206" s="127" t="n"/>
      <c r="F206" s="12" t="n"/>
      <c r="G206" s="126">
        <f>DADOS_AM!$GA$23</f>
        <v/>
      </c>
      <c r="H206" s="12" t="n"/>
      <c r="I206" s="115" t="n"/>
      <c r="J206" s="121" t="n"/>
      <c r="K206" s="127" t="n"/>
      <c r="L206" s="12" t="n"/>
      <c r="M206" s="126">
        <f>DADOS_AM!$GA$24</f>
        <v/>
      </c>
      <c r="N206" s="12" t="n"/>
      <c r="O206" s="115" t="n"/>
      <c r="P206" s="121" t="n"/>
      <c r="Q206" s="127" t="n"/>
      <c r="R206" s="12" t="n"/>
      <c r="S206" s="126">
        <f>DADOS_AM!$GA$25</f>
        <v/>
      </c>
      <c r="T206" s="12" t="n"/>
      <c r="U206" s="115" t="n"/>
    </row>
    <row r="207" hidden="1" outlineLevel="3">
      <c r="A207" s="8" t="n"/>
      <c r="B207" s="22" t="n"/>
      <c r="C207" s="115" t="n"/>
      <c r="D207" s="52" t="inlineStr">
        <is>
          <t>RESTRIÇÕES</t>
        </is>
      </c>
      <c r="E207" s="127" t="n"/>
      <c r="F207" s="12" t="n"/>
      <c r="G207" s="126">
        <f>DADOS_AM!$GB$23</f>
        <v/>
      </c>
      <c r="H207" s="12" t="n"/>
      <c r="I207" s="115" t="n"/>
      <c r="J207" s="52" t="inlineStr">
        <is>
          <t>RESTRIÇÕES</t>
        </is>
      </c>
      <c r="K207" s="127" t="n"/>
      <c r="L207" s="12" t="n"/>
      <c r="M207" s="126">
        <f>DADOS_AM!$GB$24</f>
        <v/>
      </c>
      <c r="N207" s="12" t="n"/>
      <c r="O207" s="115" t="n"/>
      <c r="P207" s="52" t="inlineStr">
        <is>
          <t>RESTRIÇÕES</t>
        </is>
      </c>
      <c r="Q207" s="127" t="n"/>
      <c r="R207" s="12" t="n"/>
      <c r="S207" s="126">
        <f>DADOS_AM!$GB$25</f>
        <v/>
      </c>
      <c r="T207" s="12" t="n"/>
      <c r="U207" s="115" t="n"/>
    </row>
    <row r="208" hidden="1" outlineLevel="3">
      <c r="A208" s="8" t="n"/>
      <c r="B208" s="22" t="n"/>
      <c r="C208" s="115" t="n"/>
      <c r="D208" s="121" t="n"/>
      <c r="E208" s="127" t="n"/>
      <c r="F208" s="12" t="n"/>
      <c r="G208" s="126">
        <f>DADOS_AM!$GC$23</f>
        <v/>
      </c>
      <c r="H208" s="12" t="n"/>
      <c r="I208" s="115" t="n"/>
      <c r="J208" s="121" t="n"/>
      <c r="K208" s="127" t="n"/>
      <c r="L208" s="12" t="n"/>
      <c r="M208" s="126">
        <f>DADOS_AM!$GC$24</f>
        <v/>
      </c>
      <c r="N208" s="12" t="n"/>
      <c r="O208" s="115" t="n"/>
      <c r="P208" s="121" t="n"/>
      <c r="Q208" s="127" t="n"/>
      <c r="R208" s="12" t="n"/>
      <c r="S208" s="126">
        <f>DADOS_AM!$GC$25</f>
        <v/>
      </c>
      <c r="T208" s="12" t="n"/>
      <c r="U208" s="115" t="n"/>
    </row>
    <row r="209" hidden="1" outlineLevel="3">
      <c r="A209" s="8" t="n"/>
      <c r="B209" s="22" t="n"/>
      <c r="C209" s="115" t="n"/>
      <c r="D209" s="52" t="inlineStr">
        <is>
          <t>CONTA</t>
        </is>
      </c>
      <c r="E209" s="129">
        <f>DADOS_AM!$FV$23</f>
        <v/>
      </c>
      <c r="F209" s="11" t="n"/>
      <c r="G209" s="11" t="n"/>
      <c r="H209" s="12" t="n"/>
      <c r="I209" s="115" t="n"/>
      <c r="J209" s="52" t="inlineStr">
        <is>
          <t>CONTA</t>
        </is>
      </c>
      <c r="K209" s="129">
        <f>DADOS_AM!$FV$24</f>
        <v/>
      </c>
      <c r="L209" s="11" t="n"/>
      <c r="M209" s="11" t="n"/>
      <c r="N209" s="12" t="n"/>
      <c r="O209" s="115" t="n"/>
      <c r="P209" s="52" t="inlineStr">
        <is>
          <t>CONTA</t>
        </is>
      </c>
      <c r="Q209" s="129">
        <f>DADOS_AM!$FV$25</f>
        <v/>
      </c>
      <c r="R209" s="11" t="n"/>
      <c r="S209" s="11" t="n"/>
      <c r="T209" s="12" t="n"/>
      <c r="U209" s="115" t="n"/>
    </row>
    <row r="210" hidden="1" outlineLevel="3">
      <c r="A210" s="8" t="n"/>
      <c r="B210" s="22" t="n"/>
      <c r="C210" s="115" t="n"/>
      <c r="D210" s="52" t="inlineStr">
        <is>
          <t>AMPLIAR</t>
        </is>
      </c>
      <c r="E210" s="129">
        <f>DADOS_AM!$FW$23</f>
        <v/>
      </c>
      <c r="F210" s="14" t="n"/>
      <c r="G210" s="14" t="n"/>
      <c r="H210" s="15" t="n"/>
      <c r="I210" s="115" t="n"/>
      <c r="J210" s="52" t="inlineStr">
        <is>
          <t>AMPLIAR</t>
        </is>
      </c>
      <c r="K210" s="129">
        <f>DADOS_AM!$FW$24</f>
        <v/>
      </c>
      <c r="L210" s="14" t="n"/>
      <c r="M210" s="14" t="n"/>
      <c r="N210" s="15" t="n"/>
      <c r="O210" s="115" t="n"/>
      <c r="P210" s="52" t="inlineStr">
        <is>
          <t>AMPLIAR</t>
        </is>
      </c>
      <c r="Q210" s="129">
        <f>DADOS_AM!$FW$25</f>
        <v/>
      </c>
      <c r="R210" s="14" t="n"/>
      <c r="S210" s="14" t="n"/>
      <c r="T210" s="15" t="n"/>
      <c r="U210" s="115" t="n"/>
    </row>
    <row r="211" hidden="1" outlineLevel="3">
      <c r="A211" s="8" t="n"/>
      <c r="B211" s="22" t="n"/>
      <c r="C211" s="115" t="n"/>
      <c r="D211" s="121" t="n"/>
      <c r="E211" s="18" t="n"/>
      <c r="F211" s="19" t="n"/>
      <c r="G211" s="19" t="n"/>
      <c r="H211" s="20" t="n"/>
      <c r="I211" s="115" t="n"/>
      <c r="J211" s="121" t="n"/>
      <c r="K211" s="18" t="n"/>
      <c r="L211" s="19" t="n"/>
      <c r="M211" s="19" t="n"/>
      <c r="N211" s="20" t="n"/>
      <c r="O211" s="115" t="n"/>
      <c r="P211" s="121" t="n"/>
      <c r="Q211" s="18" t="n"/>
      <c r="R211" s="19" t="n"/>
      <c r="S211" s="19" t="n"/>
      <c r="T211" s="20" t="n"/>
      <c r="U211" s="115" t="n"/>
    </row>
    <row r="212" hidden="1" outlineLevel="3">
      <c r="A212" s="8" t="n"/>
      <c r="B212" s="22" t="n"/>
      <c r="C212" s="115" t="n"/>
      <c r="D212" s="52" t="inlineStr">
        <is>
          <t>AVISOS</t>
        </is>
      </c>
      <c r="E212" s="129">
        <f>DADOS_AM!$FL$23</f>
        <v/>
      </c>
      <c r="F212" s="14" t="n"/>
      <c r="G212" s="14" t="n"/>
      <c r="H212" s="15" t="n"/>
      <c r="I212" s="115" t="n"/>
      <c r="J212" s="52" t="inlineStr">
        <is>
          <t>AVISOS</t>
        </is>
      </c>
      <c r="K212" s="129">
        <f>DADOS_AM!$FL$24</f>
        <v/>
      </c>
      <c r="L212" s="14" t="n"/>
      <c r="M212" s="14" t="n"/>
      <c r="N212" s="15" t="n"/>
      <c r="O212" s="115" t="n"/>
      <c r="P212" s="52" t="inlineStr">
        <is>
          <t>AVISOS</t>
        </is>
      </c>
      <c r="Q212" s="129">
        <f>DADOS_AM!$FL$25</f>
        <v/>
      </c>
      <c r="R212" s="14" t="n"/>
      <c r="S212" s="14" t="n"/>
      <c r="T212" s="15" t="n"/>
      <c r="U212" s="115" t="n"/>
    </row>
    <row r="213" hidden="1" outlineLevel="3">
      <c r="A213" s="8" t="n"/>
      <c r="B213" s="22" t="n"/>
      <c r="C213" s="115" t="n"/>
      <c r="D213" s="121" t="n"/>
      <c r="E213" s="18" t="n"/>
      <c r="F213" s="19" t="n"/>
      <c r="G213" s="19" t="n"/>
      <c r="H213" s="20" t="n"/>
      <c r="I213" s="115" t="n"/>
      <c r="J213" s="121" t="n"/>
      <c r="K213" s="18" t="n"/>
      <c r="L213" s="19" t="n"/>
      <c r="M213" s="19" t="n"/>
      <c r="N213" s="20" t="n"/>
      <c r="O213" s="115" t="n"/>
      <c r="P213" s="121"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DADOS_AM!$FK$26</f>
        <v/>
      </c>
      <c r="H217" s="12" t="n"/>
      <c r="I217" s="115" t="n"/>
      <c r="J217" s="123" t="n">
        <v>1</v>
      </c>
      <c r="K217" s="124" t="n"/>
      <c r="L217" s="12" t="n"/>
      <c r="M217" s="125">
        <f>DADOS_AM!$FK$27</f>
        <v/>
      </c>
      <c r="N217" s="12" t="n"/>
      <c r="O217" s="115" t="n"/>
      <c r="P217" s="123" t="n">
        <v>1</v>
      </c>
      <c r="Q217" s="124" t="n"/>
      <c r="R217" s="12" t="n"/>
      <c r="S217" s="125">
        <f>DADOS_AM!$FK$28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19" t="n"/>
      <c r="E219" s="14" t="n"/>
      <c r="F219" s="14" t="n"/>
      <c r="G219" s="14" t="n"/>
      <c r="H219" s="15" t="n"/>
      <c r="I219" s="115" t="n"/>
      <c r="J219" s="119" t="n"/>
      <c r="K219" s="14" t="n"/>
      <c r="L219" s="14" t="n"/>
      <c r="M219" s="14" t="n"/>
      <c r="N219" s="15" t="n"/>
      <c r="O219" s="115" t="n"/>
      <c r="P219" s="119"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0" t="inlineStr">
        <is>
          <t>Projétil</t>
        </is>
      </c>
      <c r="E224" s="65">
        <f>DADOS_AM!$FP$26</f>
        <v/>
      </c>
      <c r="F224" s="65">
        <f>DADOS_AM!$FM$26</f>
        <v/>
      </c>
      <c r="G224" s="120">
        <f>DADOS_AM!$FO$26</f>
        <v/>
      </c>
      <c r="H224" s="12" t="n"/>
      <c r="I224" s="115" t="n"/>
      <c r="J224" s="120" t="inlineStr">
        <is>
          <t>Projétil</t>
        </is>
      </c>
      <c r="K224" s="65">
        <f>DADOS_AM!$FP$27</f>
        <v/>
      </c>
      <c r="L224" s="65">
        <f>DADOS_AM!$FM$27</f>
        <v/>
      </c>
      <c r="M224" s="120">
        <f>DADOS_AM!$FO$27</f>
        <v/>
      </c>
      <c r="N224" s="12" t="n"/>
      <c r="O224" s="115" t="n"/>
      <c r="P224" s="120" t="inlineStr">
        <is>
          <t>Projétil</t>
        </is>
      </c>
      <c r="Q224" s="65">
        <f>DADOS_AM!$FP$28</f>
        <v/>
      </c>
      <c r="R224" s="65">
        <f>DADOS_AM!$FM$28</f>
        <v/>
      </c>
      <c r="S224" s="120">
        <f>DADOS_AM!$FO$28</f>
        <v/>
      </c>
      <c r="T224" s="12" t="n"/>
      <c r="U224" s="115" t="n"/>
    </row>
    <row r="225" hidden="1" outlineLevel="2">
      <c r="A225" s="8" t="n"/>
      <c r="B225" s="22" t="n"/>
      <c r="C225" s="115" t="n"/>
      <c r="D225" s="120">
        <f>DADOS_AM!$FN$26</f>
        <v/>
      </c>
      <c r="E225" s="126">
        <f>DADOS_AM!$FU$26</f>
        <v/>
      </c>
      <c r="F225" s="11" t="n"/>
      <c r="G225" s="11" t="n"/>
      <c r="H225" s="12" t="n"/>
      <c r="I225" s="115" t="n"/>
      <c r="J225" s="120">
        <f>DADOS_AM!$FN$27</f>
        <v/>
      </c>
      <c r="K225" s="126">
        <f>DADOS_AM!$FU$27</f>
        <v/>
      </c>
      <c r="L225" s="11" t="n"/>
      <c r="M225" s="11" t="n"/>
      <c r="N225" s="12" t="n"/>
      <c r="O225" s="115" t="n"/>
      <c r="P225" s="120">
        <f>DADOS_AM!$FN$28</f>
        <v/>
      </c>
      <c r="Q225" s="126">
        <f>DADOS_AM!$FU$28</f>
        <v/>
      </c>
      <c r="R225" s="11" t="n"/>
      <c r="S225" s="11" t="n"/>
      <c r="T225" s="12" t="n"/>
      <c r="U225" s="115" t="n"/>
    </row>
    <row r="226" hidden="1" outlineLevel="3">
      <c r="A226" s="8" t="n"/>
      <c r="B226" s="22" t="n"/>
      <c r="C226" s="115" t="n"/>
      <c r="D226" s="52" t="inlineStr">
        <is>
          <t>MELHORIAS</t>
        </is>
      </c>
      <c r="E226" s="127" t="n"/>
      <c r="F226" s="12" t="n"/>
      <c r="G226" s="126">
        <f>DADOS_AM!$FX$26</f>
        <v/>
      </c>
      <c r="H226" s="12" t="n"/>
      <c r="I226" s="115" t="n"/>
      <c r="J226" s="52" t="inlineStr">
        <is>
          <t>MELHORIAS</t>
        </is>
      </c>
      <c r="K226" s="127" t="n"/>
      <c r="L226" s="12" t="n"/>
      <c r="M226" s="126">
        <f>DADOS_AM!$FX$27</f>
        <v/>
      </c>
      <c r="N226" s="12" t="n"/>
      <c r="O226" s="115" t="n"/>
      <c r="P226" s="52" t="inlineStr">
        <is>
          <t>MELHORIAS</t>
        </is>
      </c>
      <c r="Q226" s="127" t="n"/>
      <c r="R226" s="12" t="n"/>
      <c r="S226" s="126">
        <f>DADOS_AM!$FX$28</f>
        <v/>
      </c>
      <c r="T226" s="12" t="n"/>
      <c r="U226" s="115" t="n"/>
    </row>
    <row r="227" hidden="1" outlineLevel="3">
      <c r="A227" s="8" t="n"/>
      <c r="B227" s="22" t="n"/>
      <c r="C227" s="115" t="n"/>
      <c r="D227" s="128" t="n"/>
      <c r="E227" s="127" t="n"/>
      <c r="F227" s="12" t="n"/>
      <c r="G227" s="126">
        <f>DADOS_AM!$FY$26</f>
        <v/>
      </c>
      <c r="H227" s="12" t="n"/>
      <c r="I227" s="115" t="n"/>
      <c r="J227" s="128" t="n"/>
      <c r="K227" s="127" t="n"/>
      <c r="L227" s="12" t="n"/>
      <c r="M227" s="126">
        <f>DADOS_AM!$FY$27</f>
        <v/>
      </c>
      <c r="N227" s="12" t="n"/>
      <c r="O227" s="115" t="n"/>
      <c r="P227" s="128" t="n"/>
      <c r="Q227" s="127" t="n"/>
      <c r="R227" s="12" t="n"/>
      <c r="S227" s="126">
        <f>DADOS_AM!$FY$28</f>
        <v/>
      </c>
      <c r="T227" s="12" t="n"/>
      <c r="U227" s="115" t="n"/>
    </row>
    <row r="228" hidden="1" outlineLevel="3">
      <c r="A228" s="8" t="n"/>
      <c r="B228" s="22" t="n"/>
      <c r="C228" s="115" t="n"/>
      <c r="D228" s="128" t="n"/>
      <c r="E228" s="127" t="n"/>
      <c r="F228" s="12" t="n"/>
      <c r="G228" s="126">
        <f>DADOS_AM!$FZ$26</f>
        <v/>
      </c>
      <c r="H228" s="12" t="n"/>
      <c r="I228" s="115" t="n"/>
      <c r="J228" s="128" t="n"/>
      <c r="K228" s="127" t="n"/>
      <c r="L228" s="12" t="n"/>
      <c r="M228" s="126">
        <f>DADOS_AM!$FZ$27</f>
        <v/>
      </c>
      <c r="N228" s="12" t="n"/>
      <c r="O228" s="115" t="n"/>
      <c r="P228" s="128" t="n"/>
      <c r="Q228" s="127" t="n"/>
      <c r="R228" s="12" t="n"/>
      <c r="S228" s="126">
        <f>DADOS_AM!$FZ$28</f>
        <v/>
      </c>
      <c r="T228" s="12" t="n"/>
      <c r="U228" s="115" t="n"/>
    </row>
    <row r="229" hidden="1" outlineLevel="3">
      <c r="A229" s="8" t="n"/>
      <c r="B229" s="22" t="n"/>
      <c r="C229" s="115" t="n"/>
      <c r="D229" s="121" t="n"/>
      <c r="E229" s="127" t="n"/>
      <c r="F229" s="12" t="n"/>
      <c r="G229" s="126">
        <f>DADOS_AM!$GA$26</f>
        <v/>
      </c>
      <c r="H229" s="12" t="n"/>
      <c r="I229" s="115" t="n"/>
      <c r="J229" s="121" t="n"/>
      <c r="K229" s="127" t="n"/>
      <c r="L229" s="12" t="n"/>
      <c r="M229" s="126">
        <f>DADOS_AM!$GA$27</f>
        <v/>
      </c>
      <c r="N229" s="12" t="n"/>
      <c r="O229" s="115" t="n"/>
      <c r="P229" s="121" t="n"/>
      <c r="Q229" s="127" t="n"/>
      <c r="R229" s="12" t="n"/>
      <c r="S229" s="126">
        <f>DADOS_AM!$GA$28</f>
        <v/>
      </c>
      <c r="T229" s="12" t="n"/>
      <c r="U229" s="115" t="n"/>
    </row>
    <row r="230" hidden="1" outlineLevel="3">
      <c r="A230" s="8" t="n"/>
      <c r="B230" s="22" t="n"/>
      <c r="C230" s="115" t="n"/>
      <c r="D230" s="52" t="inlineStr">
        <is>
          <t>RESTRIÇÕES</t>
        </is>
      </c>
      <c r="E230" s="127" t="n"/>
      <c r="F230" s="12" t="n"/>
      <c r="G230" s="126">
        <f>DADOS_AM!$GB$26</f>
        <v/>
      </c>
      <c r="H230" s="12" t="n"/>
      <c r="I230" s="115" t="n"/>
      <c r="J230" s="52" t="inlineStr">
        <is>
          <t>RESTRIÇÕES</t>
        </is>
      </c>
      <c r="K230" s="127" t="n"/>
      <c r="L230" s="12" t="n"/>
      <c r="M230" s="126">
        <f>DADOS_AM!$GB$27</f>
        <v/>
      </c>
      <c r="N230" s="12" t="n"/>
      <c r="O230" s="115" t="n"/>
      <c r="P230" s="52" t="inlineStr">
        <is>
          <t>RESTRIÇÕES</t>
        </is>
      </c>
      <c r="Q230" s="127" t="n"/>
      <c r="R230" s="12" t="n"/>
      <c r="S230" s="126">
        <f>DADOS_AM!$GB$28</f>
        <v/>
      </c>
      <c r="T230" s="12" t="n"/>
      <c r="U230" s="115" t="n"/>
    </row>
    <row r="231" hidden="1" outlineLevel="3">
      <c r="A231" s="8" t="n"/>
      <c r="B231" s="22" t="n"/>
      <c r="C231" s="115" t="n"/>
      <c r="D231" s="121" t="n"/>
      <c r="E231" s="127" t="n"/>
      <c r="F231" s="12" t="n"/>
      <c r="G231" s="126">
        <f>DADOS_AM!$GC$26</f>
        <v/>
      </c>
      <c r="H231" s="12" t="n"/>
      <c r="I231" s="115" t="n"/>
      <c r="J231" s="121" t="n"/>
      <c r="K231" s="127" t="n"/>
      <c r="L231" s="12" t="n"/>
      <c r="M231" s="126">
        <f>DADOS_AM!$GC$27</f>
        <v/>
      </c>
      <c r="N231" s="12" t="n"/>
      <c r="O231" s="115" t="n"/>
      <c r="P231" s="121" t="n"/>
      <c r="Q231" s="127" t="n"/>
      <c r="R231" s="12" t="n"/>
      <c r="S231" s="126">
        <f>DADOS_AM!$GC$28</f>
        <v/>
      </c>
      <c r="T231" s="12" t="n"/>
      <c r="U231" s="115" t="n"/>
    </row>
    <row r="232" hidden="1" outlineLevel="3">
      <c r="A232" s="8" t="n"/>
      <c r="B232" s="22" t="n"/>
      <c r="C232" s="115" t="n"/>
      <c r="D232" s="52" t="inlineStr">
        <is>
          <t>CONTA</t>
        </is>
      </c>
      <c r="E232" s="129">
        <f>DADOS_AM!$FV$26</f>
        <v/>
      </c>
      <c r="F232" s="11" t="n"/>
      <c r="G232" s="11" t="n"/>
      <c r="H232" s="12" t="n"/>
      <c r="I232" s="115" t="n"/>
      <c r="J232" s="52" t="inlineStr">
        <is>
          <t>CONTA</t>
        </is>
      </c>
      <c r="K232" s="129">
        <f>DADOS_AM!$FV$27</f>
        <v/>
      </c>
      <c r="L232" s="11" t="n"/>
      <c r="M232" s="11" t="n"/>
      <c r="N232" s="12" t="n"/>
      <c r="O232" s="115" t="n"/>
      <c r="P232" s="52" t="inlineStr">
        <is>
          <t>CONTA</t>
        </is>
      </c>
      <c r="Q232" s="129">
        <f>DADOS_AM!$FV$28</f>
        <v/>
      </c>
      <c r="R232" s="11" t="n"/>
      <c r="S232" s="11" t="n"/>
      <c r="T232" s="12" t="n"/>
      <c r="U232" s="115" t="n"/>
    </row>
    <row r="233" hidden="1" outlineLevel="3">
      <c r="A233" s="8" t="n"/>
      <c r="B233" s="22" t="n"/>
      <c r="C233" s="115" t="n"/>
      <c r="D233" s="52" t="inlineStr">
        <is>
          <t>AMPLIAR</t>
        </is>
      </c>
      <c r="E233" s="129">
        <f>DADOS_AM!$FW$26</f>
        <v/>
      </c>
      <c r="F233" s="14" t="n"/>
      <c r="G233" s="14" t="n"/>
      <c r="H233" s="15" t="n"/>
      <c r="I233" s="115" t="n"/>
      <c r="J233" s="52" t="inlineStr">
        <is>
          <t>AMPLIAR</t>
        </is>
      </c>
      <c r="K233" s="129">
        <f>DADOS_AM!$FW$27</f>
        <v/>
      </c>
      <c r="L233" s="14" t="n"/>
      <c r="M233" s="14" t="n"/>
      <c r="N233" s="15" t="n"/>
      <c r="O233" s="115" t="n"/>
      <c r="P233" s="52" t="inlineStr">
        <is>
          <t>AMPLIAR</t>
        </is>
      </c>
      <c r="Q233" s="129">
        <f>DADOS_AM!$FW$28</f>
        <v/>
      </c>
      <c r="R233" s="14" t="n"/>
      <c r="S233" s="14" t="n"/>
      <c r="T233" s="15" t="n"/>
      <c r="U233" s="115" t="n"/>
    </row>
    <row r="234" hidden="1" outlineLevel="3">
      <c r="A234" s="8" t="n"/>
      <c r="B234" s="22" t="n"/>
      <c r="C234" s="115" t="n"/>
      <c r="D234" s="121" t="n"/>
      <c r="E234" s="18" t="n"/>
      <c r="F234" s="19" t="n"/>
      <c r="G234" s="19" t="n"/>
      <c r="H234" s="20" t="n"/>
      <c r="I234" s="115" t="n"/>
      <c r="J234" s="121" t="n"/>
      <c r="K234" s="18" t="n"/>
      <c r="L234" s="19" t="n"/>
      <c r="M234" s="19" t="n"/>
      <c r="N234" s="20" t="n"/>
      <c r="O234" s="115" t="n"/>
      <c r="P234" s="121" t="n"/>
      <c r="Q234" s="18" t="n"/>
      <c r="R234" s="19" t="n"/>
      <c r="S234" s="19" t="n"/>
      <c r="T234" s="20" t="n"/>
      <c r="U234" s="115" t="n"/>
    </row>
    <row r="235" hidden="1" outlineLevel="3">
      <c r="A235" s="8" t="n"/>
      <c r="B235" s="22" t="n"/>
      <c r="C235" s="115" t="n"/>
      <c r="D235" s="52" t="inlineStr">
        <is>
          <t>AVISOS</t>
        </is>
      </c>
      <c r="E235" s="129">
        <f>DADOS_AM!$FL$26</f>
        <v/>
      </c>
      <c r="F235" s="14" t="n"/>
      <c r="G235" s="14" t="n"/>
      <c r="H235" s="15" t="n"/>
      <c r="I235" s="115" t="n"/>
      <c r="J235" s="52" t="inlineStr">
        <is>
          <t>AVISOS</t>
        </is>
      </c>
      <c r="K235" s="129">
        <f>DADOS_AM!$FL$27</f>
        <v/>
      </c>
      <c r="L235" s="14" t="n"/>
      <c r="M235" s="14" t="n"/>
      <c r="N235" s="15" t="n"/>
      <c r="O235" s="115" t="n"/>
      <c r="P235" s="52" t="inlineStr">
        <is>
          <t>AVISOS</t>
        </is>
      </c>
      <c r="Q235" s="129">
        <f>DADOS_AM!$FL$28</f>
        <v/>
      </c>
      <c r="R235" s="14" t="n"/>
      <c r="S235" s="14" t="n"/>
      <c r="T235" s="15" t="n"/>
      <c r="U235" s="115" t="n"/>
    </row>
    <row r="236" hidden="1" outlineLevel="3">
      <c r="A236" s="8" t="n"/>
      <c r="B236" s="22" t="n"/>
      <c r="C236" s="115" t="n"/>
      <c r="D236" s="121" t="n"/>
      <c r="E236" s="18" t="n"/>
      <c r="F236" s="19" t="n"/>
      <c r="G236" s="19" t="n"/>
      <c r="H236" s="20" t="n"/>
      <c r="I236" s="115" t="n"/>
      <c r="J236" s="121" t="n"/>
      <c r="K236" s="18" t="n"/>
      <c r="L236" s="19" t="n"/>
      <c r="M236" s="19" t="n"/>
      <c r="N236" s="20" t="n"/>
      <c r="O236" s="115" t="n"/>
      <c r="P236" s="121"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DADOS_AM!$FK$29</f>
        <v/>
      </c>
      <c r="H238" s="12" t="n"/>
      <c r="I238" s="115" t="n"/>
      <c r="J238" s="123" t="n">
        <v>1</v>
      </c>
      <c r="K238" s="124" t="n"/>
      <c r="L238" s="12" t="n"/>
      <c r="M238" s="125">
        <f>DADOS_AM!$FK$30</f>
        <v/>
      </c>
      <c r="N238" s="12" t="n"/>
      <c r="O238" s="115" t="n"/>
      <c r="P238" s="123" t="n">
        <v>1</v>
      </c>
      <c r="Q238" s="124" t="n"/>
      <c r="R238" s="12" t="n"/>
      <c r="S238" s="125">
        <f>DADOS_AM!$FK$31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19" t="n"/>
      <c r="E240" s="14" t="n"/>
      <c r="F240" s="14" t="n"/>
      <c r="G240" s="14" t="n"/>
      <c r="H240" s="15" t="n"/>
      <c r="I240" s="115" t="n"/>
      <c r="J240" s="119" t="n"/>
      <c r="K240" s="14" t="n"/>
      <c r="L240" s="14" t="n"/>
      <c r="M240" s="14" t="n"/>
      <c r="N240" s="15" t="n"/>
      <c r="O240" s="115" t="n"/>
      <c r="P240" s="119"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0" t="inlineStr">
        <is>
          <t>Projétil</t>
        </is>
      </c>
      <c r="E245" s="65">
        <f>DADOS_AM!$FP$29</f>
        <v/>
      </c>
      <c r="F245" s="65">
        <f>DADOS_AM!$FM$29</f>
        <v/>
      </c>
      <c r="G245" s="120">
        <f>DADOS_AM!$FO$29</f>
        <v/>
      </c>
      <c r="H245" s="12" t="n"/>
      <c r="I245" s="115" t="n"/>
      <c r="J245" s="120" t="inlineStr">
        <is>
          <t>Projétil</t>
        </is>
      </c>
      <c r="K245" s="65">
        <f>DADOS_AM!$FP$30</f>
        <v/>
      </c>
      <c r="L245" s="65">
        <f>DADOS_AM!$FM$30</f>
        <v/>
      </c>
      <c r="M245" s="120">
        <f>DADOS_AM!$FO$30</f>
        <v/>
      </c>
      <c r="N245" s="12" t="n"/>
      <c r="O245" s="115" t="n"/>
      <c r="P245" s="120" t="inlineStr">
        <is>
          <t>Projétil</t>
        </is>
      </c>
      <c r="Q245" s="65">
        <f>DADOS_AM!$FP$31</f>
        <v/>
      </c>
      <c r="R245" s="65">
        <f>DADOS_AM!$FM$31</f>
        <v/>
      </c>
      <c r="S245" s="120">
        <f>DADOS_AM!$FO$31</f>
        <v/>
      </c>
      <c r="T245" s="12" t="n"/>
      <c r="U245" s="115" t="n"/>
    </row>
    <row r="246" hidden="1" outlineLevel="2">
      <c r="A246" s="8" t="n"/>
      <c r="B246" s="22" t="n"/>
      <c r="C246" s="115" t="n"/>
      <c r="D246" s="120">
        <f>DADOS_AM!$FN$29</f>
        <v/>
      </c>
      <c r="E246" s="126">
        <f>DADOS_AM!$FU$29</f>
        <v/>
      </c>
      <c r="F246" s="11" t="n"/>
      <c r="G246" s="11" t="n"/>
      <c r="H246" s="12" t="n"/>
      <c r="I246" s="115" t="n"/>
      <c r="J246" s="120">
        <f>DADOS_AM!$FN$30</f>
        <v/>
      </c>
      <c r="K246" s="126">
        <f>DADOS_AM!$FU$30</f>
        <v/>
      </c>
      <c r="L246" s="11" t="n"/>
      <c r="M246" s="11" t="n"/>
      <c r="N246" s="12" t="n"/>
      <c r="O246" s="115" t="n"/>
      <c r="P246" s="120">
        <f>DADOS_AM!$FN$31</f>
        <v/>
      </c>
      <c r="Q246" s="126">
        <f>DADOS_AM!$FU$31</f>
        <v/>
      </c>
      <c r="R246" s="11" t="n"/>
      <c r="S246" s="11" t="n"/>
      <c r="T246" s="12" t="n"/>
      <c r="U246" s="115" t="n"/>
    </row>
    <row r="247" hidden="1" outlineLevel="3">
      <c r="A247" s="8" t="n"/>
      <c r="B247" s="22" t="n"/>
      <c r="C247" s="115" t="n"/>
      <c r="D247" s="52" t="inlineStr">
        <is>
          <t>MELHORIAS</t>
        </is>
      </c>
      <c r="E247" s="127" t="n"/>
      <c r="F247" s="12" t="n"/>
      <c r="G247" s="126">
        <f>DADOS_AM!$FX$29</f>
        <v/>
      </c>
      <c r="H247" s="12" t="n"/>
      <c r="I247" s="115" t="n"/>
      <c r="J247" s="52" t="inlineStr">
        <is>
          <t>MELHORIAS</t>
        </is>
      </c>
      <c r="K247" s="127" t="n"/>
      <c r="L247" s="12" t="n"/>
      <c r="M247" s="126">
        <f>DADOS_AM!$FX$30</f>
        <v/>
      </c>
      <c r="N247" s="12" t="n"/>
      <c r="O247" s="115" t="n"/>
      <c r="P247" s="52" t="inlineStr">
        <is>
          <t>MELHORIAS</t>
        </is>
      </c>
      <c r="Q247" s="127" t="n"/>
      <c r="R247" s="12" t="n"/>
      <c r="S247" s="126">
        <f>DADOS_AM!$FX$31</f>
        <v/>
      </c>
      <c r="T247" s="12" t="n"/>
      <c r="U247" s="115" t="n"/>
    </row>
    <row r="248" hidden="1" outlineLevel="3">
      <c r="A248" s="8" t="n"/>
      <c r="B248" s="22" t="n"/>
      <c r="C248" s="115" t="n"/>
      <c r="D248" s="128" t="n"/>
      <c r="E248" s="127" t="n"/>
      <c r="F248" s="12" t="n"/>
      <c r="G248" s="126">
        <f>DADOS_AM!$FY$29</f>
        <v/>
      </c>
      <c r="H248" s="12" t="n"/>
      <c r="I248" s="115" t="n"/>
      <c r="J248" s="128" t="n"/>
      <c r="K248" s="127" t="n"/>
      <c r="L248" s="12" t="n"/>
      <c r="M248" s="126">
        <f>DADOS_AM!$FY$30</f>
        <v/>
      </c>
      <c r="N248" s="12" t="n"/>
      <c r="O248" s="115" t="n"/>
      <c r="P248" s="128" t="n"/>
      <c r="Q248" s="127" t="n"/>
      <c r="R248" s="12" t="n"/>
      <c r="S248" s="126">
        <f>DADOS_AM!$FY$31</f>
        <v/>
      </c>
      <c r="T248" s="12" t="n"/>
      <c r="U248" s="115" t="n"/>
    </row>
    <row r="249" hidden="1" outlineLevel="3">
      <c r="A249" s="8" t="n"/>
      <c r="B249" s="22" t="n"/>
      <c r="C249" s="115" t="n"/>
      <c r="D249" s="128" t="n"/>
      <c r="E249" s="127" t="n"/>
      <c r="F249" s="12" t="n"/>
      <c r="G249" s="126">
        <f>DADOS_AM!$FZ$29</f>
        <v/>
      </c>
      <c r="H249" s="12" t="n"/>
      <c r="I249" s="115" t="n"/>
      <c r="J249" s="128" t="n"/>
      <c r="K249" s="127" t="n"/>
      <c r="L249" s="12" t="n"/>
      <c r="M249" s="126">
        <f>DADOS_AM!$FZ$30</f>
        <v/>
      </c>
      <c r="N249" s="12" t="n"/>
      <c r="O249" s="115" t="n"/>
      <c r="P249" s="128" t="n"/>
      <c r="Q249" s="127" t="n"/>
      <c r="R249" s="12" t="n"/>
      <c r="S249" s="126">
        <f>DADOS_AM!$FZ$31</f>
        <v/>
      </c>
      <c r="T249" s="12" t="n"/>
      <c r="U249" s="115" t="n"/>
    </row>
    <row r="250" hidden="1" outlineLevel="3">
      <c r="A250" s="8" t="n"/>
      <c r="B250" s="22" t="n"/>
      <c r="C250" s="115" t="n"/>
      <c r="D250" s="121" t="n"/>
      <c r="E250" s="127" t="n"/>
      <c r="F250" s="12" t="n"/>
      <c r="G250" s="126">
        <f>DADOS_AM!$GA$29</f>
        <v/>
      </c>
      <c r="H250" s="12" t="n"/>
      <c r="I250" s="115" t="n"/>
      <c r="J250" s="121" t="n"/>
      <c r="K250" s="127" t="n"/>
      <c r="L250" s="12" t="n"/>
      <c r="M250" s="126">
        <f>DADOS_AM!$GA$30</f>
        <v/>
      </c>
      <c r="N250" s="12" t="n"/>
      <c r="O250" s="115" t="n"/>
      <c r="P250" s="121" t="n"/>
      <c r="Q250" s="127" t="n"/>
      <c r="R250" s="12" t="n"/>
      <c r="S250" s="126">
        <f>DADOS_AM!$GA$31</f>
        <v/>
      </c>
      <c r="T250" s="12" t="n"/>
      <c r="U250" s="115" t="n"/>
    </row>
    <row r="251" hidden="1" outlineLevel="3">
      <c r="A251" s="8" t="n"/>
      <c r="B251" s="22" t="n"/>
      <c r="C251" s="115" t="n"/>
      <c r="D251" s="52" t="inlineStr">
        <is>
          <t>RESTRIÇÕES</t>
        </is>
      </c>
      <c r="E251" s="127" t="n"/>
      <c r="F251" s="12" t="n"/>
      <c r="G251" s="126">
        <f>DADOS_AM!$GB$29</f>
        <v/>
      </c>
      <c r="H251" s="12" t="n"/>
      <c r="I251" s="115" t="n"/>
      <c r="J251" s="52" t="inlineStr">
        <is>
          <t>RESTRIÇÕES</t>
        </is>
      </c>
      <c r="K251" s="127" t="n"/>
      <c r="L251" s="12" t="n"/>
      <c r="M251" s="126">
        <f>DADOS_AM!$GB$30</f>
        <v/>
      </c>
      <c r="N251" s="12" t="n"/>
      <c r="O251" s="115" t="n"/>
      <c r="P251" s="52" t="inlineStr">
        <is>
          <t>RESTRIÇÕES</t>
        </is>
      </c>
      <c r="Q251" s="127" t="n"/>
      <c r="R251" s="12" t="n"/>
      <c r="S251" s="126">
        <f>DADOS_AM!$GB$31</f>
        <v/>
      </c>
      <c r="T251" s="12" t="n"/>
      <c r="U251" s="115" t="n"/>
    </row>
    <row r="252" hidden="1" outlineLevel="3">
      <c r="A252" s="8" t="n"/>
      <c r="B252" s="22" t="n"/>
      <c r="C252" s="115" t="n"/>
      <c r="D252" s="121" t="n"/>
      <c r="E252" s="127" t="n"/>
      <c r="F252" s="12" t="n"/>
      <c r="G252" s="126">
        <f>DADOS_AM!$GC$29</f>
        <v/>
      </c>
      <c r="H252" s="12" t="n"/>
      <c r="I252" s="115" t="n"/>
      <c r="J252" s="121" t="n"/>
      <c r="K252" s="127" t="n"/>
      <c r="L252" s="12" t="n"/>
      <c r="M252" s="126">
        <f>DADOS_AM!$GC$30</f>
        <v/>
      </c>
      <c r="N252" s="12" t="n"/>
      <c r="O252" s="115" t="n"/>
      <c r="P252" s="121" t="n"/>
      <c r="Q252" s="127" t="n"/>
      <c r="R252" s="12" t="n"/>
      <c r="S252" s="126">
        <f>DADOS_AM!$GC$31</f>
        <v/>
      </c>
      <c r="T252" s="12" t="n"/>
      <c r="U252" s="115" t="n"/>
    </row>
    <row r="253" hidden="1" outlineLevel="3">
      <c r="A253" s="8" t="n"/>
      <c r="B253" s="22" t="n"/>
      <c r="C253" s="115" t="n"/>
      <c r="D253" s="52" t="inlineStr">
        <is>
          <t>CONTA</t>
        </is>
      </c>
      <c r="E253" s="129">
        <f>DADOS_AM!$FV$29</f>
        <v/>
      </c>
      <c r="F253" s="11" t="n"/>
      <c r="G253" s="11" t="n"/>
      <c r="H253" s="12" t="n"/>
      <c r="I253" s="115" t="n"/>
      <c r="J253" s="52" t="inlineStr">
        <is>
          <t>CONTA</t>
        </is>
      </c>
      <c r="K253" s="129">
        <f>DADOS_AM!$FV$30</f>
        <v/>
      </c>
      <c r="L253" s="11" t="n"/>
      <c r="M253" s="11" t="n"/>
      <c r="N253" s="12" t="n"/>
      <c r="O253" s="115" t="n"/>
      <c r="P253" s="52" t="inlineStr">
        <is>
          <t>CONTA</t>
        </is>
      </c>
      <c r="Q253" s="129">
        <f>DADOS_AM!$FV$31</f>
        <v/>
      </c>
      <c r="R253" s="11" t="n"/>
      <c r="S253" s="11" t="n"/>
      <c r="T253" s="12" t="n"/>
      <c r="U253" s="115" t="n"/>
    </row>
    <row r="254" hidden="1" outlineLevel="3">
      <c r="A254" s="8" t="n"/>
      <c r="B254" s="22" t="n"/>
      <c r="C254" s="115" t="n"/>
      <c r="D254" s="52" t="inlineStr">
        <is>
          <t>AMPLIAR</t>
        </is>
      </c>
      <c r="E254" s="129">
        <f>DADOS_AM!$FW$29</f>
        <v/>
      </c>
      <c r="F254" s="14" t="n"/>
      <c r="G254" s="14" t="n"/>
      <c r="H254" s="15" t="n"/>
      <c r="I254" s="115" t="n"/>
      <c r="J254" s="52" t="inlineStr">
        <is>
          <t>AMPLIAR</t>
        </is>
      </c>
      <c r="K254" s="129">
        <f>DADOS_AM!$FW$30</f>
        <v/>
      </c>
      <c r="L254" s="14" t="n"/>
      <c r="M254" s="14" t="n"/>
      <c r="N254" s="15" t="n"/>
      <c r="O254" s="115" t="n"/>
      <c r="P254" s="52" t="inlineStr">
        <is>
          <t>AMPLIAR</t>
        </is>
      </c>
      <c r="Q254" s="129">
        <f>DADOS_AM!$FW$31</f>
        <v/>
      </c>
      <c r="R254" s="14" t="n"/>
      <c r="S254" s="14" t="n"/>
      <c r="T254" s="15" t="n"/>
      <c r="U254" s="115" t="n"/>
    </row>
    <row r="255" hidden="1" outlineLevel="3">
      <c r="A255" s="8" t="n"/>
      <c r="B255" s="22" t="n"/>
      <c r="C255" s="115" t="n"/>
      <c r="D255" s="121" t="n"/>
      <c r="E255" s="18" t="n"/>
      <c r="F255" s="19" t="n"/>
      <c r="G255" s="19" t="n"/>
      <c r="H255" s="20" t="n"/>
      <c r="I255" s="115" t="n"/>
      <c r="J255" s="121" t="n"/>
      <c r="K255" s="18" t="n"/>
      <c r="L255" s="19" t="n"/>
      <c r="M255" s="19" t="n"/>
      <c r="N255" s="20" t="n"/>
      <c r="O255" s="115" t="n"/>
      <c r="P255" s="121" t="n"/>
      <c r="Q255" s="18" t="n"/>
      <c r="R255" s="19" t="n"/>
      <c r="S255" s="19" t="n"/>
      <c r="T255" s="20" t="n"/>
      <c r="U255" s="115" t="n"/>
    </row>
    <row r="256" hidden="1" outlineLevel="3">
      <c r="A256" s="8" t="n"/>
      <c r="B256" s="22" t="n"/>
      <c r="C256" s="115" t="n"/>
      <c r="D256" s="52" t="inlineStr">
        <is>
          <t>AVISOS</t>
        </is>
      </c>
      <c r="E256" s="129">
        <f>DADOS_AM!$FL$29</f>
        <v/>
      </c>
      <c r="F256" s="14" t="n"/>
      <c r="G256" s="14" t="n"/>
      <c r="H256" s="15" t="n"/>
      <c r="I256" s="115" t="n"/>
      <c r="J256" s="52" t="inlineStr">
        <is>
          <t>AVISOS</t>
        </is>
      </c>
      <c r="K256" s="129">
        <f>DADOS_AM!$FL$30</f>
        <v/>
      </c>
      <c r="L256" s="14" t="n"/>
      <c r="M256" s="14" t="n"/>
      <c r="N256" s="15" t="n"/>
      <c r="O256" s="115" t="n"/>
      <c r="P256" s="52" t="inlineStr">
        <is>
          <t>AVISOS</t>
        </is>
      </c>
      <c r="Q256" s="129">
        <f>DADOS_AM!$FL$31</f>
        <v/>
      </c>
      <c r="R256" s="14" t="n"/>
      <c r="S256" s="14" t="n"/>
      <c r="T256" s="15" t="n"/>
      <c r="U256" s="115" t="n"/>
    </row>
    <row r="257" hidden="1" outlineLevel="3">
      <c r="A257" s="8" t="n"/>
      <c r="B257" s="22" t="n"/>
      <c r="C257" s="115" t="n"/>
      <c r="D257" s="121" t="n"/>
      <c r="E257" s="18" t="n"/>
      <c r="F257" s="19" t="n"/>
      <c r="G257" s="19" t="n"/>
      <c r="H257" s="20" t="n"/>
      <c r="I257" s="115" t="n"/>
      <c r="J257" s="121" t="n"/>
      <c r="K257" s="18" t="n"/>
      <c r="L257" s="19" t="n"/>
      <c r="M257" s="19" t="n"/>
      <c r="N257" s="20" t="n"/>
      <c r="O257" s="115" t="n"/>
      <c r="P257" s="121"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DADOS_AM!$FK$32</f>
        <v/>
      </c>
      <c r="H259" s="12" t="n"/>
      <c r="I259" s="115" t="n"/>
      <c r="J259" s="123" t="n">
        <v>1</v>
      </c>
      <c r="K259" s="124" t="n"/>
      <c r="L259" s="12" t="n"/>
      <c r="M259" s="125">
        <f>DADOS_AM!$FK$33</f>
        <v/>
      </c>
      <c r="N259" s="12" t="n"/>
      <c r="O259" s="115" t="n"/>
      <c r="P259" s="123" t="n">
        <v>1</v>
      </c>
      <c r="Q259" s="124" t="n"/>
      <c r="R259" s="12" t="n"/>
      <c r="S259" s="125">
        <f>DADOS_AM!$FK$34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19" t="n"/>
      <c r="E261" s="14" t="n"/>
      <c r="F261" s="14" t="n"/>
      <c r="G261" s="14" t="n"/>
      <c r="H261" s="15" t="n"/>
      <c r="I261" s="115" t="n"/>
      <c r="J261" s="119" t="n"/>
      <c r="K261" s="14" t="n"/>
      <c r="L261" s="14" t="n"/>
      <c r="M261" s="14" t="n"/>
      <c r="N261" s="15" t="n"/>
      <c r="O261" s="115" t="n"/>
      <c r="P261" s="119"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0" t="inlineStr">
        <is>
          <t>Projétil</t>
        </is>
      </c>
      <c r="E266" s="65">
        <f>DADOS_AM!$FP$32</f>
        <v/>
      </c>
      <c r="F266" s="65">
        <f>DADOS_AM!$FM$32</f>
        <v/>
      </c>
      <c r="G266" s="120">
        <f>DADOS_AM!$FO$32</f>
        <v/>
      </c>
      <c r="H266" s="12" t="n"/>
      <c r="I266" s="115" t="n"/>
      <c r="J266" s="120" t="inlineStr">
        <is>
          <t>Projétil</t>
        </is>
      </c>
      <c r="K266" s="65">
        <f>DADOS_AM!$FP$33</f>
        <v/>
      </c>
      <c r="L266" s="65">
        <f>DADOS_AM!$FM$33</f>
        <v/>
      </c>
      <c r="M266" s="120">
        <f>DADOS_AM!$FO$33</f>
        <v/>
      </c>
      <c r="N266" s="12" t="n"/>
      <c r="O266" s="115" t="n"/>
      <c r="P266" s="120" t="inlineStr">
        <is>
          <t>Projétil</t>
        </is>
      </c>
      <c r="Q266" s="65">
        <f>DADOS_AM!$FP$34</f>
        <v/>
      </c>
      <c r="R266" s="65">
        <f>DADOS_AM!$FM$34</f>
        <v/>
      </c>
      <c r="S266" s="120">
        <f>DADOS_AM!$FO$34</f>
        <v/>
      </c>
      <c r="T266" s="12" t="n"/>
      <c r="U266" s="115" t="n"/>
    </row>
    <row r="267" hidden="1" outlineLevel="2">
      <c r="A267" s="8" t="n"/>
      <c r="B267" s="22" t="n"/>
      <c r="C267" s="115" t="n"/>
      <c r="D267" s="120">
        <f>DADOS_AM!$FN$32</f>
        <v/>
      </c>
      <c r="E267" s="126">
        <f>DADOS_AM!$FU$32</f>
        <v/>
      </c>
      <c r="F267" s="11" t="n"/>
      <c r="G267" s="11" t="n"/>
      <c r="H267" s="12" t="n"/>
      <c r="I267" s="115" t="n"/>
      <c r="J267" s="120">
        <f>DADOS_AM!$FN$33</f>
        <v/>
      </c>
      <c r="K267" s="126">
        <f>DADOS_AM!$FU$33</f>
        <v/>
      </c>
      <c r="L267" s="11" t="n"/>
      <c r="M267" s="11" t="n"/>
      <c r="N267" s="12" t="n"/>
      <c r="O267" s="115" t="n"/>
      <c r="P267" s="120">
        <f>DADOS_AM!$FN$34</f>
        <v/>
      </c>
      <c r="Q267" s="126">
        <f>DADOS_AM!$FU$34</f>
        <v/>
      </c>
      <c r="R267" s="11" t="n"/>
      <c r="S267" s="11" t="n"/>
      <c r="T267" s="12" t="n"/>
      <c r="U267" s="115" t="n"/>
    </row>
    <row r="268" hidden="1" outlineLevel="3">
      <c r="A268" s="8" t="n"/>
      <c r="B268" s="22" t="n"/>
      <c r="C268" s="115" t="n"/>
      <c r="D268" s="52" t="inlineStr">
        <is>
          <t>MELHORIAS</t>
        </is>
      </c>
      <c r="E268" s="127" t="n"/>
      <c r="F268" s="12" t="n"/>
      <c r="G268" s="126">
        <f>DADOS_AM!$FX$32</f>
        <v/>
      </c>
      <c r="H268" s="12" t="n"/>
      <c r="I268" s="115" t="n"/>
      <c r="J268" s="52" t="inlineStr">
        <is>
          <t>MELHORIAS</t>
        </is>
      </c>
      <c r="K268" s="127" t="n"/>
      <c r="L268" s="12" t="n"/>
      <c r="M268" s="126">
        <f>DADOS_AM!$FX$33</f>
        <v/>
      </c>
      <c r="N268" s="12" t="n"/>
      <c r="O268" s="115" t="n"/>
      <c r="P268" s="52" t="inlineStr">
        <is>
          <t>MELHORIAS</t>
        </is>
      </c>
      <c r="Q268" s="127" t="n"/>
      <c r="R268" s="12" t="n"/>
      <c r="S268" s="126">
        <f>DADOS_AM!$FX$34</f>
        <v/>
      </c>
      <c r="T268" s="12" t="n"/>
      <c r="U268" s="115" t="n"/>
    </row>
    <row r="269" hidden="1" outlineLevel="3">
      <c r="A269" s="8" t="n"/>
      <c r="B269" s="22" t="n"/>
      <c r="C269" s="115" t="n"/>
      <c r="D269" s="128" t="n"/>
      <c r="E269" s="127" t="n"/>
      <c r="F269" s="12" t="n"/>
      <c r="G269" s="126">
        <f>DADOS_AM!$FY$32</f>
        <v/>
      </c>
      <c r="H269" s="12" t="n"/>
      <c r="I269" s="115" t="n"/>
      <c r="J269" s="128" t="n"/>
      <c r="K269" s="127" t="n"/>
      <c r="L269" s="12" t="n"/>
      <c r="M269" s="126">
        <f>DADOS_AM!$FY$33</f>
        <v/>
      </c>
      <c r="N269" s="12" t="n"/>
      <c r="O269" s="115" t="n"/>
      <c r="P269" s="128" t="n"/>
      <c r="Q269" s="127" t="n"/>
      <c r="R269" s="12" t="n"/>
      <c r="S269" s="126">
        <f>DADOS_AM!$FY$34</f>
        <v/>
      </c>
      <c r="T269" s="12" t="n"/>
      <c r="U269" s="115" t="n"/>
    </row>
    <row r="270" hidden="1" outlineLevel="3">
      <c r="A270" s="8" t="n"/>
      <c r="B270" s="22" t="n"/>
      <c r="C270" s="115" t="n"/>
      <c r="D270" s="128" t="n"/>
      <c r="E270" s="127" t="n"/>
      <c r="F270" s="12" t="n"/>
      <c r="G270" s="126">
        <f>DADOS_AM!$FZ$32</f>
        <v/>
      </c>
      <c r="H270" s="12" t="n"/>
      <c r="I270" s="115" t="n"/>
      <c r="J270" s="128" t="n"/>
      <c r="K270" s="127" t="n"/>
      <c r="L270" s="12" t="n"/>
      <c r="M270" s="126">
        <f>DADOS_AM!$FZ$33</f>
        <v/>
      </c>
      <c r="N270" s="12" t="n"/>
      <c r="O270" s="115" t="n"/>
      <c r="P270" s="128" t="n"/>
      <c r="Q270" s="127" t="n"/>
      <c r="R270" s="12" t="n"/>
      <c r="S270" s="126">
        <f>DADOS_AM!$FZ$34</f>
        <v/>
      </c>
      <c r="T270" s="12" t="n"/>
      <c r="U270" s="115" t="n"/>
    </row>
    <row r="271" hidden="1" outlineLevel="3">
      <c r="A271" s="8" t="n"/>
      <c r="B271" s="22" t="n"/>
      <c r="C271" s="115" t="n"/>
      <c r="D271" s="121" t="n"/>
      <c r="E271" s="127" t="n"/>
      <c r="F271" s="12" t="n"/>
      <c r="G271" s="126">
        <f>DADOS_AM!$GA$32</f>
        <v/>
      </c>
      <c r="H271" s="12" t="n"/>
      <c r="I271" s="115" t="n"/>
      <c r="J271" s="121" t="n"/>
      <c r="K271" s="127" t="n"/>
      <c r="L271" s="12" t="n"/>
      <c r="M271" s="126">
        <f>DADOS_AM!$GA$33</f>
        <v/>
      </c>
      <c r="N271" s="12" t="n"/>
      <c r="O271" s="115" t="n"/>
      <c r="P271" s="121" t="n"/>
      <c r="Q271" s="127" t="n"/>
      <c r="R271" s="12" t="n"/>
      <c r="S271" s="126">
        <f>DADOS_AM!$GA$34</f>
        <v/>
      </c>
      <c r="T271" s="12" t="n"/>
      <c r="U271" s="115" t="n"/>
    </row>
    <row r="272" hidden="1" outlineLevel="3">
      <c r="A272" s="8" t="n"/>
      <c r="B272" s="22" t="n"/>
      <c r="C272" s="115" t="n"/>
      <c r="D272" s="52" t="inlineStr">
        <is>
          <t>RESTRIÇÕES</t>
        </is>
      </c>
      <c r="E272" s="127" t="n"/>
      <c r="F272" s="12" t="n"/>
      <c r="G272" s="126">
        <f>DADOS_AM!$GB$32</f>
        <v/>
      </c>
      <c r="H272" s="12" t="n"/>
      <c r="I272" s="115" t="n"/>
      <c r="J272" s="52" t="inlineStr">
        <is>
          <t>RESTRIÇÕES</t>
        </is>
      </c>
      <c r="K272" s="127" t="n"/>
      <c r="L272" s="12" t="n"/>
      <c r="M272" s="126">
        <f>DADOS_AM!$GB$33</f>
        <v/>
      </c>
      <c r="N272" s="12" t="n"/>
      <c r="O272" s="115" t="n"/>
      <c r="P272" s="52" t="inlineStr">
        <is>
          <t>RESTRIÇÕES</t>
        </is>
      </c>
      <c r="Q272" s="127" t="n"/>
      <c r="R272" s="12" t="n"/>
      <c r="S272" s="126">
        <f>DADOS_AM!$GB$34</f>
        <v/>
      </c>
      <c r="T272" s="12" t="n"/>
      <c r="U272" s="115" t="n"/>
    </row>
    <row r="273" hidden="1" outlineLevel="3">
      <c r="A273" s="8" t="n"/>
      <c r="B273" s="22" t="n"/>
      <c r="C273" s="115" t="n"/>
      <c r="D273" s="121" t="n"/>
      <c r="E273" s="127" t="n"/>
      <c r="F273" s="12" t="n"/>
      <c r="G273" s="126">
        <f>DADOS_AM!$GC$32</f>
        <v/>
      </c>
      <c r="H273" s="12" t="n"/>
      <c r="I273" s="115" t="n"/>
      <c r="J273" s="121" t="n"/>
      <c r="K273" s="127" t="n"/>
      <c r="L273" s="12" t="n"/>
      <c r="M273" s="126">
        <f>DADOS_AM!$GC$33</f>
        <v/>
      </c>
      <c r="N273" s="12" t="n"/>
      <c r="O273" s="115" t="n"/>
      <c r="P273" s="121" t="n"/>
      <c r="Q273" s="127" t="n"/>
      <c r="R273" s="12" t="n"/>
      <c r="S273" s="126">
        <f>DADOS_AM!$GC$34</f>
        <v/>
      </c>
      <c r="T273" s="12" t="n"/>
      <c r="U273" s="115" t="n"/>
    </row>
    <row r="274" hidden="1" outlineLevel="3">
      <c r="A274" s="8" t="n"/>
      <c r="B274" s="22" t="n"/>
      <c r="C274" s="115" t="n"/>
      <c r="D274" s="52" t="inlineStr">
        <is>
          <t>CONTA</t>
        </is>
      </c>
      <c r="E274" s="129">
        <f>DADOS_AM!$FV$32</f>
        <v/>
      </c>
      <c r="F274" s="11" t="n"/>
      <c r="G274" s="11" t="n"/>
      <c r="H274" s="12" t="n"/>
      <c r="I274" s="115" t="n"/>
      <c r="J274" s="52" t="inlineStr">
        <is>
          <t>CONTA</t>
        </is>
      </c>
      <c r="K274" s="129">
        <f>DADOS_AM!$FV$33</f>
        <v/>
      </c>
      <c r="L274" s="11" t="n"/>
      <c r="M274" s="11" t="n"/>
      <c r="N274" s="12" t="n"/>
      <c r="O274" s="115" t="n"/>
      <c r="P274" s="52" t="inlineStr">
        <is>
          <t>CONTA</t>
        </is>
      </c>
      <c r="Q274" s="129">
        <f>DADOS_AM!$FV$34</f>
        <v/>
      </c>
      <c r="R274" s="11" t="n"/>
      <c r="S274" s="11" t="n"/>
      <c r="T274" s="12" t="n"/>
      <c r="U274" s="115" t="n"/>
    </row>
    <row r="275" hidden="1" outlineLevel="3">
      <c r="A275" s="8" t="n"/>
      <c r="B275" s="22" t="n"/>
      <c r="C275" s="115" t="n"/>
      <c r="D275" s="52" t="inlineStr">
        <is>
          <t>AMPLIAR</t>
        </is>
      </c>
      <c r="E275" s="129">
        <f>DADOS_AM!$FW$32</f>
        <v/>
      </c>
      <c r="F275" s="14" t="n"/>
      <c r="G275" s="14" t="n"/>
      <c r="H275" s="15" t="n"/>
      <c r="I275" s="115" t="n"/>
      <c r="J275" s="52" t="inlineStr">
        <is>
          <t>AMPLIAR</t>
        </is>
      </c>
      <c r="K275" s="129">
        <f>DADOS_AM!$FW$33</f>
        <v/>
      </c>
      <c r="L275" s="14" t="n"/>
      <c r="M275" s="14" t="n"/>
      <c r="N275" s="15" t="n"/>
      <c r="O275" s="115" t="n"/>
      <c r="P275" s="52" t="inlineStr">
        <is>
          <t>AMPLIAR</t>
        </is>
      </c>
      <c r="Q275" s="129">
        <f>DADOS_AM!$FW$34</f>
        <v/>
      </c>
      <c r="R275" s="14" t="n"/>
      <c r="S275" s="14" t="n"/>
      <c r="T275" s="15" t="n"/>
      <c r="U275" s="115" t="n"/>
    </row>
    <row r="276" hidden="1" outlineLevel="3">
      <c r="A276" s="8" t="n"/>
      <c r="B276" s="22" t="n"/>
      <c r="C276" s="115" t="n"/>
      <c r="D276" s="121" t="n"/>
      <c r="E276" s="18" t="n"/>
      <c r="F276" s="19" t="n"/>
      <c r="G276" s="19" t="n"/>
      <c r="H276" s="20" t="n"/>
      <c r="I276" s="115" t="n"/>
      <c r="J276" s="121" t="n"/>
      <c r="K276" s="18" t="n"/>
      <c r="L276" s="19" t="n"/>
      <c r="M276" s="19" t="n"/>
      <c r="N276" s="20" t="n"/>
      <c r="O276" s="115" t="n"/>
      <c r="P276" s="121" t="n"/>
      <c r="Q276" s="18" t="n"/>
      <c r="R276" s="19" t="n"/>
      <c r="S276" s="19" t="n"/>
      <c r="T276" s="20" t="n"/>
      <c r="U276" s="115" t="n"/>
    </row>
    <row r="277" hidden="1" outlineLevel="3">
      <c r="A277" s="8" t="n"/>
      <c r="B277" s="22" t="n"/>
      <c r="C277" s="115" t="n"/>
      <c r="D277" s="52" t="inlineStr">
        <is>
          <t>AVISOS</t>
        </is>
      </c>
      <c r="E277" s="129">
        <f>DADOS_AM!$FL$32</f>
        <v/>
      </c>
      <c r="F277" s="14" t="n"/>
      <c r="G277" s="14" t="n"/>
      <c r="H277" s="15" t="n"/>
      <c r="I277" s="115" t="n"/>
      <c r="J277" s="52" t="inlineStr">
        <is>
          <t>AVISOS</t>
        </is>
      </c>
      <c r="K277" s="129">
        <f>DADOS_AM!$FL$33</f>
        <v/>
      </c>
      <c r="L277" s="14" t="n"/>
      <c r="M277" s="14" t="n"/>
      <c r="N277" s="15" t="n"/>
      <c r="O277" s="115" t="n"/>
      <c r="P277" s="52" t="inlineStr">
        <is>
          <t>AVISOS</t>
        </is>
      </c>
      <c r="Q277" s="129">
        <f>DADOS_AM!$FL$34</f>
        <v/>
      </c>
      <c r="R277" s="14" t="n"/>
      <c r="S277" s="14" t="n"/>
      <c r="T277" s="15" t="n"/>
      <c r="U277" s="115" t="n"/>
    </row>
    <row r="278" hidden="1" outlineLevel="3">
      <c r="A278" s="8" t="n"/>
      <c r="B278" s="22" t="n"/>
      <c r="C278" s="115" t="n"/>
      <c r="D278" s="121" t="n"/>
      <c r="E278" s="18" t="n"/>
      <c r="F278" s="19" t="n"/>
      <c r="G278" s="19" t="n"/>
      <c r="H278" s="20" t="n"/>
      <c r="I278" s="115" t="n"/>
      <c r="J278" s="121" t="n"/>
      <c r="K278" s="18" t="n"/>
      <c r="L278" s="19" t="n"/>
      <c r="M278" s="19" t="n"/>
      <c r="N278" s="20" t="n"/>
      <c r="O278" s="115" t="n"/>
      <c r="P278" s="121"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DADOS_AM!$FK$35</f>
        <v/>
      </c>
      <c r="H280" s="12" t="n"/>
      <c r="I280" s="115" t="n"/>
      <c r="J280" s="123" t="n">
        <v>1</v>
      </c>
      <c r="K280" s="124" t="n"/>
      <c r="L280" s="12" t="n"/>
      <c r="M280" s="125">
        <f>DADOS_AM!$FK$36</f>
        <v/>
      </c>
      <c r="N280" s="12" t="n"/>
      <c r="O280" s="115" t="n"/>
      <c r="P280" s="123" t="n">
        <v>1</v>
      </c>
      <c r="Q280" s="124" t="n"/>
      <c r="R280" s="12" t="n"/>
      <c r="S280" s="125">
        <f>DADOS_AM!$FK$37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19" t="n"/>
      <c r="E282" s="14" t="n"/>
      <c r="F282" s="14" t="n"/>
      <c r="G282" s="14" t="n"/>
      <c r="H282" s="15" t="n"/>
      <c r="I282" s="115" t="n"/>
      <c r="J282" s="119" t="n"/>
      <c r="K282" s="14" t="n"/>
      <c r="L282" s="14" t="n"/>
      <c r="M282" s="14" t="n"/>
      <c r="N282" s="15" t="n"/>
      <c r="O282" s="115" t="n"/>
      <c r="P282" s="119"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0" t="inlineStr">
        <is>
          <t>Projétil</t>
        </is>
      </c>
      <c r="E287" s="65">
        <f>DADOS_AM!$FP$35</f>
        <v/>
      </c>
      <c r="F287" s="65">
        <f>DADOS_AM!$FM$35</f>
        <v/>
      </c>
      <c r="G287" s="120">
        <f>DADOS_AM!$FO$35</f>
        <v/>
      </c>
      <c r="H287" s="12" t="n"/>
      <c r="I287" s="115" t="n"/>
      <c r="J287" s="120" t="inlineStr">
        <is>
          <t>Projétil</t>
        </is>
      </c>
      <c r="K287" s="65">
        <f>DADOS_AM!$FP$36</f>
        <v/>
      </c>
      <c r="L287" s="65">
        <f>DADOS_AM!$FM$36</f>
        <v/>
      </c>
      <c r="M287" s="120">
        <f>DADOS_AM!$FO$36</f>
        <v/>
      </c>
      <c r="N287" s="12" t="n"/>
      <c r="O287" s="115" t="n"/>
      <c r="P287" s="120" t="inlineStr">
        <is>
          <t>Projétil</t>
        </is>
      </c>
      <c r="Q287" s="65">
        <f>DADOS_AM!$FP$37</f>
        <v/>
      </c>
      <c r="R287" s="65">
        <f>DADOS_AM!$FM$37</f>
        <v/>
      </c>
      <c r="S287" s="120">
        <f>DADOS_AM!$FO$37</f>
        <v/>
      </c>
      <c r="T287" s="12" t="n"/>
      <c r="U287" s="115" t="n"/>
    </row>
    <row r="288" hidden="1" outlineLevel="2">
      <c r="A288" s="8" t="n"/>
      <c r="B288" s="22" t="n"/>
      <c r="C288" s="115" t="n"/>
      <c r="D288" s="120">
        <f>DADOS_AM!$FN$35</f>
        <v/>
      </c>
      <c r="E288" s="126">
        <f>DADOS_AM!$FU$35</f>
        <v/>
      </c>
      <c r="F288" s="11" t="n"/>
      <c r="G288" s="11" t="n"/>
      <c r="H288" s="12" t="n"/>
      <c r="I288" s="115" t="n"/>
      <c r="J288" s="120">
        <f>DADOS_AM!$FN$36</f>
        <v/>
      </c>
      <c r="K288" s="126">
        <f>DADOS_AM!$FU$36</f>
        <v/>
      </c>
      <c r="L288" s="11" t="n"/>
      <c r="M288" s="11" t="n"/>
      <c r="N288" s="12" t="n"/>
      <c r="O288" s="115" t="n"/>
      <c r="P288" s="120">
        <f>DADOS_AM!$FN$37</f>
        <v/>
      </c>
      <c r="Q288" s="126">
        <f>DADOS_AM!$FU$37</f>
        <v/>
      </c>
      <c r="R288" s="11" t="n"/>
      <c r="S288" s="11" t="n"/>
      <c r="T288" s="12" t="n"/>
      <c r="U288" s="115" t="n"/>
    </row>
    <row r="289" hidden="1" outlineLevel="3">
      <c r="A289" s="8" t="n"/>
      <c r="B289" s="22" t="n"/>
      <c r="C289" s="115" t="n"/>
      <c r="D289" s="52" t="inlineStr">
        <is>
          <t>MELHORIAS</t>
        </is>
      </c>
      <c r="E289" s="127" t="n"/>
      <c r="F289" s="12" t="n"/>
      <c r="G289" s="126">
        <f>DADOS_AM!$FX$35</f>
        <v/>
      </c>
      <c r="H289" s="12" t="n"/>
      <c r="I289" s="115" t="n"/>
      <c r="J289" s="52" t="inlineStr">
        <is>
          <t>MELHORIAS</t>
        </is>
      </c>
      <c r="K289" s="127" t="n"/>
      <c r="L289" s="12" t="n"/>
      <c r="M289" s="126">
        <f>DADOS_AM!$FX$36</f>
        <v/>
      </c>
      <c r="N289" s="12" t="n"/>
      <c r="O289" s="115" t="n"/>
      <c r="P289" s="52" t="inlineStr">
        <is>
          <t>MELHORIAS</t>
        </is>
      </c>
      <c r="Q289" s="127" t="n"/>
      <c r="R289" s="12" t="n"/>
      <c r="S289" s="126">
        <f>DADOS_AM!$FX$37</f>
        <v/>
      </c>
      <c r="T289" s="12" t="n"/>
      <c r="U289" s="115" t="n"/>
    </row>
    <row r="290" hidden="1" outlineLevel="3">
      <c r="A290" s="8" t="n"/>
      <c r="B290" s="22" t="n"/>
      <c r="C290" s="115" t="n"/>
      <c r="D290" s="128" t="n"/>
      <c r="E290" s="127" t="n"/>
      <c r="F290" s="12" t="n"/>
      <c r="G290" s="126">
        <f>DADOS_AM!$FY$35</f>
        <v/>
      </c>
      <c r="H290" s="12" t="n"/>
      <c r="I290" s="115" t="n"/>
      <c r="J290" s="128" t="n"/>
      <c r="K290" s="127" t="n"/>
      <c r="L290" s="12" t="n"/>
      <c r="M290" s="126">
        <f>DADOS_AM!$FY$36</f>
        <v/>
      </c>
      <c r="N290" s="12" t="n"/>
      <c r="O290" s="115" t="n"/>
      <c r="P290" s="128" t="n"/>
      <c r="Q290" s="127" t="n"/>
      <c r="R290" s="12" t="n"/>
      <c r="S290" s="126">
        <f>DADOS_AM!$FY$37</f>
        <v/>
      </c>
      <c r="T290" s="12" t="n"/>
      <c r="U290" s="115" t="n"/>
    </row>
    <row r="291" hidden="1" outlineLevel="3">
      <c r="A291" s="8" t="n"/>
      <c r="B291" s="22" t="n"/>
      <c r="C291" s="115" t="n"/>
      <c r="D291" s="128" t="n"/>
      <c r="E291" s="127" t="n"/>
      <c r="F291" s="12" t="n"/>
      <c r="G291" s="126">
        <f>DADOS_AM!$FZ$35</f>
        <v/>
      </c>
      <c r="H291" s="12" t="n"/>
      <c r="I291" s="115" t="n"/>
      <c r="J291" s="128" t="n"/>
      <c r="K291" s="127" t="n"/>
      <c r="L291" s="12" t="n"/>
      <c r="M291" s="126">
        <f>DADOS_AM!$FZ$36</f>
        <v/>
      </c>
      <c r="N291" s="12" t="n"/>
      <c r="O291" s="115" t="n"/>
      <c r="P291" s="128" t="n"/>
      <c r="Q291" s="127" t="n"/>
      <c r="R291" s="12" t="n"/>
      <c r="S291" s="126">
        <f>DADOS_AM!$FZ$37</f>
        <v/>
      </c>
      <c r="T291" s="12" t="n"/>
      <c r="U291" s="115" t="n"/>
    </row>
    <row r="292" hidden="1" outlineLevel="3">
      <c r="A292" s="8" t="n"/>
      <c r="B292" s="22" t="n"/>
      <c r="C292" s="115" t="n"/>
      <c r="D292" s="121" t="n"/>
      <c r="E292" s="127" t="n"/>
      <c r="F292" s="12" t="n"/>
      <c r="G292" s="126">
        <f>DADOS_AM!$GA$35</f>
        <v/>
      </c>
      <c r="H292" s="12" t="n"/>
      <c r="I292" s="115" t="n"/>
      <c r="J292" s="121" t="n"/>
      <c r="K292" s="127" t="n"/>
      <c r="L292" s="12" t="n"/>
      <c r="M292" s="126">
        <f>DADOS_AM!$GA$36</f>
        <v/>
      </c>
      <c r="N292" s="12" t="n"/>
      <c r="O292" s="115" t="n"/>
      <c r="P292" s="121" t="n"/>
      <c r="Q292" s="127" t="n"/>
      <c r="R292" s="12" t="n"/>
      <c r="S292" s="126">
        <f>DADOS_AM!$GA$37</f>
        <v/>
      </c>
      <c r="T292" s="12" t="n"/>
      <c r="U292" s="115" t="n"/>
    </row>
    <row r="293" hidden="1" outlineLevel="3">
      <c r="A293" s="8" t="n"/>
      <c r="B293" s="22" t="n"/>
      <c r="C293" s="115" t="n"/>
      <c r="D293" s="52" t="inlineStr">
        <is>
          <t>RESTRIÇÕES</t>
        </is>
      </c>
      <c r="E293" s="127" t="n"/>
      <c r="F293" s="12" t="n"/>
      <c r="G293" s="126">
        <f>DADOS_AM!$GB$35</f>
        <v/>
      </c>
      <c r="H293" s="12" t="n"/>
      <c r="I293" s="115" t="n"/>
      <c r="J293" s="52" t="inlineStr">
        <is>
          <t>RESTRIÇÕES</t>
        </is>
      </c>
      <c r="K293" s="127" t="n"/>
      <c r="L293" s="12" t="n"/>
      <c r="M293" s="126">
        <f>DADOS_AM!$GB$36</f>
        <v/>
      </c>
      <c r="N293" s="12" t="n"/>
      <c r="O293" s="115" t="n"/>
      <c r="P293" s="52" t="inlineStr">
        <is>
          <t>RESTRIÇÕES</t>
        </is>
      </c>
      <c r="Q293" s="127" t="n"/>
      <c r="R293" s="12" t="n"/>
      <c r="S293" s="126">
        <f>DADOS_AM!$GB$37</f>
        <v/>
      </c>
      <c r="T293" s="12" t="n"/>
      <c r="U293" s="115" t="n"/>
    </row>
    <row r="294" hidden="1" outlineLevel="3">
      <c r="A294" s="8" t="n"/>
      <c r="B294" s="22" t="n"/>
      <c r="C294" s="115" t="n"/>
      <c r="D294" s="121" t="n"/>
      <c r="E294" s="127" t="n"/>
      <c r="F294" s="12" t="n"/>
      <c r="G294" s="126">
        <f>DADOS_AM!$GC$35</f>
        <v/>
      </c>
      <c r="H294" s="12" t="n"/>
      <c r="I294" s="115" t="n"/>
      <c r="J294" s="121" t="n"/>
      <c r="K294" s="127" t="n"/>
      <c r="L294" s="12" t="n"/>
      <c r="M294" s="126">
        <f>DADOS_AM!$GC$36</f>
        <v/>
      </c>
      <c r="N294" s="12" t="n"/>
      <c r="O294" s="115" t="n"/>
      <c r="P294" s="121" t="n"/>
      <c r="Q294" s="127" t="n"/>
      <c r="R294" s="12" t="n"/>
      <c r="S294" s="126">
        <f>DADOS_AM!$GC$37</f>
        <v/>
      </c>
      <c r="T294" s="12" t="n"/>
      <c r="U294" s="115" t="n"/>
    </row>
    <row r="295" hidden="1" outlineLevel="3">
      <c r="A295" s="8" t="n"/>
      <c r="B295" s="22" t="n"/>
      <c r="C295" s="115" t="n"/>
      <c r="D295" s="52" t="inlineStr">
        <is>
          <t>CONTA</t>
        </is>
      </c>
      <c r="E295" s="129">
        <f>DADOS_AM!$FV$35</f>
        <v/>
      </c>
      <c r="F295" s="11" t="n"/>
      <c r="G295" s="11" t="n"/>
      <c r="H295" s="12" t="n"/>
      <c r="I295" s="115" t="n"/>
      <c r="J295" s="52" t="inlineStr">
        <is>
          <t>CONTA</t>
        </is>
      </c>
      <c r="K295" s="129">
        <f>DADOS_AM!$FV$36</f>
        <v/>
      </c>
      <c r="L295" s="11" t="n"/>
      <c r="M295" s="11" t="n"/>
      <c r="N295" s="12" t="n"/>
      <c r="O295" s="115" t="n"/>
      <c r="P295" s="52" t="inlineStr">
        <is>
          <t>CONTA</t>
        </is>
      </c>
      <c r="Q295" s="129">
        <f>DADOS_AM!$FV$37</f>
        <v/>
      </c>
      <c r="R295" s="11" t="n"/>
      <c r="S295" s="11" t="n"/>
      <c r="T295" s="12" t="n"/>
      <c r="U295" s="115" t="n"/>
    </row>
    <row r="296" hidden="1" outlineLevel="3">
      <c r="A296" s="8" t="n"/>
      <c r="B296" s="22" t="n"/>
      <c r="C296" s="115" t="n"/>
      <c r="D296" s="52" t="inlineStr">
        <is>
          <t>AMPLIAR</t>
        </is>
      </c>
      <c r="E296" s="129">
        <f>DADOS_AM!$FW$35</f>
        <v/>
      </c>
      <c r="F296" s="14" t="n"/>
      <c r="G296" s="14" t="n"/>
      <c r="H296" s="15" t="n"/>
      <c r="I296" s="115" t="n"/>
      <c r="J296" s="52" t="inlineStr">
        <is>
          <t>AMPLIAR</t>
        </is>
      </c>
      <c r="K296" s="129">
        <f>DADOS_AM!$FW$36</f>
        <v/>
      </c>
      <c r="L296" s="14" t="n"/>
      <c r="M296" s="14" t="n"/>
      <c r="N296" s="15" t="n"/>
      <c r="O296" s="115" t="n"/>
      <c r="P296" s="52" t="inlineStr">
        <is>
          <t>AMPLIAR</t>
        </is>
      </c>
      <c r="Q296" s="129">
        <f>DADOS_AM!$FW$37</f>
        <v/>
      </c>
      <c r="R296" s="14" t="n"/>
      <c r="S296" s="14" t="n"/>
      <c r="T296" s="15" t="n"/>
      <c r="U296" s="115" t="n"/>
    </row>
    <row r="297" hidden="1" outlineLevel="3">
      <c r="A297" s="8" t="n"/>
      <c r="B297" s="22" t="n"/>
      <c r="C297" s="115" t="n"/>
      <c r="D297" s="121" t="n"/>
      <c r="E297" s="18" t="n"/>
      <c r="F297" s="19" t="n"/>
      <c r="G297" s="19" t="n"/>
      <c r="H297" s="20" t="n"/>
      <c r="I297" s="115" t="n"/>
      <c r="J297" s="121" t="n"/>
      <c r="K297" s="18" t="n"/>
      <c r="L297" s="19" t="n"/>
      <c r="M297" s="19" t="n"/>
      <c r="N297" s="20" t="n"/>
      <c r="O297" s="115" t="n"/>
      <c r="P297" s="121" t="n"/>
      <c r="Q297" s="18" t="n"/>
      <c r="R297" s="19" t="n"/>
      <c r="S297" s="19" t="n"/>
      <c r="T297" s="20" t="n"/>
      <c r="U297" s="115" t="n"/>
    </row>
    <row r="298" hidden="1" outlineLevel="3">
      <c r="A298" s="8" t="n"/>
      <c r="B298" s="22" t="n"/>
      <c r="C298" s="115" t="n"/>
      <c r="D298" s="52" t="inlineStr">
        <is>
          <t>AVISOS</t>
        </is>
      </c>
      <c r="E298" s="129">
        <f>DADOS_AM!$FL$35</f>
        <v/>
      </c>
      <c r="F298" s="14" t="n"/>
      <c r="G298" s="14" t="n"/>
      <c r="H298" s="15" t="n"/>
      <c r="I298" s="115" t="n"/>
      <c r="J298" s="52" t="inlineStr">
        <is>
          <t>AVISOS</t>
        </is>
      </c>
      <c r="K298" s="129">
        <f>DADOS_AM!$FL$36</f>
        <v/>
      </c>
      <c r="L298" s="14" t="n"/>
      <c r="M298" s="14" t="n"/>
      <c r="N298" s="15" t="n"/>
      <c r="O298" s="115" t="n"/>
      <c r="P298" s="52" t="inlineStr">
        <is>
          <t>AVISOS</t>
        </is>
      </c>
      <c r="Q298" s="129">
        <f>DADOS_AM!$FL$37</f>
        <v/>
      </c>
      <c r="R298" s="14" t="n"/>
      <c r="S298" s="14" t="n"/>
      <c r="T298" s="15" t="n"/>
      <c r="U298" s="115" t="n"/>
    </row>
    <row r="299" hidden="1" outlineLevel="3">
      <c r="A299" s="8" t="n"/>
      <c r="B299" s="22" t="n"/>
      <c r="C299" s="115" t="n"/>
      <c r="D299" s="121" t="n"/>
      <c r="E299" s="18" t="n"/>
      <c r="F299" s="19" t="n"/>
      <c r="G299" s="19" t="n"/>
      <c r="H299" s="20" t="n"/>
      <c r="I299" s="115" t="n"/>
      <c r="J299" s="121" t="n"/>
      <c r="K299" s="18" t="n"/>
      <c r="L299" s="19" t="n"/>
      <c r="M299" s="19" t="n"/>
      <c r="N299" s="20" t="n"/>
      <c r="O299" s="115" t="n"/>
      <c r="P299" s="121"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4" t="n"/>
      <c r="I301" s="14" t="n"/>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19" t="n"/>
      <c r="I302" s="19"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0" t="inlineStr">
        <is>
          <t>Projétil</t>
        </is>
      </c>
      <c r="G304" s="11" t="n"/>
      <c r="H304" s="12" t="n"/>
      <c r="I304" s="115" t="n"/>
      <c r="J304" s="127" t="n"/>
      <c r="K304" s="12" t="n"/>
      <c r="L304" s="127" t="n"/>
      <c r="M304" s="11" t="n"/>
      <c r="N304" s="12" t="n"/>
      <c r="O304" s="115" t="n"/>
      <c r="P304" s="65">
        <f>DADOS_AM!$HC$2</f>
        <v/>
      </c>
      <c r="Q304" s="12" t="n"/>
      <c r="R304" s="126">
        <f>DADOS_AM!$HD$2</f>
        <v/>
      </c>
      <c r="S304" s="11" t="n"/>
      <c r="T304" s="12" t="n"/>
      <c r="U304" s="115" t="n"/>
    </row>
    <row r="305" outlineLevel="1">
      <c r="A305" s="8" t="n"/>
      <c r="B305" s="22" t="n"/>
      <c r="C305" s="115" t="n"/>
      <c r="D305" s="127" t="n"/>
      <c r="E305" s="12" t="n"/>
      <c r="F305" s="120" t="inlineStr">
        <is>
          <t>Projétil</t>
        </is>
      </c>
      <c r="G305" s="11" t="n"/>
      <c r="H305" s="12" t="n"/>
      <c r="I305" s="115" t="n"/>
      <c r="J305" s="127" t="n"/>
      <c r="K305" s="12" t="n"/>
      <c r="L305" s="127" t="n"/>
      <c r="M305" s="11" t="n"/>
      <c r="N305" s="12" t="n"/>
      <c r="O305" s="115" t="n"/>
      <c r="P305" s="65">
        <f>DADOS_AM!$HC$3</f>
        <v/>
      </c>
      <c r="Q305" s="12" t="n"/>
      <c r="R305" s="126">
        <f>DADOS_AM!$HD$3</f>
        <v/>
      </c>
      <c r="S305" s="11" t="n"/>
      <c r="T305" s="12" t="n"/>
      <c r="U305" s="115" t="n"/>
    </row>
    <row r="306" outlineLevel="1">
      <c r="A306" s="8" t="n"/>
      <c r="B306" s="22" t="n"/>
      <c r="C306" s="115" t="n"/>
      <c r="D306" s="127" t="n"/>
      <c r="E306" s="12" t="n"/>
      <c r="F306" s="120" t="inlineStr">
        <is>
          <t>Projétil</t>
        </is>
      </c>
      <c r="G306" s="11" t="n"/>
      <c r="H306" s="12" t="n"/>
      <c r="I306" s="115" t="n"/>
      <c r="J306" s="127" t="n"/>
      <c r="K306" s="12" t="n"/>
      <c r="L306" s="127" t="n"/>
      <c r="M306" s="11" t="n"/>
      <c r="N306" s="12" t="n"/>
      <c r="O306" s="115" t="n"/>
      <c r="P306" s="65">
        <f>DADOS_AM!$HC$4</f>
        <v/>
      </c>
      <c r="Q306" s="12" t="n"/>
      <c r="R306" s="126">
        <f>DADOS_AM!$HD$4</f>
        <v/>
      </c>
      <c r="S306" s="11" t="n"/>
      <c r="T306" s="12" t="n"/>
      <c r="U306" s="115" t="n"/>
    </row>
    <row r="307" outlineLevel="1">
      <c r="A307" s="8" t="n"/>
      <c r="B307" s="22" t="n"/>
      <c r="C307" s="115" t="n"/>
      <c r="D307" s="127" t="n"/>
      <c r="E307" s="12" t="n"/>
      <c r="F307" s="120" t="inlineStr">
        <is>
          <t>Projétil</t>
        </is>
      </c>
      <c r="G307" s="11" t="n"/>
      <c r="H307" s="12" t="n"/>
      <c r="I307" s="115" t="n"/>
      <c r="J307" s="127" t="n"/>
      <c r="K307" s="12" t="n"/>
      <c r="L307" s="127" t="n"/>
      <c r="M307" s="11" t="n"/>
      <c r="N307" s="12" t="n"/>
      <c r="O307" s="115" t="n"/>
      <c r="P307" s="65">
        <f>DADOS_AM!$HC$5</f>
        <v/>
      </c>
      <c r="Q307" s="12" t="n"/>
      <c r="R307" s="126">
        <f>DADOS_AM!$HD$5</f>
        <v/>
      </c>
      <c r="S307" s="11" t="n"/>
      <c r="T307" s="12" t="n"/>
      <c r="U307" s="115" t="n"/>
    </row>
    <row r="308" outlineLevel="1">
      <c r="A308" s="8" t="n"/>
      <c r="B308" s="22" t="n"/>
      <c r="C308" s="115" t="n"/>
      <c r="D308" s="127" t="n"/>
      <c r="E308" s="12" t="n"/>
      <c r="F308" s="120" t="inlineStr">
        <is>
          <t>Projétil</t>
        </is>
      </c>
      <c r="G308" s="11" t="n"/>
      <c r="H308" s="12" t="n"/>
      <c r="I308" s="115" t="n"/>
      <c r="J308" s="127" t="n"/>
      <c r="K308" s="12" t="n"/>
      <c r="L308" s="127" t="n"/>
      <c r="M308" s="11" t="n"/>
      <c r="N308" s="12" t="n"/>
      <c r="O308" s="115" t="n"/>
      <c r="P308" s="65">
        <f>DADOS_AM!$HC$6</f>
        <v/>
      </c>
      <c r="Q308" s="12" t="n"/>
      <c r="R308" s="126">
        <f>DADOS_AM!$HD$6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4" t="n"/>
      <c r="I310" s="14" t="n"/>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19" t="n"/>
      <c r="I311" s="19"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DADOS_AM!$FK$38</f>
        <v/>
      </c>
      <c r="H313" s="12" t="n"/>
      <c r="I313" s="115" t="n"/>
      <c r="J313" s="123" t="n">
        <v>3</v>
      </c>
      <c r="K313" s="124" t="n"/>
      <c r="L313" s="12" t="n"/>
      <c r="M313" s="125">
        <f>DADOS_AM!$FK$39</f>
        <v/>
      </c>
      <c r="N313" s="12" t="n"/>
      <c r="O313" s="115" t="n"/>
      <c r="P313" s="123" t="n">
        <v>3</v>
      </c>
      <c r="Q313" s="124" t="n"/>
      <c r="R313" s="12" t="n"/>
      <c r="S313" s="125">
        <f>DADOS_AM!$FK$40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19" t="n"/>
      <c r="E315" s="14" t="n"/>
      <c r="F315" s="14" t="n"/>
      <c r="G315" s="14" t="n"/>
      <c r="H315" s="15" t="n"/>
      <c r="I315" s="115" t="n"/>
      <c r="J315" s="119" t="n"/>
      <c r="K315" s="14" t="n"/>
      <c r="L315" s="14" t="n"/>
      <c r="M315" s="14" t="n"/>
      <c r="N315" s="15" t="n"/>
      <c r="O315" s="115" t="n"/>
      <c r="P315" s="119"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0" t="inlineStr">
        <is>
          <t>Projétil</t>
        </is>
      </c>
      <c r="E320" s="65">
        <f>DADOS_AM!$FP$38</f>
        <v/>
      </c>
      <c r="F320" s="65">
        <f>DADOS_AM!$FM$38</f>
        <v/>
      </c>
      <c r="G320" s="120">
        <f>DADOS_AM!$FO$38</f>
        <v/>
      </c>
      <c r="H320" s="12" t="n"/>
      <c r="I320" s="115" t="n"/>
      <c r="J320" s="120" t="inlineStr">
        <is>
          <t>Projétil</t>
        </is>
      </c>
      <c r="K320" s="65">
        <f>DADOS_AM!$FP$39</f>
        <v/>
      </c>
      <c r="L320" s="65">
        <f>DADOS_AM!$FM$39</f>
        <v/>
      </c>
      <c r="M320" s="120">
        <f>DADOS_AM!$FO$39</f>
        <v/>
      </c>
      <c r="N320" s="12" t="n"/>
      <c r="O320" s="115" t="n"/>
      <c r="P320" s="120" t="inlineStr">
        <is>
          <t>Projétil</t>
        </is>
      </c>
      <c r="Q320" s="65">
        <f>DADOS_AM!$FP$40</f>
        <v/>
      </c>
      <c r="R320" s="65">
        <f>DADOS_AM!$FM$40</f>
        <v/>
      </c>
      <c r="S320" s="120">
        <f>DADOS_AM!$FO$40</f>
        <v/>
      </c>
      <c r="T320" s="12" t="n"/>
      <c r="U320" s="115" t="n"/>
    </row>
    <row r="321" hidden="1" outlineLevel="1">
      <c r="A321" s="8" t="n"/>
      <c r="B321" s="22" t="n"/>
      <c r="C321" s="115" t="n"/>
      <c r="D321" s="120">
        <f>DADOS_AM!$FN$38</f>
        <v/>
      </c>
      <c r="E321" s="126">
        <f>DADOS_AM!$FU$38</f>
        <v/>
      </c>
      <c r="F321" s="11" t="n"/>
      <c r="G321" s="11" t="n"/>
      <c r="H321" s="12" t="n"/>
      <c r="I321" s="115" t="n"/>
      <c r="J321" s="120">
        <f>DADOS_AM!$FN$39</f>
        <v/>
      </c>
      <c r="K321" s="126">
        <f>DADOS_AM!$FU$39</f>
        <v/>
      </c>
      <c r="L321" s="11" t="n"/>
      <c r="M321" s="11" t="n"/>
      <c r="N321" s="12" t="n"/>
      <c r="O321" s="115" t="n"/>
      <c r="P321" s="120">
        <f>DADOS_AM!$FN$40</f>
        <v/>
      </c>
      <c r="Q321" s="126">
        <f>DADOS_AM!$FU$40</f>
        <v/>
      </c>
      <c r="R321" s="11" t="n"/>
      <c r="S321" s="11" t="n"/>
      <c r="T321" s="12" t="n"/>
      <c r="U321" s="115" t="n"/>
    </row>
    <row r="322" hidden="1" outlineLevel="2">
      <c r="A322" s="8" t="n"/>
      <c r="B322" s="22" t="n"/>
      <c r="C322" s="115" t="n"/>
      <c r="D322" s="52" t="inlineStr">
        <is>
          <t>MELHORIAS</t>
        </is>
      </c>
      <c r="E322" s="127" t="n"/>
      <c r="F322" s="12" t="n"/>
      <c r="G322" s="126">
        <f>DADOS_AM!$FX$38</f>
        <v/>
      </c>
      <c r="H322" s="12" t="n"/>
      <c r="I322" s="115" t="n"/>
      <c r="J322" s="52" t="inlineStr">
        <is>
          <t>MELHORIAS</t>
        </is>
      </c>
      <c r="K322" s="127" t="n"/>
      <c r="L322" s="12" t="n"/>
      <c r="M322" s="126">
        <f>DADOS_AM!$FX$39</f>
        <v/>
      </c>
      <c r="N322" s="12" t="n"/>
      <c r="O322" s="115" t="n"/>
      <c r="P322" s="52" t="inlineStr">
        <is>
          <t>MELHORIAS</t>
        </is>
      </c>
      <c r="Q322" s="127" t="n"/>
      <c r="R322" s="12" t="n"/>
      <c r="S322" s="126">
        <f>DADOS_AM!$FX$40</f>
        <v/>
      </c>
      <c r="T322" s="12" t="n"/>
      <c r="U322" s="115" t="n"/>
    </row>
    <row r="323" hidden="1" outlineLevel="2">
      <c r="A323" s="8" t="n"/>
      <c r="B323" s="22" t="n"/>
      <c r="C323" s="115" t="n"/>
      <c r="D323" s="128" t="n"/>
      <c r="E323" s="127" t="n"/>
      <c r="F323" s="12" t="n"/>
      <c r="G323" s="126">
        <f>DADOS_AM!$FY$38</f>
        <v/>
      </c>
      <c r="H323" s="12" t="n"/>
      <c r="I323" s="115" t="n"/>
      <c r="J323" s="128" t="n"/>
      <c r="K323" s="127" t="n"/>
      <c r="L323" s="12" t="n"/>
      <c r="M323" s="126">
        <f>DADOS_AM!$FY$39</f>
        <v/>
      </c>
      <c r="N323" s="12" t="n"/>
      <c r="O323" s="115" t="n"/>
      <c r="P323" s="128" t="n"/>
      <c r="Q323" s="127" t="n"/>
      <c r="R323" s="12" t="n"/>
      <c r="S323" s="126">
        <f>DADOS_AM!$FY$40</f>
        <v/>
      </c>
      <c r="T323" s="12" t="n"/>
      <c r="U323" s="115" t="n"/>
    </row>
    <row r="324" hidden="1" outlineLevel="2">
      <c r="A324" s="8" t="n"/>
      <c r="B324" s="22" t="n"/>
      <c r="C324" s="115" t="n"/>
      <c r="D324" s="128" t="n"/>
      <c r="E324" s="127" t="n"/>
      <c r="F324" s="12" t="n"/>
      <c r="G324" s="126">
        <f>DADOS_AM!$FZ$38</f>
        <v/>
      </c>
      <c r="H324" s="12" t="n"/>
      <c r="I324" s="115" t="n"/>
      <c r="J324" s="128" t="n"/>
      <c r="K324" s="127" t="n"/>
      <c r="L324" s="12" t="n"/>
      <c r="M324" s="126">
        <f>DADOS_AM!$FZ$39</f>
        <v/>
      </c>
      <c r="N324" s="12" t="n"/>
      <c r="O324" s="115" t="n"/>
      <c r="P324" s="128" t="n"/>
      <c r="Q324" s="127" t="n"/>
      <c r="R324" s="12" t="n"/>
      <c r="S324" s="126">
        <f>DADOS_AM!$FZ$40</f>
        <v/>
      </c>
      <c r="T324" s="12" t="n"/>
      <c r="U324" s="115" t="n"/>
    </row>
    <row r="325" hidden="1" outlineLevel="2">
      <c r="A325" s="8" t="n"/>
      <c r="B325" s="22" t="n"/>
      <c r="C325" s="115" t="n"/>
      <c r="D325" s="121" t="n"/>
      <c r="E325" s="127" t="n"/>
      <c r="F325" s="12" t="n"/>
      <c r="G325" s="126">
        <f>DADOS_AM!$GA$38</f>
        <v/>
      </c>
      <c r="H325" s="12" t="n"/>
      <c r="I325" s="115" t="n"/>
      <c r="J325" s="121" t="n"/>
      <c r="K325" s="127" t="n"/>
      <c r="L325" s="12" t="n"/>
      <c r="M325" s="126">
        <f>DADOS_AM!$GA$39</f>
        <v/>
      </c>
      <c r="N325" s="12" t="n"/>
      <c r="O325" s="115" t="n"/>
      <c r="P325" s="121" t="n"/>
      <c r="Q325" s="127" t="n"/>
      <c r="R325" s="12" t="n"/>
      <c r="S325" s="126">
        <f>DADOS_AM!$GA$40</f>
        <v/>
      </c>
      <c r="T325" s="12" t="n"/>
      <c r="U325" s="115" t="n"/>
    </row>
    <row r="326" hidden="1" outlineLevel="2">
      <c r="A326" s="8" t="n"/>
      <c r="B326" s="22" t="n"/>
      <c r="C326" s="115" t="n"/>
      <c r="D326" s="52" t="inlineStr">
        <is>
          <t>RESTRIÇÕES</t>
        </is>
      </c>
      <c r="E326" s="127" t="n"/>
      <c r="F326" s="12" t="n"/>
      <c r="G326" s="126">
        <f>DADOS_AM!$GB$38</f>
        <v/>
      </c>
      <c r="H326" s="12" t="n"/>
      <c r="I326" s="115" t="n"/>
      <c r="J326" s="52" t="inlineStr">
        <is>
          <t>RESTRIÇÕES</t>
        </is>
      </c>
      <c r="K326" s="127" t="n"/>
      <c r="L326" s="12" t="n"/>
      <c r="M326" s="126">
        <f>DADOS_AM!$GB$39</f>
        <v/>
      </c>
      <c r="N326" s="12" t="n"/>
      <c r="O326" s="115" t="n"/>
      <c r="P326" s="52" t="inlineStr">
        <is>
          <t>RESTRIÇÕES</t>
        </is>
      </c>
      <c r="Q326" s="127" t="n"/>
      <c r="R326" s="12" t="n"/>
      <c r="S326" s="126">
        <f>DADOS_AM!$GB$40</f>
        <v/>
      </c>
      <c r="T326" s="12" t="n"/>
      <c r="U326" s="115" t="n"/>
    </row>
    <row r="327" hidden="1" outlineLevel="2">
      <c r="A327" s="8" t="n"/>
      <c r="B327" s="22" t="n"/>
      <c r="C327" s="115" t="n"/>
      <c r="D327" s="121" t="n"/>
      <c r="E327" s="127" t="n"/>
      <c r="F327" s="12" t="n"/>
      <c r="G327" s="126">
        <f>DADOS_AM!$GC$38</f>
        <v/>
      </c>
      <c r="H327" s="12" t="n"/>
      <c r="I327" s="115" t="n"/>
      <c r="J327" s="121" t="n"/>
      <c r="K327" s="127" t="n"/>
      <c r="L327" s="12" t="n"/>
      <c r="M327" s="126">
        <f>DADOS_AM!$GC$39</f>
        <v/>
      </c>
      <c r="N327" s="12" t="n"/>
      <c r="O327" s="115" t="n"/>
      <c r="P327" s="121" t="n"/>
      <c r="Q327" s="127" t="n"/>
      <c r="R327" s="12" t="n"/>
      <c r="S327" s="126">
        <f>DADOS_AM!$GC$40</f>
        <v/>
      </c>
      <c r="T327" s="12" t="n"/>
      <c r="U327" s="115" t="n"/>
    </row>
    <row r="328" hidden="1" outlineLevel="2">
      <c r="A328" s="8" t="n"/>
      <c r="B328" s="22" t="n"/>
      <c r="C328" s="115" t="n"/>
      <c r="D328" s="52" t="inlineStr">
        <is>
          <t>CONTA</t>
        </is>
      </c>
      <c r="E328" s="129">
        <f>DADOS_AM!$FV$38</f>
        <v/>
      </c>
      <c r="F328" s="11" t="n"/>
      <c r="G328" s="11" t="n"/>
      <c r="H328" s="12" t="n"/>
      <c r="I328" s="115" t="n"/>
      <c r="J328" s="52" t="inlineStr">
        <is>
          <t>CONTA</t>
        </is>
      </c>
      <c r="K328" s="129">
        <f>DADOS_AM!$FV$39</f>
        <v/>
      </c>
      <c r="L328" s="11" t="n"/>
      <c r="M328" s="11" t="n"/>
      <c r="N328" s="12" t="n"/>
      <c r="O328" s="115" t="n"/>
      <c r="P328" s="52" t="inlineStr">
        <is>
          <t>CONTA</t>
        </is>
      </c>
      <c r="Q328" s="129">
        <f>DADOS_AM!$FV$40</f>
        <v/>
      </c>
      <c r="R328" s="11" t="n"/>
      <c r="S328" s="11" t="n"/>
      <c r="T328" s="12" t="n"/>
      <c r="U328" s="115" t="n"/>
    </row>
    <row r="329" hidden="1" outlineLevel="2">
      <c r="A329" s="8" t="n"/>
      <c r="B329" s="22" t="n"/>
      <c r="C329" s="115" t="n"/>
      <c r="D329" s="52" t="inlineStr">
        <is>
          <t>AMPLIAR</t>
        </is>
      </c>
      <c r="E329" s="129">
        <f>DADOS_AM!$FW$38</f>
        <v/>
      </c>
      <c r="F329" s="14" t="n"/>
      <c r="G329" s="14" t="n"/>
      <c r="H329" s="15" t="n"/>
      <c r="I329" s="115" t="n"/>
      <c r="J329" s="52" t="inlineStr">
        <is>
          <t>AMPLIAR</t>
        </is>
      </c>
      <c r="K329" s="129">
        <f>DADOS_AM!$FW$39</f>
        <v/>
      </c>
      <c r="L329" s="14" t="n"/>
      <c r="M329" s="14" t="n"/>
      <c r="N329" s="15" t="n"/>
      <c r="O329" s="115" t="n"/>
      <c r="P329" s="52" t="inlineStr">
        <is>
          <t>AMPLIAR</t>
        </is>
      </c>
      <c r="Q329" s="129">
        <f>DADOS_AM!$FW$40</f>
        <v/>
      </c>
      <c r="R329" s="14" t="n"/>
      <c r="S329" s="14" t="n"/>
      <c r="T329" s="15" t="n"/>
      <c r="U329" s="115" t="n"/>
    </row>
    <row r="330" hidden="1" outlineLevel="2">
      <c r="A330" s="8" t="n"/>
      <c r="B330" s="22" t="n"/>
      <c r="C330" s="115" t="n"/>
      <c r="D330" s="121" t="n"/>
      <c r="E330" s="18" t="n"/>
      <c r="F330" s="19" t="n"/>
      <c r="G330" s="19" t="n"/>
      <c r="H330" s="20" t="n"/>
      <c r="I330" s="115" t="n"/>
      <c r="J330" s="121" t="n"/>
      <c r="K330" s="18" t="n"/>
      <c r="L330" s="19" t="n"/>
      <c r="M330" s="19" t="n"/>
      <c r="N330" s="20" t="n"/>
      <c r="O330" s="115" t="n"/>
      <c r="P330" s="121" t="n"/>
      <c r="Q330" s="18" t="n"/>
      <c r="R330" s="19" t="n"/>
      <c r="S330" s="19" t="n"/>
      <c r="T330" s="20" t="n"/>
      <c r="U330" s="115" t="n"/>
    </row>
    <row r="331" hidden="1" outlineLevel="2">
      <c r="A331" s="8" t="n"/>
      <c r="B331" s="22" t="n"/>
      <c r="C331" s="115" t="n"/>
      <c r="D331" s="52" t="inlineStr">
        <is>
          <t>AVISOS</t>
        </is>
      </c>
      <c r="E331" s="129">
        <f>DADOS_AM!$FL$38</f>
        <v/>
      </c>
      <c r="F331" s="14" t="n"/>
      <c r="G331" s="14" t="n"/>
      <c r="H331" s="15" t="n"/>
      <c r="I331" s="115" t="n"/>
      <c r="J331" s="52" t="inlineStr">
        <is>
          <t>AVISOS</t>
        </is>
      </c>
      <c r="K331" s="129">
        <f>DADOS_AM!$FL$39</f>
        <v/>
      </c>
      <c r="L331" s="14" t="n"/>
      <c r="M331" s="14" t="n"/>
      <c r="N331" s="15" t="n"/>
      <c r="O331" s="115" t="n"/>
      <c r="P331" s="52" t="inlineStr">
        <is>
          <t>AVISOS</t>
        </is>
      </c>
      <c r="Q331" s="129">
        <f>DADOS_AM!$FL$40</f>
        <v/>
      </c>
      <c r="R331" s="14" t="n"/>
      <c r="S331" s="14" t="n"/>
      <c r="T331" s="15" t="n"/>
      <c r="U331" s="115" t="n"/>
    </row>
    <row r="332" hidden="1" outlineLevel="2">
      <c r="A332" s="8" t="n"/>
      <c r="B332" s="22" t="n"/>
      <c r="C332" s="115" t="n"/>
      <c r="D332" s="121" t="n"/>
      <c r="E332" s="18" t="n"/>
      <c r="F332" s="19" t="n"/>
      <c r="G332" s="19" t="n"/>
      <c r="H332" s="20" t="n"/>
      <c r="I332" s="115" t="n"/>
      <c r="J332" s="121" t="n"/>
      <c r="K332" s="18" t="n"/>
      <c r="L332" s="19" t="n"/>
      <c r="M332" s="19" t="n"/>
      <c r="N332" s="20" t="n"/>
      <c r="O332" s="115" t="n"/>
      <c r="P332" s="121"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4" t="n"/>
      <c r="I334" s="14" t="n"/>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19" t="n"/>
      <c r="I335" s="19"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0" t="inlineStr">
        <is>
          <t>Projétil</t>
        </is>
      </c>
      <c r="K337" s="15" t="n"/>
      <c r="L337" s="89">
        <f>DADOS_AM!$HK$16</f>
        <v/>
      </c>
      <c r="M337" s="14" t="n"/>
      <c r="N337" s="15" t="n"/>
      <c r="O337" s="115" t="n"/>
      <c r="P337" s="89">
        <f>DADOS_AM!$HK$17</f>
        <v/>
      </c>
      <c r="Q337" s="15" t="n"/>
      <c r="R337" s="89">
        <f>DADOS_AM!$HK$18</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19"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4" t="n"/>
      <c r="I348" s="14" t="n"/>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19" t="n"/>
      <c r="I349" s="19"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0" t="n"/>
      <c r="E351" s="15" t="n"/>
      <c r="F351" s="120">
        <f>DADOS_AM!$HK$19</f>
        <v/>
      </c>
      <c r="G351" s="14" t="n"/>
      <c r="H351" s="15" t="n"/>
      <c r="I351" s="115" t="n"/>
      <c r="J351" s="120">
        <f>DADOS_AM!$HK$20</f>
        <v/>
      </c>
      <c r="K351" s="14" t="n"/>
      <c r="L351" s="14" t="n"/>
      <c r="M351" s="14" t="n"/>
      <c r="N351" s="15" t="n"/>
      <c r="O351" s="115" t="n"/>
      <c r="P351" s="89">
        <f>DADOS_AM!$GF$6</f>
        <v/>
      </c>
      <c r="Q351" s="15" t="n"/>
      <c r="R351" s="120">
        <f>DADOS_AM!$HK$21</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DADOS_AM!$HK$22</f>
        <v/>
      </c>
      <c r="E355" s="12" t="n"/>
      <c r="F355" s="120">
        <f>DADOS_AM!$HK$23</f>
        <v/>
      </c>
      <c r="G355" s="120">
        <f>DADOS_AM!$HK$24</f>
        <v/>
      </c>
      <c r="H355" s="12" t="n"/>
      <c r="I355" s="115" t="n"/>
      <c r="J355" s="120">
        <f>DADOS_AM!$HK$25</f>
        <v/>
      </c>
      <c r="K355" s="120">
        <f>DADOS_AM!$HK$26</f>
        <v/>
      </c>
      <c r="L355" s="120" t="inlineStr">
        <is>
          <t>Não fecha</t>
        </is>
      </c>
      <c r="M355" s="120" t="inlineStr">
        <is>
          <t>Rola</t>
        </is>
      </c>
      <c r="N355" s="12" t="n"/>
      <c r="O355" s="115" t="n"/>
      <c r="P355" s="80" t="n"/>
      <c r="Q355" s="14" t="n"/>
      <c r="R355" s="14" t="n"/>
      <c r="S355" s="14" t="n"/>
      <c r="T355" s="15" t="n"/>
      <c r="U355" s="115" t="n"/>
    </row>
    <row r="356" hidden="1" outlineLevel="1">
      <c r="A356" s="8" t="n"/>
      <c r="B356" s="22" t="n"/>
      <c r="C356" s="115" t="n"/>
      <c r="D356" s="127">
        <f>DADOS_AM!$HK$27</f>
        <v/>
      </c>
      <c r="E356" s="12" t="n"/>
      <c r="F356" s="120">
        <f>DADOS_AM!$HK$28</f>
        <v/>
      </c>
      <c r="G356" s="120">
        <f>DADOS_AM!$HK$29</f>
        <v/>
      </c>
      <c r="H356" s="12" t="n"/>
      <c r="I356" s="115" t="n"/>
      <c r="J356" s="120">
        <f>DADOS_AM!$HK$30</f>
        <v/>
      </c>
      <c r="K356" s="120">
        <f>DADOS_AM!$HK$31</f>
        <v/>
      </c>
      <c r="L356" s="120">
        <f>DADOS_AM!$HK$32</f>
        <v/>
      </c>
      <c r="M356" s="120" t="inlineStr">
        <is>
          <t>Acontece</t>
        </is>
      </c>
      <c r="N356" s="12" t="n"/>
      <c r="O356" s="115" t="n"/>
      <c r="P356" s="16" t="n"/>
      <c r="T356" s="17" t="n"/>
      <c r="U356" s="115" t="n"/>
    </row>
    <row r="357" hidden="1" outlineLevel="1">
      <c r="A357" s="8" t="n"/>
      <c r="B357" s="22" t="n"/>
      <c r="C357" s="115" t="n"/>
      <c r="D357" s="127">
        <f>DADOS_AM!$HK$33</f>
        <v/>
      </c>
      <c r="E357" s="12" t="n"/>
      <c r="F357" s="120">
        <f>DADOS_AM!$HK$34</f>
        <v/>
      </c>
      <c r="G357" s="120">
        <f>DADOS_AM!$HK$35</f>
        <v/>
      </c>
      <c r="H357" s="12" t="n"/>
      <c r="I357" s="115" t="n"/>
      <c r="J357" s="120" t="inlineStr">
        <is>
          <t>200 m</t>
        </is>
      </c>
      <c r="K357" s="120">
        <f>DADOS_AM!$HK$36</f>
        <v/>
      </c>
      <c r="L357" s="120" t="inlineStr">
        <is>
          <t>Não tem</t>
        </is>
      </c>
      <c r="M357" s="120"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19" t="n"/>
      <c r="E360" s="14" t="n"/>
      <c r="F360" s="14" t="n"/>
      <c r="G360" s="14" t="n"/>
      <c r="H360" s="14" t="n"/>
      <c r="I360" s="14" t="n"/>
      <c r="J360" s="14" t="n"/>
      <c r="K360" s="15" t="n"/>
      <c r="L360" s="119"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19"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4" t="n"/>
      <c r="I370" s="14" t="n"/>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19" t="n"/>
      <c r="I371" s="19"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31" t="n"/>
      <c r="E373" s="12" t="n"/>
      <c r="F373" s="126">
        <f>DADOS_AM!$GM$2</f>
        <v/>
      </c>
      <c r="G373" s="126">
        <f>DADOS_AM!$GN$2</f>
        <v/>
      </c>
      <c r="H373" s="12" t="n"/>
      <c r="I373" s="115" t="n"/>
      <c r="J373" s="131" t="n"/>
      <c r="K373" s="12" t="n"/>
      <c r="L373" s="126">
        <f>DADOS_AM!$GM$3</f>
        <v/>
      </c>
      <c r="M373" s="126">
        <f>DADOS_AM!$GN$3</f>
        <v/>
      </c>
      <c r="N373" s="12" t="n"/>
      <c r="O373" s="115" t="n"/>
      <c r="P373" s="131" t="n"/>
      <c r="Q373" s="12" t="n"/>
      <c r="R373" s="126">
        <f>DADOS_AM!$GM$4</f>
        <v/>
      </c>
      <c r="S373" s="126">
        <f>DADOS_AM!$GN$4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19">
        <f>DADOS_AM!$GL$2</f>
        <v/>
      </c>
      <c r="E375" s="14" t="n"/>
      <c r="F375" s="14" t="n"/>
      <c r="G375" s="14" t="n"/>
      <c r="H375" s="15" t="n"/>
      <c r="I375" s="115" t="n"/>
      <c r="J375" s="119">
        <f>DADOS_AM!$GL$3</f>
        <v/>
      </c>
      <c r="K375" s="14" t="n"/>
      <c r="L375" s="14" t="n"/>
      <c r="M375" s="14" t="n"/>
      <c r="N375" s="15" t="n"/>
      <c r="O375" s="115" t="n"/>
      <c r="P375" s="119">
        <f>DADOS_AM!$GL$4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19" t="n"/>
      <c r="F378" s="14" t="n"/>
      <c r="G378" s="14" t="n"/>
      <c r="H378" s="15" t="n"/>
      <c r="I378" s="115" t="n"/>
      <c r="J378" s="52" t="inlineStr">
        <is>
          <t>SEU TEXTO</t>
        </is>
      </c>
      <c r="K378" s="119" t="n"/>
      <c r="L378" s="14" t="n"/>
      <c r="M378" s="14" t="n"/>
      <c r="N378" s="15" t="n"/>
      <c r="O378" s="115" t="n"/>
      <c r="P378" s="52" t="inlineStr">
        <is>
          <t>SEU TEXTO</t>
        </is>
      </c>
      <c r="Q378" s="119" t="n"/>
      <c r="R378" s="14" t="n"/>
      <c r="S378" s="14" t="n"/>
      <c r="T378" s="15" t="n"/>
      <c r="U378" s="115" t="n"/>
    </row>
    <row r="379" outlineLevel="2">
      <c r="A379" s="8" t="n"/>
      <c r="B379" s="22" t="n"/>
      <c r="C379" s="115" t="n"/>
      <c r="D379" s="121" t="n"/>
      <c r="E379" s="18" t="n"/>
      <c r="F379" s="19" t="n"/>
      <c r="G379" s="19" t="n"/>
      <c r="H379" s="20" t="n"/>
      <c r="I379" s="115" t="n"/>
      <c r="J379" s="121" t="n"/>
      <c r="K379" s="18" t="n"/>
      <c r="L379" s="19" t="n"/>
      <c r="M379" s="19" t="n"/>
      <c r="N379" s="20" t="n"/>
      <c r="O379" s="115" t="n"/>
      <c r="P379" s="121"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31" t="n"/>
      <c r="E381" s="12" t="n"/>
      <c r="F381" s="126">
        <f>DADOS_AM!$GM$5</f>
        <v/>
      </c>
      <c r="G381" s="126">
        <f>DADOS_AM!$GN$5</f>
        <v/>
      </c>
      <c r="H381" s="12" t="n"/>
      <c r="I381" s="115" t="n"/>
      <c r="J381" s="131" t="n"/>
      <c r="K381" s="12" t="n"/>
      <c r="L381" s="126">
        <f>DADOS_AM!$GM$6</f>
        <v/>
      </c>
      <c r="M381" s="126">
        <f>DADOS_AM!$GN$6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19">
        <f>DADOS_AM!$GL$5</f>
        <v/>
      </c>
      <c r="E383" s="14" t="n"/>
      <c r="F383" s="14" t="n"/>
      <c r="G383" s="14" t="n"/>
      <c r="H383" s="15" t="n"/>
      <c r="I383" s="115" t="n"/>
      <c r="J383" s="119">
        <f>DADOS_AM!$GL$6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19" t="n"/>
      <c r="F386" s="14" t="n"/>
      <c r="G386" s="14" t="n"/>
      <c r="H386" s="15" t="n"/>
      <c r="I386" s="115" t="n"/>
      <c r="J386" s="52" t="inlineStr">
        <is>
          <t>SEU TEXTO</t>
        </is>
      </c>
      <c r="K386" s="119" t="n"/>
      <c r="L386" s="14" t="n"/>
      <c r="M386" s="14" t="n"/>
      <c r="N386" s="15" t="n"/>
      <c r="O386" s="115" t="n"/>
      <c r="P386" s="115" t="n"/>
      <c r="Q386" s="115" t="n"/>
      <c r="R386" s="115" t="n"/>
      <c r="S386" s="115" t="n"/>
      <c r="T386" s="115" t="n"/>
      <c r="U386" s="115" t="n"/>
    </row>
    <row r="387" hidden="1" outlineLevel="2">
      <c r="A387" s="8" t="n"/>
      <c r="B387" s="22" t="n"/>
      <c r="C387" s="115" t="n"/>
      <c r="D387" s="121" t="n"/>
      <c r="E387" s="18" t="n"/>
      <c r="F387" s="19" t="n"/>
      <c r="G387" s="19" t="n"/>
      <c r="H387" s="20" t="n"/>
      <c r="I387" s="115" t="n"/>
      <c r="J387" s="121"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31" t="n"/>
      <c r="E391" s="12" t="n"/>
      <c r="F391" s="126">
        <f>DADOS_AM!$GM$7</f>
        <v/>
      </c>
      <c r="G391" s="126">
        <f>DADOS_AM!$GN$7</f>
        <v/>
      </c>
      <c r="H391" s="12" t="n"/>
      <c r="I391" s="115" t="n"/>
      <c r="J391" s="131" t="n"/>
      <c r="K391" s="12" t="n"/>
      <c r="L391" s="126">
        <f>DADOS_AM!$GM$8</f>
        <v/>
      </c>
      <c r="M391" s="126">
        <f>DADOS_AM!$GN$8</f>
        <v/>
      </c>
      <c r="N391" s="12" t="n"/>
      <c r="O391" s="115" t="n"/>
      <c r="P391" s="131" t="n"/>
      <c r="Q391" s="12" t="n"/>
      <c r="R391" s="126">
        <f>DADOS_AM!$GM$9</f>
        <v/>
      </c>
      <c r="S391" s="126">
        <f>DADOS_AM!$GN$9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19">
        <f>DADOS_AM!$GL$7</f>
        <v/>
      </c>
      <c r="E393" s="14" t="n"/>
      <c r="F393" s="14" t="n"/>
      <c r="G393" s="14" t="n"/>
      <c r="H393" s="15" t="n"/>
      <c r="I393" s="115" t="n"/>
      <c r="J393" s="119">
        <f>DADOS_AM!$GL$8</f>
        <v/>
      </c>
      <c r="K393" s="14" t="n"/>
      <c r="L393" s="14" t="n"/>
      <c r="M393" s="14" t="n"/>
      <c r="N393" s="15" t="n"/>
      <c r="O393" s="115" t="n"/>
      <c r="P393" s="119">
        <f>DADOS_AM!$GL$9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19" t="n"/>
      <c r="F396" s="14" t="n"/>
      <c r="G396" s="14" t="n"/>
      <c r="H396" s="15" t="n"/>
      <c r="I396" s="115" t="n"/>
      <c r="J396" s="52" t="inlineStr">
        <is>
          <t>SEU TEXTO</t>
        </is>
      </c>
      <c r="K396" s="119" t="n"/>
      <c r="L396" s="14" t="n"/>
      <c r="M396" s="14" t="n"/>
      <c r="N396" s="15" t="n"/>
      <c r="O396" s="115" t="n"/>
      <c r="P396" s="52" t="inlineStr">
        <is>
          <t>SEU TEXTO</t>
        </is>
      </c>
      <c r="Q396" s="119" t="n"/>
      <c r="R396" s="14" t="n"/>
      <c r="S396" s="14" t="n"/>
      <c r="T396" s="15" t="n"/>
      <c r="U396" s="115" t="n"/>
    </row>
    <row r="397" hidden="1" outlineLevel="3">
      <c r="A397" s="8" t="n"/>
      <c r="B397" s="22" t="n"/>
      <c r="C397" s="115" t="n"/>
      <c r="D397" s="121" t="n"/>
      <c r="E397" s="18" t="n"/>
      <c r="F397" s="19" t="n"/>
      <c r="G397" s="19" t="n"/>
      <c r="H397" s="20" t="n"/>
      <c r="I397" s="115" t="n"/>
      <c r="J397" s="121" t="n"/>
      <c r="K397" s="18" t="n"/>
      <c r="L397" s="19" t="n"/>
      <c r="M397" s="19" t="n"/>
      <c r="N397" s="20" t="n"/>
      <c r="O397" s="115" t="n"/>
      <c r="P397" s="121"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31" t="n"/>
      <c r="E399" s="12" t="n"/>
      <c r="F399" s="126">
        <f>DADOS_AM!$GM$10</f>
        <v/>
      </c>
      <c r="G399" s="126">
        <f>DADOS_AM!$GN$10</f>
        <v/>
      </c>
      <c r="H399" s="12" t="n"/>
      <c r="I399" s="115" t="n"/>
      <c r="J399" s="131" t="n"/>
      <c r="K399" s="12" t="n"/>
      <c r="L399" s="126">
        <f>DADOS_AM!$GM$11</f>
        <v/>
      </c>
      <c r="M399" s="126">
        <f>DADOS_AM!$GN$11</f>
        <v/>
      </c>
      <c r="N399" s="12" t="n"/>
      <c r="O399" s="115" t="n"/>
      <c r="P399" s="131" t="n"/>
      <c r="Q399" s="12" t="n"/>
      <c r="R399" s="126">
        <f>DADOS_AM!$GM$12</f>
        <v/>
      </c>
      <c r="S399" s="126">
        <f>DADOS_AM!$GN$12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19">
        <f>DADOS_AM!$GL$10</f>
        <v/>
      </c>
      <c r="E401" s="14" t="n"/>
      <c r="F401" s="14" t="n"/>
      <c r="G401" s="14" t="n"/>
      <c r="H401" s="15" t="n"/>
      <c r="I401" s="115" t="n"/>
      <c r="J401" s="119">
        <f>DADOS_AM!$GL$11</f>
        <v/>
      </c>
      <c r="K401" s="14" t="n"/>
      <c r="L401" s="14" t="n"/>
      <c r="M401" s="14" t="n"/>
      <c r="N401" s="15" t="n"/>
      <c r="O401" s="115" t="n"/>
      <c r="P401" s="119">
        <f>DADOS_AM!$GL$12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19" t="n"/>
      <c r="F404" s="14" t="n"/>
      <c r="G404" s="14" t="n"/>
      <c r="H404" s="15" t="n"/>
      <c r="I404" s="115" t="n"/>
      <c r="J404" s="52" t="inlineStr">
        <is>
          <t>SEU TEXTO</t>
        </is>
      </c>
      <c r="K404" s="119" t="n"/>
      <c r="L404" s="14" t="n"/>
      <c r="M404" s="14" t="n"/>
      <c r="N404" s="15" t="n"/>
      <c r="O404" s="115" t="n"/>
      <c r="P404" s="52" t="inlineStr">
        <is>
          <t>SEU TEXTO</t>
        </is>
      </c>
      <c r="Q404" s="119" t="n"/>
      <c r="R404" s="14" t="n"/>
      <c r="S404" s="14" t="n"/>
      <c r="T404" s="15" t="n"/>
      <c r="U404" s="115" t="n"/>
    </row>
    <row r="405" hidden="1" outlineLevel="3">
      <c r="A405" s="8" t="n"/>
      <c r="B405" s="22" t="n"/>
      <c r="C405" s="115" t="n"/>
      <c r="D405" s="121" t="n"/>
      <c r="E405" s="18" t="n"/>
      <c r="F405" s="19" t="n"/>
      <c r="G405" s="19" t="n"/>
      <c r="H405" s="20" t="n"/>
      <c r="I405" s="115" t="n"/>
      <c r="J405" s="121" t="n"/>
      <c r="K405" s="18" t="n"/>
      <c r="L405" s="19" t="n"/>
      <c r="M405" s="19" t="n"/>
      <c r="N405" s="20" t="n"/>
      <c r="O405" s="115" t="n"/>
      <c r="P405" s="121"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31" t="n"/>
      <c r="E407" s="12" t="n"/>
      <c r="F407" s="126">
        <f>DADOS_AM!$GM$13</f>
        <v/>
      </c>
      <c r="G407" s="126">
        <f>DADOS_AM!$GN$13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19">
        <f>DADOS_AM!$GL$13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19"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1"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4" t="n"/>
      <c r="I415" s="14" t="n"/>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19" t="n"/>
      <c r="I416" s="19"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DADOS_AM!$GF$6</f>
        <v/>
      </c>
      <c r="E418" s="15" t="n"/>
      <c r="F418" s="89">
        <f>DADOS_AM!$HK$37</f>
        <v/>
      </c>
      <c r="G418" s="14" t="n"/>
      <c r="H418" s="15" t="n"/>
      <c r="I418" s="115" t="n"/>
      <c r="J418" s="80">
        <f>DADOS_AM!$HK$38</f>
        <v/>
      </c>
      <c r="K418" s="15" t="n"/>
      <c r="L418" s="80">
        <f>DADOS_AM!$HK$39</f>
        <v/>
      </c>
      <c r="M418" s="14" t="n"/>
      <c r="N418" s="15" t="n"/>
      <c r="O418" s="115" t="n"/>
      <c r="P418" s="80">
        <f>DADOS_AM!$HK$40</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31" t="n"/>
      <c r="E421" s="11" t="n"/>
      <c r="F421" s="12" t="n"/>
      <c r="G421" s="126">
        <f>DADOS_AM!$GS$2</f>
        <v/>
      </c>
      <c r="H421" s="12" t="n"/>
      <c r="I421" s="115" t="n"/>
      <c r="J421" s="131" t="n"/>
      <c r="K421" s="11" t="n"/>
      <c r="L421" s="12" t="n"/>
      <c r="M421" s="126">
        <f>DADOS_AM!$GS$3</f>
        <v/>
      </c>
      <c r="N421" s="12" t="n"/>
      <c r="O421" s="115" t="n"/>
      <c r="P421" s="131" t="n"/>
      <c r="Q421" s="11" t="n"/>
      <c r="R421" s="12" t="n"/>
      <c r="S421" s="126">
        <f>DADOS_AM!$GS$4</f>
        <v/>
      </c>
      <c r="T421" s="12" t="n"/>
      <c r="U421" s="115" t="n"/>
    </row>
    <row r="422" outlineLevel="1">
      <c r="A422" s="8" t="n"/>
      <c r="B422" s="22" t="n"/>
      <c r="C422" s="115" t="n"/>
      <c r="D422" s="132">
        <f>DADOS_AM!$GR$2</f>
        <v/>
      </c>
      <c r="E422" s="14" t="n"/>
      <c r="F422" s="14" t="n"/>
      <c r="G422" s="14" t="n"/>
      <c r="H422" s="15" t="n"/>
      <c r="I422" s="115" t="n"/>
      <c r="J422" s="132">
        <f>DADOS_AM!$GR$3</f>
        <v/>
      </c>
      <c r="K422" s="14" t="n"/>
      <c r="L422" s="14" t="n"/>
      <c r="M422" s="14" t="n"/>
      <c r="N422" s="15" t="n"/>
      <c r="O422" s="115" t="n"/>
      <c r="P422" s="132">
        <f>DADOS_AM!$GR$4</f>
        <v/>
      </c>
      <c r="Q422" s="14" t="n"/>
      <c r="R422" s="14" t="n"/>
      <c r="S422" s="14" t="n"/>
      <c r="T422" s="15" t="n"/>
      <c r="U422" s="115" t="n"/>
    </row>
    <row r="423" outlineLevel="1">
      <c r="A423" s="8" t="n"/>
      <c r="B423" s="22" t="n"/>
      <c r="C423" s="115" t="n"/>
      <c r="D423" s="18" t="n"/>
      <c r="E423" s="19" t="n"/>
      <c r="F423" s="19" t="n"/>
      <c r="G423" s="19" t="n"/>
      <c r="H423" s="20" t="n"/>
      <c r="I423" s="115" t="n"/>
      <c r="J423" s="18" t="n"/>
      <c r="K423" s="19" t="n"/>
      <c r="L423" s="19" t="n"/>
      <c r="M423" s="19" t="n"/>
      <c r="N423" s="20" t="n"/>
      <c r="O423" s="115" t="n"/>
      <c r="P423" s="18" t="n"/>
      <c r="Q423" s="19" t="n"/>
      <c r="R423" s="19" t="n"/>
      <c r="S423" s="19" t="n"/>
      <c r="T423" s="20" t="n"/>
      <c r="U423" s="115" t="n"/>
    </row>
    <row r="424" outlineLevel="2">
      <c r="A424" s="8" t="n"/>
      <c r="B424" s="22" t="n"/>
      <c r="C424" s="115" t="n"/>
      <c r="D424" s="52" t="inlineStr">
        <is>
          <t>O QUE FAZ</t>
        </is>
      </c>
      <c r="E424" s="11" t="n"/>
      <c r="F424" s="11" t="n"/>
      <c r="G424" s="11" t="n"/>
      <c r="H424" s="12" t="n"/>
      <c r="I424" s="115" t="n"/>
      <c r="J424" s="52" t="inlineStr">
        <is>
          <t>O QUE FAZ</t>
        </is>
      </c>
      <c r="K424" s="11" t="n"/>
      <c r="L424" s="11" t="n"/>
      <c r="M424" s="11" t="n"/>
      <c r="N424" s="12" t="n"/>
      <c r="O424" s="115" t="n"/>
      <c r="P424" s="52" t="inlineStr">
        <is>
          <t>O QUE FAZ</t>
        </is>
      </c>
      <c r="Q424" s="11" t="n"/>
      <c r="R424" s="11" t="n"/>
      <c r="S424" s="11" t="n"/>
      <c r="T424" s="12" t="n"/>
      <c r="U424" s="115" t="n"/>
    </row>
    <row r="425" outlineLevel="2">
      <c r="A425" s="8" t="n"/>
      <c r="B425" s="22" t="n"/>
      <c r="C425" s="115" t="n"/>
      <c r="D425" s="133">
        <f>DADOS_AM!$GU$2</f>
        <v/>
      </c>
      <c r="E425" s="14" t="n"/>
      <c r="F425" s="14" t="n"/>
      <c r="G425" s="14" t="n"/>
      <c r="H425" s="15" t="n"/>
      <c r="I425" s="115" t="n"/>
      <c r="J425" s="133">
        <f>DADOS_AM!$GU$3</f>
        <v/>
      </c>
      <c r="K425" s="14" t="n"/>
      <c r="L425" s="14" t="n"/>
      <c r="M425" s="14" t="n"/>
      <c r="N425" s="15" t="n"/>
      <c r="O425" s="115" t="n"/>
      <c r="P425" s="133">
        <f>DADOS_AM!$GU$4</f>
        <v/>
      </c>
      <c r="Q425" s="14" t="n"/>
      <c r="R425" s="14" t="n"/>
      <c r="S425" s="14" t="n"/>
      <c r="T425" s="15"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6" t="n"/>
      <c r="H433" s="17" t="n"/>
      <c r="I433" s="115" t="n"/>
      <c r="J433" s="16" t="n"/>
      <c r="N433" s="17" t="n"/>
      <c r="O433" s="115" t="n"/>
      <c r="P433" s="16" t="n"/>
      <c r="T433" s="17" t="n"/>
      <c r="U433" s="115" t="n"/>
    </row>
    <row r="434" outlineLevel="2">
      <c r="A434" s="8" t="n"/>
      <c r="B434" s="22" t="n"/>
      <c r="C434" s="115" t="n"/>
      <c r="D434" s="16" t="n"/>
      <c r="H434" s="17" t="n"/>
      <c r="I434" s="115" t="n"/>
      <c r="J434" s="16" t="n"/>
      <c r="N434" s="17" t="n"/>
      <c r="O434" s="115" t="n"/>
      <c r="P434" s="16" t="n"/>
      <c r="T434" s="17" t="n"/>
      <c r="U434" s="115" t="n"/>
    </row>
    <row r="435" outlineLevel="2">
      <c r="A435" s="8" t="n"/>
      <c r="B435" s="22" t="n"/>
      <c r="C435" s="115" t="n"/>
      <c r="D435" s="16" t="n"/>
      <c r="H435" s="17" t="n"/>
      <c r="I435" s="115" t="n"/>
      <c r="J435" s="16" t="n"/>
      <c r="N435" s="17" t="n"/>
      <c r="O435" s="115" t="n"/>
      <c r="P435" s="16" t="n"/>
      <c r="T435" s="17" t="n"/>
      <c r="U435" s="115" t="n"/>
    </row>
    <row r="436" outlineLevel="2">
      <c r="A436" s="8" t="n"/>
      <c r="B436" s="22" t="n"/>
      <c r="C436" s="115" t="n"/>
      <c r="D436" s="18" t="n"/>
      <c r="E436" s="19" t="n"/>
      <c r="F436" s="19" t="n"/>
      <c r="G436" s="19" t="n"/>
      <c r="H436" s="20" t="n"/>
      <c r="I436" s="115" t="n"/>
      <c r="J436" s="18" t="n"/>
      <c r="K436" s="19" t="n"/>
      <c r="L436" s="19" t="n"/>
      <c r="M436" s="19" t="n"/>
      <c r="N436" s="20" t="n"/>
      <c r="O436" s="115" t="n"/>
      <c r="P436" s="18" t="n"/>
      <c r="Q436" s="19" t="n"/>
      <c r="R436" s="19" t="n"/>
      <c r="S436" s="19" t="n"/>
      <c r="T436" s="20" t="n"/>
      <c r="U436" s="115" t="n"/>
    </row>
    <row r="437" outlineLevel="2">
      <c r="A437" s="8" t="n"/>
      <c r="B437" s="22" t="n"/>
      <c r="C437" s="115" t="n"/>
      <c r="D437" s="52" t="inlineStr">
        <is>
          <t>O REFINO ESCALA</t>
        </is>
      </c>
      <c r="E437" s="134">
        <f>DADOS_AM!$GT$2</f>
        <v/>
      </c>
      <c r="F437" s="11" t="n"/>
      <c r="G437" s="11" t="n"/>
      <c r="H437" s="12" t="n"/>
      <c r="I437" s="115" t="n"/>
      <c r="J437" s="52" t="inlineStr">
        <is>
          <t>O REFINO ESCALA</t>
        </is>
      </c>
      <c r="K437" s="134">
        <f>DADOS_AM!$GT$3</f>
        <v/>
      </c>
      <c r="L437" s="11" t="n"/>
      <c r="M437" s="11" t="n"/>
      <c r="N437" s="12" t="n"/>
      <c r="O437" s="115" t="n"/>
      <c r="P437" s="52" t="inlineStr">
        <is>
          <t>O REFINO ESCALA</t>
        </is>
      </c>
      <c r="Q437" s="134">
        <f>DADOS_AM!$GT$4</f>
        <v/>
      </c>
      <c r="R437" s="11" t="n"/>
      <c r="S437" s="11" t="n"/>
      <c r="T437" s="12" t="n"/>
      <c r="U437" s="115" t="n"/>
    </row>
    <row r="438" outlineLevel="2">
      <c r="A438" s="8" t="n"/>
      <c r="B438" s="22" t="n"/>
      <c r="C438" s="115" t="n"/>
      <c r="D438" s="52" t="inlineStr">
        <is>
          <t>SEU TEXTO</t>
        </is>
      </c>
      <c r="E438" s="119" t="n"/>
      <c r="F438" s="14" t="n"/>
      <c r="G438" s="14" t="n"/>
      <c r="H438" s="15" t="n"/>
      <c r="I438" s="115" t="n"/>
      <c r="J438" s="52" t="inlineStr">
        <is>
          <t>SEU TEXTO</t>
        </is>
      </c>
      <c r="K438" s="119" t="n"/>
      <c r="L438" s="14" t="n"/>
      <c r="M438" s="14" t="n"/>
      <c r="N438" s="15" t="n"/>
      <c r="O438" s="115" t="n"/>
      <c r="P438" s="52" t="inlineStr">
        <is>
          <t>SEU TEXTO</t>
        </is>
      </c>
      <c r="Q438" s="119" t="n"/>
      <c r="R438" s="14" t="n"/>
      <c r="S438" s="14" t="n"/>
      <c r="T438" s="15" t="n"/>
      <c r="U438" s="115" t="n"/>
    </row>
    <row r="439" outlineLevel="2">
      <c r="A439" s="8" t="n"/>
      <c r="B439" s="22" t="n"/>
      <c r="C439" s="115" t="n"/>
      <c r="D439" s="121" t="n"/>
      <c r="E439" s="18" t="n"/>
      <c r="F439" s="19" t="n"/>
      <c r="G439" s="19" t="n"/>
      <c r="H439" s="20" t="n"/>
      <c r="I439" s="115" t="n"/>
      <c r="J439" s="121" t="n"/>
      <c r="K439" s="18" t="n"/>
      <c r="L439" s="19" t="n"/>
      <c r="M439" s="19" t="n"/>
      <c r="N439" s="20" t="n"/>
      <c r="O439" s="115" t="n"/>
      <c r="P439" s="121" t="n"/>
      <c r="Q439" s="18" t="n"/>
      <c r="R439" s="19" t="n"/>
      <c r="S439" s="19" t="n"/>
      <c r="T439" s="20" t="n"/>
      <c r="U439" s="115" t="n"/>
    </row>
    <row r="440" outlineLevel="1">
      <c r="A440" s="8" t="n"/>
      <c r="B440" s="22"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row>
    <row r="441" outlineLevel="1">
      <c r="A441" s="8" t="n"/>
      <c r="B441" s="22" t="n"/>
      <c r="C441" s="115" t="n"/>
      <c r="D441" s="131" t="n"/>
      <c r="E441" s="11" t="n"/>
      <c r="F441" s="12" t="n"/>
      <c r="G441" s="126">
        <f>DADOS_AM!$GS$5</f>
        <v/>
      </c>
      <c r="H441" s="12" t="n"/>
      <c r="I441" s="115" t="n"/>
      <c r="J441" s="131" t="n"/>
      <c r="K441" s="11" t="n"/>
      <c r="L441" s="12" t="n"/>
      <c r="M441" s="126">
        <f>DADOS_AM!$GS$6</f>
        <v/>
      </c>
      <c r="N441" s="12" t="n"/>
      <c r="O441" s="115" t="n"/>
      <c r="P441" s="131" t="n"/>
      <c r="Q441" s="11" t="n"/>
      <c r="R441" s="12" t="n"/>
      <c r="S441" s="126">
        <f>DADOS_AM!$GS$7</f>
        <v/>
      </c>
      <c r="T441" s="12" t="n"/>
      <c r="U441" s="115" t="n"/>
    </row>
    <row r="442" outlineLevel="1">
      <c r="A442" s="8" t="n"/>
      <c r="B442" s="22" t="n"/>
      <c r="C442" s="115" t="n"/>
      <c r="D442" s="132">
        <f>DADOS_AM!$GR$5</f>
        <v/>
      </c>
      <c r="E442" s="14" t="n"/>
      <c r="F442" s="14" t="n"/>
      <c r="G442" s="14" t="n"/>
      <c r="H442" s="15" t="n"/>
      <c r="I442" s="115" t="n"/>
      <c r="J442" s="132">
        <f>DADOS_AM!$GR$6</f>
        <v/>
      </c>
      <c r="K442" s="14" t="n"/>
      <c r="L442" s="14" t="n"/>
      <c r="M442" s="14" t="n"/>
      <c r="N442" s="15" t="n"/>
      <c r="O442" s="115" t="n"/>
      <c r="P442" s="132">
        <f>DADOS_AM!$GR$7</f>
        <v/>
      </c>
      <c r="Q442" s="14" t="n"/>
      <c r="R442" s="14" t="n"/>
      <c r="S442" s="14" t="n"/>
      <c r="T442" s="15" t="n"/>
      <c r="U442" s="115" t="n"/>
    </row>
    <row r="443" outlineLevel="1">
      <c r="A443" s="8" t="n"/>
      <c r="B443" s="22" t="n"/>
      <c r="C443" s="115" t="n"/>
      <c r="D443" s="18" t="n"/>
      <c r="E443" s="19" t="n"/>
      <c r="F443" s="19" t="n"/>
      <c r="G443" s="19" t="n"/>
      <c r="H443" s="20" t="n"/>
      <c r="I443" s="115" t="n"/>
      <c r="J443" s="18" t="n"/>
      <c r="K443" s="19" t="n"/>
      <c r="L443" s="19" t="n"/>
      <c r="M443" s="19" t="n"/>
      <c r="N443" s="20" t="n"/>
      <c r="O443" s="115" t="n"/>
      <c r="P443" s="18" t="n"/>
      <c r="Q443" s="19" t="n"/>
      <c r="R443" s="19" t="n"/>
      <c r="S443" s="19" t="n"/>
      <c r="T443" s="20" t="n"/>
      <c r="U443" s="115" t="n"/>
    </row>
    <row r="444" hidden="1" outlineLevel="2">
      <c r="A444" s="8" t="n"/>
      <c r="B444" s="22" t="n"/>
      <c r="C444" s="115" t="n"/>
      <c r="D444" s="52" t="inlineStr">
        <is>
          <t>O QUE FAZ</t>
        </is>
      </c>
      <c r="E444" s="11" t="n"/>
      <c r="F444" s="11" t="n"/>
      <c r="G444" s="11" t="n"/>
      <c r="H444" s="12" t="n"/>
      <c r="I444" s="115" t="n"/>
      <c r="J444" s="52" t="inlineStr">
        <is>
          <t>O QUE FAZ</t>
        </is>
      </c>
      <c r="K444" s="11" t="n"/>
      <c r="L444" s="11" t="n"/>
      <c r="M444" s="11" t="n"/>
      <c r="N444" s="12" t="n"/>
      <c r="O444" s="115" t="n"/>
      <c r="P444" s="52" t="inlineStr">
        <is>
          <t>O QUE FAZ</t>
        </is>
      </c>
      <c r="Q444" s="11" t="n"/>
      <c r="R444" s="11" t="n"/>
      <c r="S444" s="11" t="n"/>
      <c r="T444" s="12" t="n"/>
      <c r="U444" s="115" t="n"/>
    </row>
    <row r="445" hidden="1" outlineLevel="2">
      <c r="A445" s="8" t="n"/>
      <c r="B445" s="22" t="n"/>
      <c r="C445" s="115" t="n"/>
      <c r="D445" s="133">
        <f>DADOS_AM!$GU$5</f>
        <v/>
      </c>
      <c r="E445" s="14" t="n"/>
      <c r="F445" s="14" t="n"/>
      <c r="G445" s="14" t="n"/>
      <c r="H445" s="15" t="n"/>
      <c r="I445" s="115" t="n"/>
      <c r="J445" s="133">
        <f>DADOS_AM!$GU$6</f>
        <v/>
      </c>
      <c r="K445" s="14" t="n"/>
      <c r="L445" s="14" t="n"/>
      <c r="M445" s="14" t="n"/>
      <c r="N445" s="15" t="n"/>
      <c r="O445" s="115" t="n"/>
      <c r="P445" s="133">
        <f>DADOS_AM!$GU$7</f>
        <v/>
      </c>
      <c r="Q445" s="14" t="n"/>
      <c r="R445" s="14" t="n"/>
      <c r="S445" s="14" t="n"/>
      <c r="T445" s="15"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6" t="n"/>
      <c r="H450" s="17" t="n"/>
      <c r="I450" s="115" t="n"/>
      <c r="J450" s="16" t="n"/>
      <c r="N450" s="17" t="n"/>
      <c r="O450" s="115" t="n"/>
      <c r="P450" s="16" t="n"/>
      <c r="T450" s="17" t="n"/>
      <c r="U450" s="115" t="n"/>
    </row>
    <row r="451" hidden="1" outlineLevel="2">
      <c r="A451" s="8" t="n"/>
      <c r="B451" s="22" t="n"/>
      <c r="C451" s="115" t="n"/>
      <c r="D451" s="16" t="n"/>
      <c r="H451" s="17" t="n"/>
      <c r="I451" s="115" t="n"/>
      <c r="J451" s="16" t="n"/>
      <c r="N451" s="17" t="n"/>
      <c r="O451" s="115" t="n"/>
      <c r="P451" s="16" t="n"/>
      <c r="T451" s="17" t="n"/>
      <c r="U451" s="115" t="n"/>
    </row>
    <row r="452" hidden="1" outlineLevel="2">
      <c r="A452" s="8" t="n"/>
      <c r="B452" s="22" t="n"/>
      <c r="C452" s="115" t="n"/>
      <c r="D452" s="16" t="n"/>
      <c r="H452" s="17" t="n"/>
      <c r="I452" s="115" t="n"/>
      <c r="J452" s="16" t="n"/>
      <c r="N452" s="17" t="n"/>
      <c r="O452" s="115" t="n"/>
      <c r="P452" s="16" t="n"/>
      <c r="T452" s="17" t="n"/>
      <c r="U452" s="115" t="n"/>
    </row>
    <row r="453" hidden="1" outlineLevel="2">
      <c r="A453" s="8" t="n"/>
      <c r="B453" s="22" t="n"/>
      <c r="C453" s="115" t="n"/>
      <c r="D453" s="16" t="n"/>
      <c r="H453" s="17" t="n"/>
      <c r="I453" s="115" t="n"/>
      <c r="J453" s="16" t="n"/>
      <c r="N453" s="17" t="n"/>
      <c r="O453" s="115" t="n"/>
      <c r="P453" s="16" t="n"/>
      <c r="T453" s="17" t="n"/>
      <c r="U453" s="115" t="n"/>
    </row>
    <row r="454" hidden="1" outlineLevel="2">
      <c r="A454" s="8" t="n"/>
      <c r="B454" s="22" t="n"/>
      <c r="C454" s="115" t="n"/>
      <c r="D454" s="16" t="n"/>
      <c r="H454" s="17" t="n"/>
      <c r="I454" s="115" t="n"/>
      <c r="J454" s="16" t="n"/>
      <c r="N454" s="17" t="n"/>
      <c r="O454" s="115" t="n"/>
      <c r="P454" s="16" t="n"/>
      <c r="T454" s="17" t="n"/>
      <c r="U454" s="115" t="n"/>
    </row>
    <row r="455" hidden="1" outlineLevel="2">
      <c r="A455" s="8" t="n"/>
      <c r="B455" s="22" t="n"/>
      <c r="C455" s="115" t="n"/>
      <c r="D455" s="16" t="n"/>
      <c r="H455" s="17" t="n"/>
      <c r="I455" s="115" t="n"/>
      <c r="J455" s="16" t="n"/>
      <c r="N455" s="17" t="n"/>
      <c r="O455" s="115" t="n"/>
      <c r="P455" s="16" t="n"/>
      <c r="T455" s="17" t="n"/>
      <c r="U455" s="115" t="n"/>
    </row>
    <row r="456" hidden="1" outlineLevel="2">
      <c r="A456" s="8" t="n"/>
      <c r="B456" s="22" t="n"/>
      <c r="C456" s="115" t="n"/>
      <c r="D456" s="18" t="n"/>
      <c r="E456" s="19" t="n"/>
      <c r="F456" s="19" t="n"/>
      <c r="G456" s="19" t="n"/>
      <c r="H456" s="20" t="n"/>
      <c r="I456" s="115" t="n"/>
      <c r="J456" s="18" t="n"/>
      <c r="K456" s="19" t="n"/>
      <c r="L456" s="19" t="n"/>
      <c r="M456" s="19" t="n"/>
      <c r="N456" s="20" t="n"/>
      <c r="O456" s="115" t="n"/>
      <c r="P456" s="18" t="n"/>
      <c r="Q456" s="19" t="n"/>
      <c r="R456" s="19" t="n"/>
      <c r="S456" s="19" t="n"/>
      <c r="T456" s="20" t="n"/>
      <c r="U456" s="115" t="n"/>
    </row>
    <row r="457" hidden="1" outlineLevel="2">
      <c r="A457" s="8" t="n"/>
      <c r="B457" s="22" t="n"/>
      <c r="C457" s="115" t="n"/>
      <c r="D457" s="52" t="inlineStr">
        <is>
          <t>O REFINO ESCALA</t>
        </is>
      </c>
      <c r="E457" s="134">
        <f>DADOS_AM!$GT$5</f>
        <v/>
      </c>
      <c r="F457" s="11" t="n"/>
      <c r="G457" s="11" t="n"/>
      <c r="H457" s="12" t="n"/>
      <c r="I457" s="115" t="n"/>
      <c r="J457" s="52" t="inlineStr">
        <is>
          <t>O REFINO ESCALA</t>
        </is>
      </c>
      <c r="K457" s="134">
        <f>DADOS_AM!$GT$6</f>
        <v/>
      </c>
      <c r="L457" s="11" t="n"/>
      <c r="M457" s="11" t="n"/>
      <c r="N457" s="12" t="n"/>
      <c r="O457" s="115" t="n"/>
      <c r="P457" s="52" t="inlineStr">
        <is>
          <t>O REFINO ESCALA</t>
        </is>
      </c>
      <c r="Q457" s="134">
        <f>DADOS_AM!$GT$7</f>
        <v/>
      </c>
      <c r="R457" s="11" t="n"/>
      <c r="S457" s="11" t="n"/>
      <c r="T457" s="12" t="n"/>
      <c r="U457" s="115" t="n"/>
    </row>
    <row r="458" hidden="1" outlineLevel="2">
      <c r="A458" s="8" t="n"/>
      <c r="B458" s="22" t="n"/>
      <c r="C458" s="115" t="n"/>
      <c r="D458" s="52" t="inlineStr">
        <is>
          <t>SEU TEXTO</t>
        </is>
      </c>
      <c r="E458" s="119" t="n"/>
      <c r="F458" s="14" t="n"/>
      <c r="G458" s="14" t="n"/>
      <c r="H458" s="15" t="n"/>
      <c r="I458" s="115" t="n"/>
      <c r="J458" s="52" t="inlineStr">
        <is>
          <t>SEU TEXTO</t>
        </is>
      </c>
      <c r="K458" s="119" t="n"/>
      <c r="L458" s="14" t="n"/>
      <c r="M458" s="14" t="n"/>
      <c r="N458" s="15" t="n"/>
      <c r="O458" s="115" t="n"/>
      <c r="P458" s="52" t="inlineStr">
        <is>
          <t>SEU TEXTO</t>
        </is>
      </c>
      <c r="Q458" s="119" t="n"/>
      <c r="R458" s="14" t="n"/>
      <c r="S458" s="14" t="n"/>
      <c r="T458" s="15" t="n"/>
      <c r="U458" s="115" t="n"/>
    </row>
    <row r="459" hidden="1" outlineLevel="2">
      <c r="A459" s="8" t="n"/>
      <c r="B459" s="22" t="n"/>
      <c r="C459" s="115" t="n"/>
      <c r="D459" s="121" t="n"/>
      <c r="E459" s="18" t="n"/>
      <c r="F459" s="19" t="n"/>
      <c r="G459" s="19" t="n"/>
      <c r="H459" s="20" t="n"/>
      <c r="I459" s="115" t="n"/>
      <c r="J459" s="121" t="n"/>
      <c r="K459" s="18" t="n"/>
      <c r="L459" s="19" t="n"/>
      <c r="M459" s="19" t="n"/>
      <c r="N459" s="20" t="n"/>
      <c r="O459" s="115" t="n"/>
      <c r="P459" s="121" t="n"/>
      <c r="Q459" s="18" t="n"/>
      <c r="R459" s="19" t="n"/>
      <c r="S459" s="19" t="n"/>
      <c r="T459" s="20" t="n"/>
      <c r="U459" s="115" t="n"/>
    </row>
    <row r="460" outlineLevel="1">
      <c r="A460" s="8" t="n"/>
      <c r="B460" s="22"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row>
    <row r="461" outlineLevel="1">
      <c r="A461" s="8" t="n"/>
      <c r="B461" s="22" t="n"/>
      <c r="C461" s="115" t="n"/>
      <c r="D461" s="130" t="inlineStr">
        <is>
          <t>APTIDÕES 7 A 12 · abra quando faltar lugar</t>
        </is>
      </c>
      <c r="E461" s="11" t="n"/>
      <c r="F461" s="11" t="n"/>
      <c r="G461" s="11" t="n"/>
      <c r="H461" s="11" t="n"/>
      <c r="I461" s="11" t="n"/>
      <c r="J461" s="11" t="n"/>
      <c r="K461" s="11" t="n"/>
      <c r="L461" s="11" t="n"/>
      <c r="M461" s="11" t="n"/>
      <c r="N461" s="11" t="n"/>
      <c r="O461" s="11" t="n"/>
      <c r="P461" s="11" t="n"/>
      <c r="Q461" s="11" t="n"/>
      <c r="R461" s="11" t="n"/>
      <c r="S461" s="11" t="n"/>
      <c r="T461" s="12" t="n"/>
      <c r="U461" s="115" t="n"/>
    </row>
    <row r="462" hidden="1" outlineLevel="2">
      <c r="A462" s="8" t="n"/>
      <c r="B462" s="22"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row>
    <row r="463" hidden="1" outlineLevel="2">
      <c r="A463" s="8" t="n"/>
      <c r="B463" s="22" t="n"/>
      <c r="C463" s="115" t="n"/>
      <c r="D463" s="131" t="n"/>
      <c r="E463" s="11" t="n"/>
      <c r="F463" s="12" t="n"/>
      <c r="G463" s="126">
        <f>DADOS_AM!$GS$8</f>
        <v/>
      </c>
      <c r="H463" s="12" t="n"/>
      <c r="I463" s="115" t="n"/>
      <c r="J463" s="131" t="n"/>
      <c r="K463" s="11" t="n"/>
      <c r="L463" s="12" t="n"/>
      <c r="M463" s="126">
        <f>DADOS_AM!$GS$9</f>
        <v/>
      </c>
      <c r="N463" s="12" t="n"/>
      <c r="O463" s="115" t="n"/>
      <c r="P463" s="131" t="n"/>
      <c r="Q463" s="11" t="n"/>
      <c r="R463" s="12" t="n"/>
      <c r="S463" s="126">
        <f>DADOS_AM!$GS$10</f>
        <v/>
      </c>
      <c r="T463" s="12" t="n"/>
      <c r="U463" s="115" t="n"/>
    </row>
    <row r="464" hidden="1" outlineLevel="2">
      <c r="A464" s="8" t="n"/>
      <c r="B464" s="22" t="n"/>
      <c r="C464" s="115" t="n"/>
      <c r="D464" s="132">
        <f>DADOS_AM!$GR$8</f>
        <v/>
      </c>
      <c r="E464" s="14" t="n"/>
      <c r="F464" s="14" t="n"/>
      <c r="G464" s="14" t="n"/>
      <c r="H464" s="15" t="n"/>
      <c r="I464" s="115" t="n"/>
      <c r="J464" s="132">
        <f>DADOS_AM!$GR$9</f>
        <v/>
      </c>
      <c r="K464" s="14" t="n"/>
      <c r="L464" s="14" t="n"/>
      <c r="M464" s="14" t="n"/>
      <c r="N464" s="15" t="n"/>
      <c r="O464" s="115" t="n"/>
      <c r="P464" s="132">
        <f>DADOS_AM!$GR$10</f>
        <v/>
      </c>
      <c r="Q464" s="14" t="n"/>
      <c r="R464" s="14" t="n"/>
      <c r="S464" s="14" t="n"/>
      <c r="T464" s="15" t="n"/>
      <c r="U464" s="115" t="n"/>
    </row>
    <row r="465" hidden="1" outlineLevel="2">
      <c r="A465" s="8" t="n"/>
      <c r="B465" s="22" t="n"/>
      <c r="C465" s="115" t="n"/>
      <c r="D465" s="18" t="n"/>
      <c r="E465" s="19" t="n"/>
      <c r="F465" s="19" t="n"/>
      <c r="G465" s="19" t="n"/>
      <c r="H465" s="20" t="n"/>
      <c r="I465" s="115" t="n"/>
      <c r="J465" s="18" t="n"/>
      <c r="K465" s="19" t="n"/>
      <c r="L465" s="19" t="n"/>
      <c r="M465" s="19" t="n"/>
      <c r="N465" s="20" t="n"/>
      <c r="O465" s="115" t="n"/>
      <c r="P465" s="18" t="n"/>
      <c r="Q465" s="19" t="n"/>
      <c r="R465" s="19" t="n"/>
      <c r="S465" s="19" t="n"/>
      <c r="T465" s="20" t="n"/>
      <c r="U465" s="115" t="n"/>
    </row>
    <row r="466" hidden="1" outlineLevel="3">
      <c r="A466" s="8" t="n"/>
      <c r="B466" s="22" t="n"/>
      <c r="C466" s="115" t="n"/>
      <c r="D466" s="52" t="inlineStr">
        <is>
          <t>O QUE FAZ</t>
        </is>
      </c>
      <c r="E466" s="11" t="n"/>
      <c r="F466" s="11" t="n"/>
      <c r="G466" s="11" t="n"/>
      <c r="H466" s="12" t="n"/>
      <c r="I466" s="115" t="n"/>
      <c r="J466" s="52" t="inlineStr">
        <is>
          <t>O QUE FAZ</t>
        </is>
      </c>
      <c r="K466" s="11" t="n"/>
      <c r="L466" s="11" t="n"/>
      <c r="M466" s="11" t="n"/>
      <c r="N466" s="12" t="n"/>
      <c r="O466" s="115" t="n"/>
      <c r="P466" s="52" t="inlineStr">
        <is>
          <t>O QUE FAZ</t>
        </is>
      </c>
      <c r="Q466" s="11" t="n"/>
      <c r="R466" s="11" t="n"/>
      <c r="S466" s="11" t="n"/>
      <c r="T466" s="12" t="n"/>
      <c r="U466" s="115" t="n"/>
    </row>
    <row r="467" hidden="1" outlineLevel="3">
      <c r="A467" s="8" t="n"/>
      <c r="B467" s="22" t="n"/>
      <c r="C467" s="115" t="n"/>
      <c r="D467" s="133">
        <f>DADOS_AM!$GU$8</f>
        <v/>
      </c>
      <c r="E467" s="14" t="n"/>
      <c r="F467" s="14" t="n"/>
      <c r="G467" s="14" t="n"/>
      <c r="H467" s="15" t="n"/>
      <c r="I467" s="115" t="n"/>
      <c r="J467" s="133">
        <f>DADOS_AM!$GU$9</f>
        <v/>
      </c>
      <c r="K467" s="14" t="n"/>
      <c r="L467" s="14" t="n"/>
      <c r="M467" s="14" t="n"/>
      <c r="N467" s="15" t="n"/>
      <c r="O467" s="115" t="n"/>
      <c r="P467" s="133">
        <f>DADOS_AM!$GU$10</f>
        <v/>
      </c>
      <c r="Q467" s="14" t="n"/>
      <c r="R467" s="14" t="n"/>
      <c r="S467" s="14" t="n"/>
      <c r="T467" s="15"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6" t="n"/>
      <c r="H469" s="17" t="n"/>
      <c r="I469" s="115" t="n"/>
      <c r="J469" s="16" t="n"/>
      <c r="N469" s="17" t="n"/>
      <c r="O469" s="115" t="n"/>
      <c r="P469" s="16" t="n"/>
      <c r="T469" s="17" t="n"/>
      <c r="U469" s="115" t="n"/>
    </row>
    <row r="470" hidden="1" outlineLevel="3">
      <c r="A470" s="8" t="n"/>
      <c r="B470" s="22" t="n"/>
      <c r="C470" s="115" t="n"/>
      <c r="D470" s="16" t="n"/>
      <c r="H470" s="17" t="n"/>
      <c r="I470" s="115" t="n"/>
      <c r="J470" s="16" t="n"/>
      <c r="N470" s="17" t="n"/>
      <c r="O470" s="115" t="n"/>
      <c r="P470" s="16" t="n"/>
      <c r="T470" s="17" t="n"/>
      <c r="U470" s="115" t="n"/>
    </row>
    <row r="471" hidden="1" outlineLevel="3">
      <c r="A471" s="8" t="n"/>
      <c r="B471" s="22" t="n"/>
      <c r="C471" s="115" t="n"/>
      <c r="D471" s="16" t="n"/>
      <c r="H471" s="17" t="n"/>
      <c r="I471" s="115" t="n"/>
      <c r="J471" s="16" t="n"/>
      <c r="N471" s="17" t="n"/>
      <c r="O471" s="115" t="n"/>
      <c r="P471" s="16" t="n"/>
      <c r="T471" s="17" t="n"/>
      <c r="U471" s="115" t="n"/>
    </row>
    <row r="472" hidden="1" outlineLevel="3">
      <c r="A472" s="8" t="n"/>
      <c r="B472" s="22" t="n"/>
      <c r="C472" s="115" t="n"/>
      <c r="D472" s="16" t="n"/>
      <c r="H472" s="17" t="n"/>
      <c r="I472" s="115" t="n"/>
      <c r="J472" s="16" t="n"/>
      <c r="N472" s="17" t="n"/>
      <c r="O472" s="115" t="n"/>
      <c r="P472" s="16" t="n"/>
      <c r="T472" s="17" t="n"/>
      <c r="U472" s="115" t="n"/>
    </row>
    <row r="473" hidden="1" outlineLevel="3">
      <c r="A473" s="8" t="n"/>
      <c r="B473" s="22" t="n"/>
      <c r="C473" s="115" t="n"/>
      <c r="D473" s="16" t="n"/>
      <c r="H473" s="17" t="n"/>
      <c r="I473" s="115" t="n"/>
      <c r="J473" s="16" t="n"/>
      <c r="N473" s="17" t="n"/>
      <c r="O473" s="115" t="n"/>
      <c r="P473" s="16" t="n"/>
      <c r="T473" s="17" t="n"/>
      <c r="U473" s="115" t="n"/>
    </row>
    <row r="474" hidden="1" outlineLevel="3">
      <c r="A474" s="8" t="n"/>
      <c r="B474" s="22" t="n"/>
      <c r="C474" s="115" t="n"/>
      <c r="D474" s="16" t="n"/>
      <c r="H474" s="17" t="n"/>
      <c r="I474" s="115" t="n"/>
      <c r="J474" s="16" t="n"/>
      <c r="N474" s="17" t="n"/>
      <c r="O474" s="115" t="n"/>
      <c r="P474" s="16" t="n"/>
      <c r="T474" s="17" t="n"/>
      <c r="U474" s="115" t="n"/>
    </row>
    <row r="475" hidden="1" outlineLevel="3">
      <c r="A475" s="8" t="n"/>
      <c r="B475" s="22" t="n"/>
      <c r="C475" s="115" t="n"/>
      <c r="D475" s="16" t="n"/>
      <c r="H475" s="17" t="n"/>
      <c r="I475" s="115" t="n"/>
      <c r="J475" s="16" t="n"/>
      <c r="N475" s="17" t="n"/>
      <c r="O475" s="115" t="n"/>
      <c r="P475" s="16" t="n"/>
      <c r="T475" s="17" t="n"/>
      <c r="U475" s="115" t="n"/>
    </row>
    <row r="476" hidden="1" outlineLevel="3">
      <c r="A476" s="8" t="n"/>
      <c r="B476" s="22" t="n"/>
      <c r="C476" s="115" t="n"/>
      <c r="D476" s="16" t="n"/>
      <c r="H476" s="17" t="n"/>
      <c r="I476" s="115" t="n"/>
      <c r="J476" s="16" t="n"/>
      <c r="N476" s="17" t="n"/>
      <c r="O476" s="115" t="n"/>
      <c r="P476" s="16" t="n"/>
      <c r="T476" s="17" t="n"/>
      <c r="U476" s="115" t="n"/>
    </row>
    <row r="477" hidden="1" outlineLevel="3">
      <c r="A477" s="8" t="n"/>
      <c r="B477" s="22" t="n"/>
      <c r="C477" s="115" t="n"/>
      <c r="D477" s="16" t="n"/>
      <c r="H477" s="17" t="n"/>
      <c r="I477" s="115" t="n"/>
      <c r="J477" s="16" t="n"/>
      <c r="N477" s="17" t="n"/>
      <c r="O477" s="115" t="n"/>
      <c r="P477" s="16" t="n"/>
      <c r="T477" s="17" t="n"/>
      <c r="U477" s="115" t="n"/>
    </row>
    <row r="478" hidden="1" outlineLevel="3">
      <c r="A478" s="8" t="n"/>
      <c r="B478" s="22" t="n"/>
      <c r="C478" s="115" t="n"/>
      <c r="D478" s="18" t="n"/>
      <c r="E478" s="19" t="n"/>
      <c r="F478" s="19" t="n"/>
      <c r="G478" s="19" t="n"/>
      <c r="H478" s="20" t="n"/>
      <c r="I478" s="115" t="n"/>
      <c r="J478" s="18" t="n"/>
      <c r="K478" s="19" t="n"/>
      <c r="L478" s="19" t="n"/>
      <c r="M478" s="19" t="n"/>
      <c r="N478" s="20" t="n"/>
      <c r="O478" s="115" t="n"/>
      <c r="P478" s="18" t="n"/>
      <c r="Q478" s="19" t="n"/>
      <c r="R478" s="19" t="n"/>
      <c r="S478" s="19" t="n"/>
      <c r="T478" s="20" t="n"/>
      <c r="U478" s="115" t="n"/>
    </row>
    <row r="479" hidden="1" outlineLevel="3">
      <c r="A479" s="8" t="n"/>
      <c r="B479" s="22" t="n"/>
      <c r="C479" s="115" t="n"/>
      <c r="D479" s="52" t="inlineStr">
        <is>
          <t>O REFINO ESCALA</t>
        </is>
      </c>
      <c r="E479" s="134">
        <f>DADOS_AM!$GT$8</f>
        <v/>
      </c>
      <c r="F479" s="11" t="n"/>
      <c r="G479" s="11" t="n"/>
      <c r="H479" s="12" t="n"/>
      <c r="I479" s="115" t="n"/>
      <c r="J479" s="52" t="inlineStr">
        <is>
          <t>O REFINO ESCALA</t>
        </is>
      </c>
      <c r="K479" s="134">
        <f>DADOS_AM!$GT$9</f>
        <v/>
      </c>
      <c r="L479" s="11" t="n"/>
      <c r="M479" s="11" t="n"/>
      <c r="N479" s="12" t="n"/>
      <c r="O479" s="115" t="n"/>
      <c r="P479" s="52" t="inlineStr">
        <is>
          <t>O REFINO ESCALA</t>
        </is>
      </c>
      <c r="Q479" s="134">
        <f>DADOS_AM!$GT$10</f>
        <v/>
      </c>
      <c r="R479" s="11" t="n"/>
      <c r="S479" s="11" t="n"/>
      <c r="T479" s="12" t="n"/>
      <c r="U479" s="115" t="n"/>
    </row>
    <row r="480" hidden="1" outlineLevel="3">
      <c r="A480" s="8" t="n"/>
      <c r="B480" s="22" t="n"/>
      <c r="C480" s="115" t="n"/>
      <c r="D480" s="52" t="inlineStr">
        <is>
          <t>SEU TEXTO</t>
        </is>
      </c>
      <c r="E480" s="119" t="n"/>
      <c r="F480" s="14" t="n"/>
      <c r="G480" s="14" t="n"/>
      <c r="H480" s="15" t="n"/>
      <c r="I480" s="115" t="n"/>
      <c r="J480" s="52" t="inlineStr">
        <is>
          <t>SEU TEXTO</t>
        </is>
      </c>
      <c r="K480" s="119" t="n"/>
      <c r="L480" s="14" t="n"/>
      <c r="M480" s="14" t="n"/>
      <c r="N480" s="15" t="n"/>
      <c r="O480" s="115" t="n"/>
      <c r="P480" s="52" t="inlineStr">
        <is>
          <t>SEU TEXTO</t>
        </is>
      </c>
      <c r="Q480" s="119" t="n"/>
      <c r="R480" s="14" t="n"/>
      <c r="S480" s="14" t="n"/>
      <c r="T480" s="15" t="n"/>
      <c r="U480" s="115" t="n"/>
    </row>
    <row r="481" hidden="1" outlineLevel="3">
      <c r="A481" s="8" t="n"/>
      <c r="B481" s="22" t="n"/>
      <c r="C481" s="115" t="n"/>
      <c r="D481" s="121" t="n"/>
      <c r="E481" s="18" t="n"/>
      <c r="F481" s="19" t="n"/>
      <c r="G481" s="19" t="n"/>
      <c r="H481" s="20" t="n"/>
      <c r="I481" s="115" t="n"/>
      <c r="J481" s="121" t="n"/>
      <c r="K481" s="18" t="n"/>
      <c r="L481" s="19" t="n"/>
      <c r="M481" s="19" t="n"/>
      <c r="N481" s="20" t="n"/>
      <c r="O481" s="115" t="n"/>
      <c r="P481" s="121" t="n"/>
      <c r="Q481" s="18" t="n"/>
      <c r="R481" s="19" t="n"/>
      <c r="S481" s="19" t="n"/>
      <c r="T481" s="20" t="n"/>
      <c r="U481" s="115" t="n"/>
    </row>
    <row r="482" hidden="1" outlineLevel="2">
      <c r="A482" s="8" t="n"/>
      <c r="B482" s="22"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row>
    <row r="483" hidden="1" outlineLevel="2">
      <c r="A483" s="8" t="n"/>
      <c r="B483" s="22" t="n"/>
      <c r="C483" s="115" t="n"/>
      <c r="D483" s="131" t="n"/>
      <c r="E483" s="11" t="n"/>
      <c r="F483" s="12" t="n"/>
      <c r="G483" s="126">
        <f>DADOS_AM!$GS$11</f>
        <v/>
      </c>
      <c r="H483" s="12" t="n"/>
      <c r="I483" s="115" t="n"/>
      <c r="J483" s="131" t="n"/>
      <c r="K483" s="11" t="n"/>
      <c r="L483" s="12" t="n"/>
      <c r="M483" s="126">
        <f>DADOS_AM!$GS$12</f>
        <v/>
      </c>
      <c r="N483" s="12" t="n"/>
      <c r="O483" s="115" t="n"/>
      <c r="P483" s="131" t="n"/>
      <c r="Q483" s="11" t="n"/>
      <c r="R483" s="12" t="n"/>
      <c r="S483" s="126">
        <f>DADOS_AM!$GS$13</f>
        <v/>
      </c>
      <c r="T483" s="12" t="n"/>
      <c r="U483" s="115" t="n"/>
    </row>
    <row r="484" hidden="1" outlineLevel="2">
      <c r="A484" s="8" t="n"/>
      <c r="B484" s="22" t="n"/>
      <c r="C484" s="115" t="n"/>
      <c r="D484" s="132">
        <f>DADOS_AM!$GR$11</f>
        <v/>
      </c>
      <c r="E484" s="14" t="n"/>
      <c r="F484" s="14" t="n"/>
      <c r="G484" s="14" t="n"/>
      <c r="H484" s="15" t="n"/>
      <c r="I484" s="115" t="n"/>
      <c r="J484" s="132">
        <f>DADOS_AM!$GR$12</f>
        <v/>
      </c>
      <c r="K484" s="14" t="n"/>
      <c r="L484" s="14" t="n"/>
      <c r="M484" s="14" t="n"/>
      <c r="N484" s="15" t="n"/>
      <c r="O484" s="115" t="n"/>
      <c r="P484" s="132">
        <f>DADOS_AM!$GR$13</f>
        <v/>
      </c>
      <c r="Q484" s="14" t="n"/>
      <c r="R484" s="14" t="n"/>
      <c r="S484" s="14" t="n"/>
      <c r="T484" s="15" t="n"/>
      <c r="U484" s="115" t="n"/>
    </row>
    <row r="485" hidden="1" outlineLevel="2">
      <c r="A485" s="8" t="n"/>
      <c r="B485" s="22" t="n"/>
      <c r="C485" s="115" t="n"/>
      <c r="D485" s="18" t="n"/>
      <c r="E485" s="19" t="n"/>
      <c r="F485" s="19" t="n"/>
      <c r="G485" s="19" t="n"/>
      <c r="H485" s="20" t="n"/>
      <c r="I485" s="115" t="n"/>
      <c r="J485" s="18" t="n"/>
      <c r="K485" s="19" t="n"/>
      <c r="L485" s="19" t="n"/>
      <c r="M485" s="19" t="n"/>
      <c r="N485" s="20" t="n"/>
      <c r="O485" s="115" t="n"/>
      <c r="P485" s="18" t="n"/>
      <c r="Q485" s="19" t="n"/>
      <c r="R485" s="19" t="n"/>
      <c r="S485" s="19" t="n"/>
      <c r="T485" s="20" t="n"/>
      <c r="U485" s="115" t="n"/>
    </row>
    <row r="486" hidden="1" outlineLevel="3">
      <c r="A486" s="8" t="n"/>
      <c r="B486" s="22" t="n"/>
      <c r="C486" s="115" t="n"/>
      <c r="D486" s="52" t="inlineStr">
        <is>
          <t>O QUE FAZ</t>
        </is>
      </c>
      <c r="E486" s="11" t="n"/>
      <c r="F486" s="11" t="n"/>
      <c r="G486" s="11" t="n"/>
      <c r="H486" s="12" t="n"/>
      <c r="I486" s="115" t="n"/>
      <c r="J486" s="52" t="inlineStr">
        <is>
          <t>O QUE FAZ</t>
        </is>
      </c>
      <c r="K486" s="11" t="n"/>
      <c r="L486" s="11" t="n"/>
      <c r="M486" s="11" t="n"/>
      <c r="N486" s="12" t="n"/>
      <c r="O486" s="115" t="n"/>
      <c r="P486" s="52" t="inlineStr">
        <is>
          <t>O QUE FAZ</t>
        </is>
      </c>
      <c r="Q486" s="11" t="n"/>
      <c r="R486" s="11" t="n"/>
      <c r="S486" s="11" t="n"/>
      <c r="T486" s="12" t="n"/>
      <c r="U486" s="115" t="n"/>
    </row>
    <row r="487" hidden="1" outlineLevel="3">
      <c r="A487" s="8" t="n"/>
      <c r="B487" s="22" t="n"/>
      <c r="C487" s="115" t="n"/>
      <c r="D487" s="133">
        <f>DADOS_AM!$GU$11</f>
        <v/>
      </c>
      <c r="E487" s="14" t="n"/>
      <c r="F487" s="14" t="n"/>
      <c r="G487" s="14" t="n"/>
      <c r="H487" s="15" t="n"/>
      <c r="I487" s="115" t="n"/>
      <c r="J487" s="133">
        <f>DADOS_AM!$GU$12</f>
        <v/>
      </c>
      <c r="K487" s="14" t="n"/>
      <c r="L487" s="14" t="n"/>
      <c r="M487" s="14" t="n"/>
      <c r="N487" s="15" t="n"/>
      <c r="O487" s="115" t="n"/>
      <c r="P487" s="133">
        <f>DADOS_AM!$GU$13</f>
        <v/>
      </c>
      <c r="Q487" s="14" t="n"/>
      <c r="R487" s="14" t="n"/>
      <c r="S487" s="14" t="n"/>
      <c r="T487" s="15" t="n"/>
      <c r="U487" s="115" t="n"/>
    </row>
    <row r="488" hidden="1" outlineLevel="3">
      <c r="A488" s="8" t="n"/>
      <c r="B488" s="22" t="n"/>
      <c r="C488" s="115" t="n"/>
      <c r="D488" s="16" t="n"/>
      <c r="H488" s="17" t="n"/>
      <c r="I488" s="115" t="n"/>
      <c r="J488" s="16" t="n"/>
      <c r="N488" s="17" t="n"/>
      <c r="O488" s="115" t="n"/>
      <c r="P488" s="16" t="n"/>
      <c r="T488" s="17" t="n"/>
      <c r="U488" s="115" t="n"/>
    </row>
    <row r="489" hidden="1" outlineLevel="3">
      <c r="A489" s="8" t="n"/>
      <c r="B489" s="22" t="n"/>
      <c r="C489" s="115" t="n"/>
      <c r="D489" s="16" t="n"/>
      <c r="H489" s="17" t="n"/>
      <c r="I489" s="115" t="n"/>
      <c r="J489" s="16" t="n"/>
      <c r="N489" s="17" t="n"/>
      <c r="O489" s="115" t="n"/>
      <c r="P489" s="16" t="n"/>
      <c r="T489" s="17" t="n"/>
      <c r="U489" s="115" t="n"/>
    </row>
    <row r="490" hidden="1" outlineLevel="3">
      <c r="A490" s="8" t="n"/>
      <c r="B490" s="22" t="n"/>
      <c r="C490" s="115" t="n"/>
      <c r="D490" s="16" t="n"/>
      <c r="H490" s="17" t="n"/>
      <c r="I490" s="115" t="n"/>
      <c r="J490" s="16" t="n"/>
      <c r="N490" s="17" t="n"/>
      <c r="O490" s="115" t="n"/>
      <c r="P490" s="16" t="n"/>
      <c r="T490" s="17" t="n"/>
      <c r="U490" s="115" t="n"/>
    </row>
    <row r="491" hidden="1" outlineLevel="3">
      <c r="A491" s="8" t="n"/>
      <c r="B491" s="22" t="n"/>
      <c r="C491" s="115" t="n"/>
      <c r="D491" s="16" t="n"/>
      <c r="H491" s="17" t="n"/>
      <c r="I491" s="115" t="n"/>
      <c r="J491" s="16" t="n"/>
      <c r="N491" s="17" t="n"/>
      <c r="O491" s="115" t="n"/>
      <c r="P491" s="16" t="n"/>
      <c r="T491" s="17" t="n"/>
      <c r="U491" s="115" t="n"/>
    </row>
    <row r="492" hidden="1" outlineLevel="3">
      <c r="A492" s="8" t="n"/>
      <c r="B492" s="22" t="n"/>
      <c r="C492" s="115" t="n"/>
      <c r="D492" s="16" t="n"/>
      <c r="H492" s="17" t="n"/>
      <c r="I492" s="115" t="n"/>
      <c r="J492" s="16" t="n"/>
      <c r="N492" s="17" t="n"/>
      <c r="O492" s="115" t="n"/>
      <c r="P492" s="16" t="n"/>
      <c r="T492" s="17" t="n"/>
      <c r="U492" s="115" t="n"/>
    </row>
    <row r="493" hidden="1" outlineLevel="3">
      <c r="A493" s="8" t="n"/>
      <c r="B493" s="22" t="n"/>
      <c r="C493" s="115" t="n"/>
      <c r="D493" s="16" t="n"/>
      <c r="H493" s="17" t="n"/>
      <c r="I493" s="115" t="n"/>
      <c r="J493" s="16" t="n"/>
      <c r="N493" s="17" t="n"/>
      <c r="O493" s="115" t="n"/>
      <c r="P493" s="16" t="n"/>
      <c r="T493" s="17" t="n"/>
      <c r="U493" s="115" t="n"/>
    </row>
    <row r="494" hidden="1" outlineLevel="3">
      <c r="A494" s="8" t="n"/>
      <c r="B494" s="22" t="n"/>
      <c r="C494" s="115" t="n"/>
      <c r="D494" s="16" t="n"/>
      <c r="H494" s="17" t="n"/>
      <c r="I494" s="115" t="n"/>
      <c r="J494" s="16" t="n"/>
      <c r="N494" s="17" t="n"/>
      <c r="O494" s="115" t="n"/>
      <c r="P494" s="16" t="n"/>
      <c r="T494" s="17" t="n"/>
      <c r="U494" s="115" t="n"/>
    </row>
    <row r="495" hidden="1" outlineLevel="3">
      <c r="A495" s="8" t="n"/>
      <c r="B495" s="22" t="n"/>
      <c r="C495" s="115" t="n"/>
      <c r="D495" s="16" t="n"/>
      <c r="H495" s="17" t="n"/>
      <c r="I495" s="115" t="n"/>
      <c r="J495" s="16" t="n"/>
      <c r="N495" s="17" t="n"/>
      <c r="O495" s="115" t="n"/>
      <c r="P495" s="16" t="n"/>
      <c r="T495" s="17" t="n"/>
      <c r="U495" s="115" t="n"/>
    </row>
    <row r="496" hidden="1" outlineLevel="3">
      <c r="A496" s="8" t="n"/>
      <c r="B496" s="22" t="n"/>
      <c r="C496" s="115" t="n"/>
      <c r="D496" s="16" t="n"/>
      <c r="H496" s="17" t="n"/>
      <c r="I496" s="115" t="n"/>
      <c r="J496" s="16" t="n"/>
      <c r="N496" s="17" t="n"/>
      <c r="O496" s="115" t="n"/>
      <c r="P496" s="16" t="n"/>
      <c r="T496" s="17" t="n"/>
      <c r="U496" s="115" t="n"/>
    </row>
    <row r="497" hidden="1" outlineLevel="3">
      <c r="A497" s="8" t="n"/>
      <c r="B497" s="22" t="n"/>
      <c r="C497" s="115" t="n"/>
      <c r="D497" s="16" t="n"/>
      <c r="H497" s="17" t="n"/>
      <c r="I497" s="115" t="n"/>
      <c r="J497" s="16" t="n"/>
      <c r="N497" s="17" t="n"/>
      <c r="O497" s="115" t="n"/>
      <c r="P497" s="16" t="n"/>
      <c r="T497" s="17" t="n"/>
      <c r="U497" s="115" t="n"/>
    </row>
    <row r="498" hidden="1" outlineLevel="3">
      <c r="A498" s="8" t="n"/>
      <c r="B498" s="22" t="n"/>
      <c r="C498" s="115" t="n"/>
      <c r="D498" s="18" t="n"/>
      <c r="E498" s="19" t="n"/>
      <c r="F498" s="19" t="n"/>
      <c r="G498" s="19" t="n"/>
      <c r="H498" s="20" t="n"/>
      <c r="I498" s="115" t="n"/>
      <c r="J498" s="18" t="n"/>
      <c r="K498" s="19" t="n"/>
      <c r="L498" s="19" t="n"/>
      <c r="M498" s="19" t="n"/>
      <c r="N498" s="20" t="n"/>
      <c r="O498" s="115" t="n"/>
      <c r="P498" s="18" t="n"/>
      <c r="Q498" s="19" t="n"/>
      <c r="R498" s="19" t="n"/>
      <c r="S498" s="19" t="n"/>
      <c r="T498" s="20" t="n"/>
      <c r="U498" s="115" t="n"/>
    </row>
    <row r="499" hidden="1" outlineLevel="3">
      <c r="A499" s="8" t="n"/>
      <c r="B499" s="22" t="n"/>
      <c r="C499" s="115" t="n"/>
      <c r="D499" s="52" t="inlineStr">
        <is>
          <t>O REFINO ESCALA</t>
        </is>
      </c>
      <c r="E499" s="134">
        <f>DADOS_AM!$GT$11</f>
        <v/>
      </c>
      <c r="F499" s="11" t="n"/>
      <c r="G499" s="11" t="n"/>
      <c r="H499" s="12" t="n"/>
      <c r="I499" s="115" t="n"/>
      <c r="J499" s="52" t="inlineStr">
        <is>
          <t>O REFINO ESCALA</t>
        </is>
      </c>
      <c r="K499" s="134">
        <f>DADOS_AM!$GT$12</f>
        <v/>
      </c>
      <c r="L499" s="11" t="n"/>
      <c r="M499" s="11" t="n"/>
      <c r="N499" s="12" t="n"/>
      <c r="O499" s="115" t="n"/>
      <c r="P499" s="52" t="inlineStr">
        <is>
          <t>O REFINO ESCALA</t>
        </is>
      </c>
      <c r="Q499" s="134">
        <f>DADOS_AM!$GT$13</f>
        <v/>
      </c>
      <c r="R499" s="11" t="n"/>
      <c r="S499" s="11" t="n"/>
      <c r="T499" s="12" t="n"/>
      <c r="U499" s="115" t="n"/>
    </row>
    <row r="500" hidden="1" outlineLevel="3">
      <c r="A500" s="8" t="n"/>
      <c r="B500" s="22" t="n"/>
      <c r="C500" s="115" t="n"/>
      <c r="D500" s="52" t="inlineStr">
        <is>
          <t>SEU TEXTO</t>
        </is>
      </c>
      <c r="E500" s="119" t="n"/>
      <c r="F500" s="14" t="n"/>
      <c r="G500" s="14" t="n"/>
      <c r="H500" s="15" t="n"/>
      <c r="I500" s="115" t="n"/>
      <c r="J500" s="52" t="inlineStr">
        <is>
          <t>SEU TEXTO</t>
        </is>
      </c>
      <c r="K500" s="119" t="n"/>
      <c r="L500" s="14" t="n"/>
      <c r="M500" s="14" t="n"/>
      <c r="N500" s="15" t="n"/>
      <c r="O500" s="115" t="n"/>
      <c r="P500" s="52" t="inlineStr">
        <is>
          <t>SEU TEXTO</t>
        </is>
      </c>
      <c r="Q500" s="119" t="n"/>
      <c r="R500" s="14" t="n"/>
      <c r="S500" s="14" t="n"/>
      <c r="T500" s="15" t="n"/>
      <c r="U500" s="115" t="n"/>
    </row>
    <row r="501" hidden="1" outlineLevel="3">
      <c r="A501" s="8" t="n"/>
      <c r="B501" s="22" t="n"/>
      <c r="C501" s="115" t="n"/>
      <c r="D501" s="121" t="n"/>
      <c r="E501" s="18" t="n"/>
      <c r="F501" s="19" t="n"/>
      <c r="G501" s="19" t="n"/>
      <c r="H501" s="20" t="n"/>
      <c r="I501" s="115" t="n"/>
      <c r="J501" s="121" t="n"/>
      <c r="K501" s="18" t="n"/>
      <c r="L501" s="19" t="n"/>
      <c r="M501" s="19" t="n"/>
      <c r="N501" s="20" t="n"/>
      <c r="O501" s="115" t="n"/>
      <c r="P501" s="121" t="n"/>
      <c r="Q501" s="18" t="n"/>
      <c r="R501" s="19" t="n"/>
      <c r="S501" s="19" t="n"/>
      <c r="T501" s="20" t="n"/>
      <c r="U501" s="115" t="n"/>
    </row>
    <row r="502">
      <c r="A502" s="8" t="n"/>
      <c r="B502" s="22"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row>
    <row r="503">
      <c r="A503" s="8" t="n"/>
      <c r="B503" s="22" t="n"/>
      <c r="C503" s="115" t="n"/>
      <c r="D503" s="118" t="inlineStr">
        <is>
          <t>PACTOS</t>
        </is>
      </c>
      <c r="E503" s="14" t="n"/>
      <c r="F503" s="14" t="n"/>
      <c r="G503" s="14" t="n"/>
      <c r="H503" s="14" t="n"/>
      <c r="I503" s="14" t="n"/>
      <c r="J503" s="14" t="n"/>
      <c r="K503" s="14" t="n"/>
      <c r="L503" s="14" t="n"/>
      <c r="M503" s="14" t="n"/>
      <c r="N503" s="14" t="n"/>
      <c r="O503" s="14" t="n"/>
      <c r="P503" s="14" t="n"/>
      <c r="Q503" s="14" t="n"/>
      <c r="R503" s="14" t="n"/>
      <c r="S503" s="14" t="n"/>
      <c r="T503" s="15" t="n"/>
      <c r="U503" s="115" t="n"/>
    </row>
    <row r="504">
      <c r="A504" s="8" t="n"/>
      <c r="B504" s="22" t="n"/>
      <c r="C504" s="115" t="n"/>
      <c r="D504" s="18" t="n"/>
      <c r="E504" s="19" t="n"/>
      <c r="F504" s="19" t="n"/>
      <c r="G504" s="19" t="n"/>
      <c r="H504" s="19" t="n"/>
      <c r="I504" s="19" t="n"/>
      <c r="J504" s="19" t="n"/>
      <c r="K504" s="19" t="n"/>
      <c r="L504" s="19" t="n"/>
      <c r="M504" s="19" t="n"/>
      <c r="N504" s="19" t="n"/>
      <c r="O504" s="19" t="n"/>
      <c r="P504" s="19" t="n"/>
      <c r="Q504" s="19" t="n"/>
      <c r="R504" s="19" t="n"/>
      <c r="S504" s="19" t="n"/>
      <c r="T504" s="20" t="n"/>
      <c r="U504" s="115" t="n"/>
    </row>
    <row r="505" outlineLevel="1">
      <c r="A505" s="8" t="n"/>
      <c r="B505" s="22" t="n"/>
      <c r="C505" s="115" t="n"/>
      <c r="D505" s="52" t="inlineStr">
        <is>
          <t>PERMANENTES</t>
        </is>
      </c>
      <c r="E505" s="12" t="n"/>
      <c r="F505" s="52" t="inlineStr">
        <is>
          <t>COMO O PACTO SE FECHA</t>
        </is>
      </c>
      <c r="G505" s="11" t="n"/>
      <c r="H505" s="11" t="n"/>
      <c r="I505" s="11" t="n"/>
      <c r="J505" s="11" t="n"/>
      <c r="K505" s="11" t="n"/>
      <c r="L505" s="11" t="n"/>
      <c r="M505" s="11" t="n"/>
      <c r="N505" s="11" t="n"/>
      <c r="O505" s="11" t="n"/>
      <c r="P505" s="11" t="n"/>
      <c r="Q505" s="11" t="n"/>
      <c r="R505" s="11" t="n"/>
      <c r="S505" s="11" t="n"/>
      <c r="T505" s="12" t="n"/>
      <c r="U505" s="115" t="n"/>
    </row>
    <row r="506" outlineLevel="1">
      <c r="A506" s="8" t="n"/>
      <c r="B506" s="22" t="n"/>
      <c r="C506" s="115" t="n"/>
      <c r="D506" s="89">
        <f>DADOS_AM!$HK$41</f>
        <v/>
      </c>
      <c r="E506" s="15" t="n"/>
      <c r="F506" s="129" t="inlineStr">
        <is>
          <t>Permanente: fora de cena, com o mestre lendo. Temporário: Ação Bônus, no seu turno. Promessa: entre duas partes, as duas aceitando. De restrição: na criação, junto da Origem ou da técnica.</t>
        </is>
      </c>
      <c r="G506" s="14" t="n"/>
      <c r="H506" s="14" t="n"/>
      <c r="I506" s="14" t="n"/>
      <c r="J506" s="14" t="n"/>
      <c r="K506" s="14" t="n"/>
      <c r="L506" s="14" t="n"/>
      <c r="M506" s="14" t="n"/>
      <c r="N506" s="14" t="n"/>
      <c r="O506" s="14" t="n"/>
      <c r="P506" s="14" t="n"/>
      <c r="Q506" s="14" t="n"/>
      <c r="R506" s="14" t="n"/>
      <c r="S506" s="14" t="n"/>
      <c r="T506" s="15" t="n"/>
      <c r="U506" s="115" t="n"/>
    </row>
    <row r="507" outlineLevel="1">
      <c r="A507" s="8" t="n"/>
      <c r="B507" s="22" t="n"/>
      <c r="C507" s="115" t="n"/>
      <c r="D507" s="18" t="n"/>
      <c r="E507" s="20" t="n"/>
      <c r="F507" s="18" t="n"/>
      <c r="G507" s="19" t="n"/>
      <c r="H507" s="19" t="n"/>
      <c r="I507" s="19" t="n"/>
      <c r="J507" s="19" t="n"/>
      <c r="K507" s="19" t="n"/>
      <c r="L507" s="19" t="n"/>
      <c r="M507" s="19" t="n"/>
      <c r="N507" s="19" t="n"/>
      <c r="O507" s="19" t="n"/>
      <c r="P507" s="19" t="n"/>
      <c r="Q507" s="19" t="n"/>
      <c r="R507" s="19" t="n"/>
      <c r="S507" s="19" t="n"/>
      <c r="T507" s="20" t="n"/>
      <c r="U507" s="115" t="n"/>
    </row>
    <row r="508" outlineLevel="1">
      <c r="A508" s="8" t="n"/>
      <c r="B508" s="22"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row>
    <row r="509" outlineLevel="1">
      <c r="A509" s="8" t="n"/>
      <c r="B509" s="22" t="n"/>
      <c r="C509" s="115" t="n"/>
      <c r="D509" s="52" t="inlineStr">
        <is>
          <t>PACTO 1</t>
        </is>
      </c>
      <c r="E509" s="124" t="n"/>
      <c r="F509" s="11" t="n"/>
      <c r="G509" s="11" t="n"/>
      <c r="H509" s="11" t="n"/>
      <c r="I509" s="11" t="n"/>
      <c r="J509" s="11" t="n"/>
      <c r="K509" s="12" t="n"/>
      <c r="L509" s="120" t="n"/>
      <c r="M509" s="11" t="n"/>
      <c r="N509" s="12" t="n"/>
      <c r="O509" s="115" t="n"/>
      <c r="P509" s="120" t="n"/>
      <c r="Q509" s="11" t="n"/>
      <c r="R509" s="11" t="n"/>
      <c r="S509" s="11" t="n"/>
      <c r="T509" s="12" t="n"/>
      <c r="U509" s="115" t="n"/>
    </row>
    <row r="510" outlineLevel="2">
      <c r="A510" s="8" t="n"/>
      <c r="B510" s="22" t="n"/>
      <c r="C510" s="115" t="n"/>
      <c r="D510" s="52" t="inlineStr">
        <is>
          <t>O QUE EU DOU</t>
        </is>
      </c>
      <c r="E510" s="11" t="n"/>
      <c r="F510" s="11" t="n"/>
      <c r="G510" s="11" t="n"/>
      <c r="H510" s="11" t="n"/>
      <c r="I510" s="11" t="n"/>
      <c r="J510" s="11" t="n"/>
      <c r="K510" s="12" t="n"/>
      <c r="L510" s="52" t="inlineStr">
        <is>
          <t>O QUE EU RECEBO</t>
        </is>
      </c>
      <c r="M510" s="11" t="n"/>
      <c r="N510" s="11" t="n"/>
      <c r="O510" s="11" t="n"/>
      <c r="P510" s="11" t="n"/>
      <c r="Q510" s="11" t="n"/>
      <c r="R510" s="11" t="n"/>
      <c r="S510" s="11" t="n"/>
      <c r="T510" s="12" t="n"/>
      <c r="U510" s="115" t="n"/>
    </row>
    <row r="511" outlineLevel="2">
      <c r="A511" s="8" t="n"/>
      <c r="B511" s="22" t="n"/>
      <c r="C511" s="115" t="n"/>
      <c r="D511" s="119" t="n"/>
      <c r="E511" s="14" t="n"/>
      <c r="F511" s="14" t="n"/>
      <c r="G511" s="14" t="n"/>
      <c r="H511" s="14" t="n"/>
      <c r="I511" s="14" t="n"/>
      <c r="J511" s="14" t="n"/>
      <c r="K511" s="15" t="n"/>
      <c r="L511" s="119" t="n"/>
      <c r="M511" s="14" t="n"/>
      <c r="N511" s="14" t="n"/>
      <c r="O511" s="14" t="n"/>
      <c r="P511" s="14" t="n"/>
      <c r="Q511" s="14" t="n"/>
      <c r="R511" s="14" t="n"/>
      <c r="S511" s="14" t="n"/>
      <c r="T511" s="15" t="n"/>
      <c r="U511" s="115" t="n"/>
    </row>
    <row r="512" outlineLevel="2">
      <c r="A512" s="8" t="n"/>
      <c r="B512" s="22" t="n"/>
      <c r="C512" s="115" t="n"/>
      <c r="D512" s="16" t="n"/>
      <c r="K512" s="17" t="n"/>
      <c r="L512" s="16" t="n"/>
      <c r="T512" s="17" t="n"/>
      <c r="U512" s="115" t="n"/>
    </row>
    <row r="513" outlineLevel="2">
      <c r="A513" s="8" t="n"/>
      <c r="B513" s="22" t="n"/>
      <c r="C513" s="115" t="n"/>
      <c r="D513" s="16" t="n"/>
      <c r="K513" s="17" t="n"/>
      <c r="L513" s="16" t="n"/>
      <c r="T513" s="17" t="n"/>
      <c r="U513" s="115" t="n"/>
    </row>
    <row r="514" outlineLevel="2">
      <c r="A514" s="8" t="n"/>
      <c r="B514" s="22" t="n"/>
      <c r="C514" s="115" t="n"/>
      <c r="D514" s="18" t="n"/>
      <c r="E514" s="19" t="n"/>
      <c r="F514" s="19" t="n"/>
      <c r="G514" s="19" t="n"/>
      <c r="H514" s="19" t="n"/>
      <c r="I514" s="19" t="n"/>
      <c r="J514" s="19" t="n"/>
      <c r="K514" s="20" t="n"/>
      <c r="L514" s="18" t="n"/>
      <c r="M514" s="19" t="n"/>
      <c r="N514" s="19" t="n"/>
      <c r="O514" s="19" t="n"/>
      <c r="P514" s="19" t="n"/>
      <c r="Q514" s="19" t="n"/>
      <c r="R514" s="19" t="n"/>
      <c r="S514" s="19" t="n"/>
      <c r="T514" s="20" t="n"/>
      <c r="U514" s="115" t="n"/>
    </row>
    <row r="515" outlineLevel="2">
      <c r="A515" s="8" t="n"/>
      <c r="B515" s="22" t="n"/>
      <c r="C515" s="115" t="n"/>
      <c r="D515" s="52" t="inlineStr">
        <is>
          <t>CLÁUSULA, COM QUEM FOI FECHADO E O QUE ACONTECE SE QUEBRAR</t>
        </is>
      </c>
      <c r="E515" s="11" t="n"/>
      <c r="F515" s="11" t="n"/>
      <c r="G515" s="11" t="n"/>
      <c r="H515" s="11" t="n"/>
      <c r="I515" s="11" t="n"/>
      <c r="J515" s="11" t="n"/>
      <c r="K515" s="11" t="n"/>
      <c r="L515" s="11" t="n"/>
      <c r="M515" s="11" t="n"/>
      <c r="N515" s="11" t="n"/>
      <c r="O515" s="11" t="n"/>
      <c r="P515" s="11" t="n"/>
      <c r="Q515" s="11" t="n"/>
      <c r="R515" s="11" t="n"/>
      <c r="S515" s="11" t="n"/>
      <c r="T515" s="12" t="n"/>
      <c r="U515" s="115" t="n"/>
    </row>
    <row r="516" outlineLevel="2">
      <c r="A516" s="8" t="n"/>
      <c r="B516" s="22" t="n"/>
      <c r="C516" s="115" t="n"/>
      <c r="D516" s="119" t="n"/>
      <c r="E516" s="14" t="n"/>
      <c r="F516" s="14" t="n"/>
      <c r="G516" s="14" t="n"/>
      <c r="H516" s="14" t="n"/>
      <c r="I516" s="14" t="n"/>
      <c r="J516" s="14" t="n"/>
      <c r="K516" s="14" t="n"/>
      <c r="L516" s="14" t="n"/>
      <c r="M516" s="14" t="n"/>
      <c r="N516" s="14" t="n"/>
      <c r="O516" s="14" t="n"/>
      <c r="P516" s="14" t="n"/>
      <c r="Q516" s="14" t="n"/>
      <c r="R516" s="14" t="n"/>
      <c r="S516" s="14" t="n"/>
      <c r="T516" s="15" t="n"/>
      <c r="U516" s="115" t="n"/>
    </row>
    <row r="517" outlineLevel="2">
      <c r="A517" s="8" t="n"/>
      <c r="B517" s="22" t="n"/>
      <c r="C517" s="115" t="n"/>
      <c r="D517" s="18" t="n"/>
      <c r="E517" s="19" t="n"/>
      <c r="F517" s="19" t="n"/>
      <c r="G517" s="19" t="n"/>
      <c r="H517" s="19" t="n"/>
      <c r="I517" s="19" t="n"/>
      <c r="J517" s="19" t="n"/>
      <c r="K517" s="19" t="n"/>
      <c r="L517" s="19" t="n"/>
      <c r="M517" s="19" t="n"/>
      <c r="N517" s="19" t="n"/>
      <c r="O517" s="19" t="n"/>
      <c r="P517" s="19" t="n"/>
      <c r="Q517" s="19" t="n"/>
      <c r="R517" s="19" t="n"/>
      <c r="S517" s="19" t="n"/>
      <c r="T517" s="20" t="n"/>
      <c r="U517" s="115" t="n"/>
    </row>
    <row r="518" outlineLevel="1">
      <c r="A518" s="8" t="n"/>
      <c r="B518" s="22"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row>
    <row r="519" outlineLevel="1">
      <c r="A519" s="8" t="n"/>
      <c r="B519" s="22" t="n"/>
      <c r="C519" s="115" t="n"/>
      <c r="D519" s="52" t="inlineStr">
        <is>
          <t>PACTO 2</t>
        </is>
      </c>
      <c r="E519" s="124" t="n"/>
      <c r="F519" s="11" t="n"/>
      <c r="G519" s="11" t="n"/>
      <c r="H519" s="11" t="n"/>
      <c r="I519" s="11" t="n"/>
      <c r="J519" s="11" t="n"/>
      <c r="K519" s="12" t="n"/>
      <c r="L519" s="120" t="n"/>
      <c r="M519" s="11" t="n"/>
      <c r="N519" s="12" t="n"/>
      <c r="O519" s="115" t="n"/>
      <c r="P519" s="120" t="n"/>
      <c r="Q519" s="11" t="n"/>
      <c r="R519" s="11" t="n"/>
      <c r="S519" s="11" t="n"/>
      <c r="T519" s="12" t="n"/>
      <c r="U519" s="115" t="n"/>
    </row>
    <row r="520" hidden="1" outlineLevel="2">
      <c r="A520" s="8" t="n"/>
      <c r="B520" s="22" t="n"/>
      <c r="C520" s="115" t="n"/>
      <c r="D520" s="52" t="inlineStr">
        <is>
          <t>O QUE EU DOU</t>
        </is>
      </c>
      <c r="E520" s="11" t="n"/>
      <c r="F520" s="11" t="n"/>
      <c r="G520" s="11" t="n"/>
      <c r="H520" s="11" t="n"/>
      <c r="I520" s="11" t="n"/>
      <c r="J520" s="11" t="n"/>
      <c r="K520" s="12" t="n"/>
      <c r="L520" s="52" t="inlineStr">
        <is>
          <t>O QUE EU RECEBO</t>
        </is>
      </c>
      <c r="M520" s="11" t="n"/>
      <c r="N520" s="11" t="n"/>
      <c r="O520" s="11" t="n"/>
      <c r="P520" s="11" t="n"/>
      <c r="Q520" s="11" t="n"/>
      <c r="R520" s="11" t="n"/>
      <c r="S520" s="11" t="n"/>
      <c r="T520" s="12" t="n"/>
      <c r="U520" s="115" t="n"/>
    </row>
    <row r="521" hidden="1" outlineLevel="2">
      <c r="A521" s="8" t="n"/>
      <c r="B521" s="22" t="n"/>
      <c r="C521" s="115" t="n"/>
      <c r="D521" s="119" t="n"/>
      <c r="E521" s="14" t="n"/>
      <c r="F521" s="14" t="n"/>
      <c r="G521" s="14" t="n"/>
      <c r="H521" s="14" t="n"/>
      <c r="I521" s="14" t="n"/>
      <c r="J521" s="14" t="n"/>
      <c r="K521" s="15" t="n"/>
      <c r="L521" s="119" t="n"/>
      <c r="M521" s="14" t="n"/>
      <c r="N521" s="14" t="n"/>
      <c r="O521" s="14" t="n"/>
      <c r="P521" s="14" t="n"/>
      <c r="Q521" s="14" t="n"/>
      <c r="R521" s="14" t="n"/>
      <c r="S521" s="14" t="n"/>
      <c r="T521" s="15" t="n"/>
      <c r="U521" s="115" t="n"/>
    </row>
    <row r="522" hidden="1" outlineLevel="2">
      <c r="A522" s="8" t="n"/>
      <c r="B522" s="22" t="n"/>
      <c r="C522" s="115" t="n"/>
      <c r="D522" s="16" t="n"/>
      <c r="K522" s="17" t="n"/>
      <c r="L522" s="16" t="n"/>
      <c r="T522" s="17" t="n"/>
      <c r="U522" s="115" t="n"/>
    </row>
    <row r="523" hidden="1" outlineLevel="2">
      <c r="A523" s="8" t="n"/>
      <c r="B523" s="22" t="n"/>
      <c r="C523" s="115" t="n"/>
      <c r="D523" s="16" t="n"/>
      <c r="K523" s="17" t="n"/>
      <c r="L523" s="16" t="n"/>
      <c r="T523" s="17" t="n"/>
      <c r="U523" s="115" t="n"/>
    </row>
    <row r="524" hidden="1" outlineLevel="2">
      <c r="A524" s="8" t="n"/>
      <c r="B524" s="22" t="n"/>
      <c r="C524" s="115" t="n"/>
      <c r="D524" s="18" t="n"/>
      <c r="E524" s="19" t="n"/>
      <c r="F524" s="19" t="n"/>
      <c r="G524" s="19" t="n"/>
      <c r="H524" s="19" t="n"/>
      <c r="I524" s="19" t="n"/>
      <c r="J524" s="19" t="n"/>
      <c r="K524" s="20" t="n"/>
      <c r="L524" s="18" t="n"/>
      <c r="M524" s="19" t="n"/>
      <c r="N524" s="19" t="n"/>
      <c r="O524" s="19" t="n"/>
      <c r="P524" s="19" t="n"/>
      <c r="Q524" s="19" t="n"/>
      <c r="R524" s="19" t="n"/>
      <c r="S524" s="19" t="n"/>
      <c r="T524" s="20" t="n"/>
      <c r="U524" s="115" t="n"/>
    </row>
    <row r="525" hidden="1" outlineLevel="2">
      <c r="A525" s="8" t="n"/>
      <c r="B525" s="22" t="n"/>
      <c r="C525" s="115" t="n"/>
      <c r="D525" s="52" t="inlineStr">
        <is>
          <t>CLÁUSULA, COM QUEM FOI FECHADO E O QUE ACONTECE SE QUEBRAR</t>
        </is>
      </c>
      <c r="E525" s="11" t="n"/>
      <c r="F525" s="11" t="n"/>
      <c r="G525" s="11" t="n"/>
      <c r="H525" s="11" t="n"/>
      <c r="I525" s="11" t="n"/>
      <c r="J525" s="11" t="n"/>
      <c r="K525" s="11" t="n"/>
      <c r="L525" s="11" t="n"/>
      <c r="M525" s="11" t="n"/>
      <c r="N525" s="11" t="n"/>
      <c r="O525" s="11" t="n"/>
      <c r="P525" s="11" t="n"/>
      <c r="Q525" s="11" t="n"/>
      <c r="R525" s="11" t="n"/>
      <c r="S525" s="11" t="n"/>
      <c r="T525" s="12" t="n"/>
      <c r="U525" s="115" t="n"/>
    </row>
    <row r="526" hidden="1" outlineLevel="2">
      <c r="A526" s="8" t="n"/>
      <c r="B526" s="22" t="n"/>
      <c r="C526" s="115" t="n"/>
      <c r="D526" s="119" t="n"/>
      <c r="E526" s="14" t="n"/>
      <c r="F526" s="14" t="n"/>
      <c r="G526" s="14" t="n"/>
      <c r="H526" s="14" t="n"/>
      <c r="I526" s="14" t="n"/>
      <c r="J526" s="14" t="n"/>
      <c r="K526" s="14" t="n"/>
      <c r="L526" s="14" t="n"/>
      <c r="M526" s="14" t="n"/>
      <c r="N526" s="14" t="n"/>
      <c r="O526" s="14" t="n"/>
      <c r="P526" s="14" t="n"/>
      <c r="Q526" s="14" t="n"/>
      <c r="R526" s="14" t="n"/>
      <c r="S526" s="14" t="n"/>
      <c r="T526" s="15" t="n"/>
      <c r="U526" s="115" t="n"/>
    </row>
    <row r="527" hidden="1" outlineLevel="2">
      <c r="A527" s="8" t="n"/>
      <c r="B527" s="22" t="n"/>
      <c r="C527" s="115" t="n"/>
      <c r="D527" s="18" t="n"/>
      <c r="E527" s="19" t="n"/>
      <c r="F527" s="19" t="n"/>
      <c r="G527" s="19" t="n"/>
      <c r="H527" s="19" t="n"/>
      <c r="I527" s="19" t="n"/>
      <c r="J527" s="19" t="n"/>
      <c r="K527" s="19" t="n"/>
      <c r="L527" s="19" t="n"/>
      <c r="M527" s="19" t="n"/>
      <c r="N527" s="19" t="n"/>
      <c r="O527" s="19" t="n"/>
      <c r="P527" s="19" t="n"/>
      <c r="Q527" s="19" t="n"/>
      <c r="R527" s="19" t="n"/>
      <c r="S527" s="19" t="n"/>
      <c r="T527" s="20" t="n"/>
      <c r="U527" s="115" t="n"/>
    </row>
    <row r="528" outlineLevel="1">
      <c r="A528" s="8" t="n"/>
      <c r="B528" s="22"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row>
    <row r="529" outlineLevel="1">
      <c r="A529" s="8" t="n"/>
      <c r="B529" s="22" t="n"/>
      <c r="C529" s="115" t="n"/>
      <c r="D529" s="52" t="inlineStr">
        <is>
          <t>PACTO 3</t>
        </is>
      </c>
      <c r="E529" s="124" t="n"/>
      <c r="F529" s="11" t="n"/>
      <c r="G529" s="11" t="n"/>
      <c r="H529" s="11" t="n"/>
      <c r="I529" s="11" t="n"/>
      <c r="J529" s="11" t="n"/>
      <c r="K529" s="12" t="n"/>
      <c r="L529" s="120" t="n"/>
      <c r="M529" s="11" t="n"/>
      <c r="N529" s="12" t="n"/>
      <c r="O529" s="115" t="n"/>
      <c r="P529" s="120" t="n"/>
      <c r="Q529" s="11" t="n"/>
      <c r="R529" s="11" t="n"/>
      <c r="S529" s="11" t="n"/>
      <c r="T529" s="12" t="n"/>
      <c r="U529" s="115" t="n"/>
    </row>
    <row r="530" hidden="1" outlineLevel="2">
      <c r="A530" s="8" t="n"/>
      <c r="B530" s="22" t="n"/>
      <c r="C530" s="115" t="n"/>
      <c r="D530" s="52" t="inlineStr">
        <is>
          <t>O QUE EU DOU</t>
        </is>
      </c>
      <c r="E530" s="11" t="n"/>
      <c r="F530" s="11" t="n"/>
      <c r="G530" s="11" t="n"/>
      <c r="H530" s="11" t="n"/>
      <c r="I530" s="11" t="n"/>
      <c r="J530" s="11" t="n"/>
      <c r="K530" s="12" t="n"/>
      <c r="L530" s="52" t="inlineStr">
        <is>
          <t>O QUE EU RECEBO</t>
        </is>
      </c>
      <c r="M530" s="11" t="n"/>
      <c r="N530" s="11" t="n"/>
      <c r="O530" s="11" t="n"/>
      <c r="P530" s="11" t="n"/>
      <c r="Q530" s="11" t="n"/>
      <c r="R530" s="11" t="n"/>
      <c r="S530" s="11" t="n"/>
      <c r="T530" s="12" t="n"/>
      <c r="U530" s="115" t="n"/>
    </row>
    <row r="531" hidden="1" outlineLevel="2">
      <c r="A531" s="8" t="n"/>
      <c r="B531" s="22" t="n"/>
      <c r="C531" s="115" t="n"/>
      <c r="D531" s="119" t="n"/>
      <c r="E531" s="14" t="n"/>
      <c r="F531" s="14" t="n"/>
      <c r="G531" s="14" t="n"/>
      <c r="H531" s="14" t="n"/>
      <c r="I531" s="14" t="n"/>
      <c r="J531" s="14" t="n"/>
      <c r="K531" s="15" t="n"/>
      <c r="L531" s="119" t="n"/>
      <c r="M531" s="14" t="n"/>
      <c r="N531" s="14" t="n"/>
      <c r="O531" s="14" t="n"/>
      <c r="P531" s="14" t="n"/>
      <c r="Q531" s="14" t="n"/>
      <c r="R531" s="14" t="n"/>
      <c r="S531" s="14" t="n"/>
      <c r="T531" s="15" t="n"/>
      <c r="U531" s="115" t="n"/>
    </row>
    <row r="532" hidden="1" outlineLevel="2">
      <c r="A532" s="8" t="n"/>
      <c r="B532" s="22" t="n"/>
      <c r="C532" s="115" t="n"/>
      <c r="D532" s="16" t="n"/>
      <c r="K532" s="17" t="n"/>
      <c r="L532" s="16" t="n"/>
      <c r="T532" s="17" t="n"/>
      <c r="U532" s="115" t="n"/>
    </row>
    <row r="533" hidden="1" outlineLevel="2">
      <c r="A533" s="8" t="n"/>
      <c r="B533" s="22" t="n"/>
      <c r="C533" s="115" t="n"/>
      <c r="D533" s="16" t="n"/>
      <c r="K533" s="17" t="n"/>
      <c r="L533" s="16" t="n"/>
      <c r="T533" s="17" t="n"/>
      <c r="U533" s="115" t="n"/>
    </row>
    <row r="534" hidden="1" outlineLevel="2">
      <c r="A534" s="8" t="n"/>
      <c r="B534" s="22" t="n"/>
      <c r="C534" s="115" t="n"/>
      <c r="D534" s="18" t="n"/>
      <c r="E534" s="19" t="n"/>
      <c r="F534" s="19" t="n"/>
      <c r="G534" s="19" t="n"/>
      <c r="H534" s="19" t="n"/>
      <c r="I534" s="19" t="n"/>
      <c r="J534" s="19" t="n"/>
      <c r="K534" s="20" t="n"/>
      <c r="L534" s="18" t="n"/>
      <c r="M534" s="19" t="n"/>
      <c r="N534" s="19" t="n"/>
      <c r="O534" s="19" t="n"/>
      <c r="P534" s="19" t="n"/>
      <c r="Q534" s="19" t="n"/>
      <c r="R534" s="19" t="n"/>
      <c r="S534" s="19" t="n"/>
      <c r="T534" s="20" t="n"/>
      <c r="U534" s="115" t="n"/>
    </row>
    <row r="535" hidden="1" outlineLevel="2">
      <c r="A535" s="8" t="n"/>
      <c r="B535" s="22" t="n"/>
      <c r="C535" s="115" t="n"/>
      <c r="D535" s="52" t="inlineStr">
        <is>
          <t>CLÁUSULA, COM QUEM FOI FECHADO E O QUE ACONTECE SE QUEBRAR</t>
        </is>
      </c>
      <c r="E535" s="11" t="n"/>
      <c r="F535" s="11" t="n"/>
      <c r="G535" s="11" t="n"/>
      <c r="H535" s="11" t="n"/>
      <c r="I535" s="11" t="n"/>
      <c r="J535" s="11" t="n"/>
      <c r="K535" s="11" t="n"/>
      <c r="L535" s="11" t="n"/>
      <c r="M535" s="11" t="n"/>
      <c r="N535" s="11" t="n"/>
      <c r="O535" s="11" t="n"/>
      <c r="P535" s="11" t="n"/>
      <c r="Q535" s="11" t="n"/>
      <c r="R535" s="11" t="n"/>
      <c r="S535" s="11" t="n"/>
      <c r="T535" s="12" t="n"/>
      <c r="U535" s="115" t="n"/>
    </row>
    <row r="536" hidden="1" outlineLevel="2">
      <c r="A536" s="8" t="n"/>
      <c r="B536" s="22" t="n"/>
      <c r="C536" s="115" t="n"/>
      <c r="D536" s="119" t="n"/>
      <c r="E536" s="14" t="n"/>
      <c r="F536" s="14" t="n"/>
      <c r="G536" s="14" t="n"/>
      <c r="H536" s="14" t="n"/>
      <c r="I536" s="14" t="n"/>
      <c r="J536" s="14" t="n"/>
      <c r="K536" s="14" t="n"/>
      <c r="L536" s="14" t="n"/>
      <c r="M536" s="14" t="n"/>
      <c r="N536" s="14" t="n"/>
      <c r="O536" s="14" t="n"/>
      <c r="P536" s="14" t="n"/>
      <c r="Q536" s="14" t="n"/>
      <c r="R536" s="14" t="n"/>
      <c r="S536" s="14" t="n"/>
      <c r="T536" s="15" t="n"/>
      <c r="U536" s="115" t="n"/>
    </row>
    <row r="537" hidden="1" outlineLevel="2">
      <c r="A537" s="8" t="n"/>
      <c r="B537" s="22" t="n"/>
      <c r="C537" s="115" t="n"/>
      <c r="D537" s="18" t="n"/>
      <c r="E537" s="19" t="n"/>
      <c r="F537" s="19" t="n"/>
      <c r="G537" s="19" t="n"/>
      <c r="H537" s="19" t="n"/>
      <c r="I537" s="19" t="n"/>
      <c r="J537" s="19" t="n"/>
      <c r="K537" s="19" t="n"/>
      <c r="L537" s="19" t="n"/>
      <c r="M537" s="19" t="n"/>
      <c r="N537" s="19" t="n"/>
      <c r="O537" s="19" t="n"/>
      <c r="P537" s="19" t="n"/>
      <c r="Q537" s="19" t="n"/>
      <c r="R537" s="19" t="n"/>
      <c r="S537" s="19" t="n"/>
      <c r="T537" s="20" t="n"/>
      <c r="U537" s="115" t="n"/>
    </row>
    <row r="538">
      <c r="A538" s="8" t="n"/>
      <c r="B538" s="22"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row>
    <row r="539">
      <c r="A539" s="8" t="n"/>
      <c r="B539" s="22"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row>
  </sheetData>
  <mergeCells count="1340">
    <mergeCell ref="E225:H225"/>
    <mergeCell ref="Q164:R164"/>
    <mergeCell ref="S226:T226"/>
    <mergeCell ref="D506:E507"/>
    <mergeCell ref="E79:F79"/>
    <mergeCell ref="Q147:T148"/>
    <mergeCell ref="D254:D255"/>
    <mergeCell ref="S228:T228"/>
    <mergeCell ref="Q321:T321"/>
    <mergeCell ref="J458:J459"/>
    <mergeCell ref="D11:H11"/>
    <mergeCell ref="K295:N295"/>
    <mergeCell ref="S259:T259"/>
    <mergeCell ref="D336:H336"/>
    <mergeCell ref="P154:T158"/>
    <mergeCell ref="D307:E307"/>
    <mergeCell ref="J96:J99"/>
    <mergeCell ref="J46:N46"/>
    <mergeCell ref="G59:H59"/>
    <mergeCell ref="E117:F117"/>
    <mergeCell ref="E457:H457"/>
    <mergeCell ref="D464:H465"/>
    <mergeCell ref="Q30:T30"/>
    <mergeCell ref="Q208:R208"/>
    <mergeCell ref="M229:N229"/>
    <mergeCell ref="S272:T272"/>
    <mergeCell ref="S185:T185"/>
    <mergeCell ref="K167:N167"/>
    <mergeCell ref="Q122:R122"/>
    <mergeCell ref="Q61:T62"/>
    <mergeCell ref="F417:H417"/>
    <mergeCell ref="G201:H201"/>
    <mergeCell ref="S269:T269"/>
    <mergeCell ref="M101:N101"/>
    <mergeCell ref="D310:T311"/>
    <mergeCell ref="G203:H203"/>
    <mergeCell ref="G230:H230"/>
    <mergeCell ref="Q140:R140"/>
    <mergeCell ref="G238:H238"/>
    <mergeCell ref="K63:N64"/>
    <mergeCell ref="S327:T327"/>
    <mergeCell ref="Q229:R229"/>
    <mergeCell ref="K183:L183"/>
    <mergeCell ref="K54:L54"/>
    <mergeCell ref="K271:L271"/>
    <mergeCell ref="D334:T335"/>
    <mergeCell ref="K273:L273"/>
    <mergeCell ref="M31:N31"/>
    <mergeCell ref="Q280:R280"/>
    <mergeCell ref="J124:J125"/>
    <mergeCell ref="E77:F77"/>
    <mergeCell ref="P282:T286"/>
    <mergeCell ref="K268:L268"/>
    <mergeCell ref="D256:D257"/>
    <mergeCell ref="D303:E303"/>
    <mergeCell ref="G164:H164"/>
    <mergeCell ref="G217:H217"/>
    <mergeCell ref="P458:P459"/>
    <mergeCell ref="D417:E417"/>
    <mergeCell ref="P337:Q338"/>
    <mergeCell ref="S252:T252"/>
    <mergeCell ref="D89:H93"/>
    <mergeCell ref="M173:N173"/>
    <mergeCell ref="E63:H64"/>
    <mergeCell ref="D396:D397"/>
    <mergeCell ref="E267:H267"/>
    <mergeCell ref="P186:P187"/>
    <mergeCell ref="K139:N139"/>
    <mergeCell ref="Q146:T146"/>
    <mergeCell ref="S270:T270"/>
    <mergeCell ref="P375:T377"/>
    <mergeCell ref="D510:K510"/>
    <mergeCell ref="Q207:R207"/>
    <mergeCell ref="Q480:T481"/>
    <mergeCell ref="E277:H278"/>
    <mergeCell ref="P58:P59"/>
    <mergeCell ref="Q60:T60"/>
    <mergeCell ref="L19:T19"/>
    <mergeCell ref="M96:N96"/>
    <mergeCell ref="E145:F145"/>
    <mergeCell ref="P196:T200"/>
    <mergeCell ref="P393:T395"/>
    <mergeCell ref="M98:N98"/>
    <mergeCell ref="J88:N88"/>
    <mergeCell ref="G228:H228"/>
    <mergeCell ref="E321:H321"/>
    <mergeCell ref="S293:T293"/>
    <mergeCell ref="K58:L58"/>
    <mergeCell ref="P281:T281"/>
    <mergeCell ref="G231:H23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G272:H272"/>
    <mergeCell ref="P124:P125"/>
    <mergeCell ref="K79:L79"/>
    <mergeCell ref="Q256:T257"/>
    <mergeCell ref="M144:N144"/>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M208:N208"/>
    <mergeCell ref="K145:L145"/>
    <mergeCell ref="S80:T80"/>
    <mergeCell ref="F351:H352"/>
    <mergeCell ref="E437:H437"/>
    <mergeCell ref="D463:F463"/>
    <mergeCell ref="M122:N122"/>
    <mergeCell ref="K288:N288"/>
    <mergeCell ref="P424:T424"/>
    <mergeCell ref="S463:T463"/>
    <mergeCell ref="P100:P101"/>
    <mergeCell ref="J230:J231"/>
    <mergeCell ref="K163:L163"/>
    <mergeCell ref="K202:N202"/>
    <mergeCell ref="D359:K359"/>
    <mergeCell ref="K165:L165"/>
    <mergeCell ref="L510:T510"/>
    <mergeCell ref="M140:N140"/>
    <mergeCell ref="K77:L77"/>
    <mergeCell ref="D342:T342"/>
    <mergeCell ref="E207:F207"/>
    <mergeCell ref="D58:D59"/>
    <mergeCell ref="G271:H271"/>
    <mergeCell ref="E60:H60"/>
    <mergeCell ref="D161:D164"/>
    <mergeCell ref="G273:H273"/>
    <mergeCell ref="K87:L87"/>
    <mergeCell ref="S144:T144"/>
    <mergeCell ref="M280:N280"/>
    <mergeCell ref="D393:H395"/>
    <mergeCell ref="S173:T173"/>
    <mergeCell ref="L35:N35"/>
    <mergeCell ref="G268:H268"/>
    <mergeCell ref="J219:N223"/>
    <mergeCell ref="S145:T145"/>
    <mergeCell ref="D364:T364"/>
    <mergeCell ref="P12:Q13"/>
    <mergeCell ref="J396:J397"/>
    <mergeCell ref="K246:N246"/>
    <mergeCell ref="Q139:T139"/>
    <mergeCell ref="P425:T436"/>
    <mergeCell ref="G407:H407"/>
    <mergeCell ref="K396:N397"/>
    <mergeCell ref="D378:D379"/>
    <mergeCell ref="D500:D501"/>
    <mergeCell ref="Q99:R99"/>
    <mergeCell ref="P168:P169"/>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G441:H441"/>
    <mergeCell ref="J170:J171"/>
    <mergeCell ref="K126:N127"/>
    <mergeCell ref="E247:F247"/>
    <mergeCell ref="M207:N207"/>
    <mergeCell ref="D126:D127"/>
    <mergeCell ref="P140:P143"/>
    <mergeCell ref="G7:H7"/>
    <mergeCell ref="P391:Q391"/>
    <mergeCell ref="R303:T303"/>
    <mergeCell ref="S131:T131"/>
    <mergeCell ref="S87:T87"/>
    <mergeCell ref="S245:T245"/>
    <mergeCell ref="S97:T97"/>
    <mergeCell ref="Q209:T209"/>
    <mergeCell ref="R36:T37"/>
    <mergeCell ref="D144:D145"/>
    <mergeCell ref="Q57:R57"/>
    <mergeCell ref="E294:F294"/>
    <mergeCell ref="K187:L187"/>
    <mergeCell ref="P109:T109"/>
    <mergeCell ref="S115:T115"/>
    <mergeCell ref="P314:T314"/>
    <mergeCell ref="K182:L182"/>
    <mergeCell ref="D170:D171"/>
    <mergeCell ref="G78:H78"/>
    <mergeCell ref="K61:N62"/>
    <mergeCell ref="D165:D166"/>
    <mergeCell ref="J175:N179"/>
    <mergeCell ref="M273:N273"/>
    <mergeCell ref="M248:N248"/>
    <mergeCell ref="G80:H80"/>
    <mergeCell ref="E529:K529"/>
    <mergeCell ref="G79:H79"/>
    <mergeCell ref="G73:H73"/>
    <mergeCell ref="P251:P252"/>
    <mergeCell ref="J401:N403"/>
    <mergeCell ref="S159:T159"/>
    <mergeCell ref="Q96:R96"/>
    <mergeCell ref="J84:J85"/>
    <mergeCell ref="K226:L226"/>
    <mergeCell ref="S161:T161"/>
    <mergeCell ref="Q378:T379"/>
    <mergeCell ref="K228:L228"/>
    <mergeCell ref="Q121:R121"/>
    <mergeCell ref="J378:J379"/>
    <mergeCell ref="D400:H400"/>
    <mergeCell ref="J79:J80"/>
    <mergeCell ref="K82:N83"/>
    <mergeCell ref="P272:P273"/>
    <mergeCell ref="Q152:R152"/>
    <mergeCell ref="J438:J439"/>
    <mergeCell ref="J404:J405"/>
    <mergeCell ref="D526:T527"/>
    <mergeCell ref="L521:T524"/>
    <mergeCell ref="G145:H145"/>
    <mergeCell ref="K272:L272"/>
    <mergeCell ref="Q55:R55"/>
    <mergeCell ref="E139:H139"/>
    <mergeCell ref="Q165:R165"/>
    <mergeCell ref="J483:L483"/>
    <mergeCell ref="E99:F99"/>
    <mergeCell ref="S229:T229"/>
    <mergeCell ref="P233:P234"/>
    <mergeCell ref="Q329:T330"/>
    <mergeCell ref="K186:L186"/>
    <mergeCell ref="K269:L269"/>
    <mergeCell ref="J337:K338"/>
    <mergeCell ref="E101:F101"/>
    <mergeCell ref="G163:H163"/>
    <mergeCell ref="Q331:T332"/>
    <mergeCell ref="D466:H466"/>
    <mergeCell ref="S141:T141"/>
    <mergeCell ref="K181:N181"/>
    <mergeCell ref="K479:N479"/>
    <mergeCell ref="E100:F100"/>
    <mergeCell ref="G165:H165"/>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E209:H209"/>
    <mergeCell ref="D480:D481"/>
    <mergeCell ref="P486:T486"/>
    <mergeCell ref="K81:N81"/>
    <mergeCell ref="J400:N400"/>
    <mergeCell ref="Q124:T125"/>
    <mergeCell ref="K233:N234"/>
    <mergeCell ref="D109:H109"/>
    <mergeCell ref="G115:H115"/>
    <mergeCell ref="D19:K19"/>
    <mergeCell ref="K437:N437"/>
    <mergeCell ref="D467:H478"/>
    <mergeCell ref="Q126:T127"/>
    <mergeCell ref="D233:D234"/>
    <mergeCell ref="P247:P250"/>
    <mergeCell ref="M39:N39"/>
    <mergeCell ref="E53:H53"/>
    <mergeCell ref="K404:N405"/>
    <mergeCell ref="D210:D211"/>
    <mergeCell ref="G141:H141"/>
    <mergeCell ref="D444:H444"/>
    <mergeCell ref="Q290:R290"/>
    <mergeCell ref="G118:H118"/>
    <mergeCell ref="Q161:R161"/>
    <mergeCell ref="D521:K524"/>
    <mergeCell ref="J149:J150"/>
    <mergeCell ref="D407:E407"/>
    <mergeCell ref="E226:F226"/>
    <mergeCell ref="J121:J122"/>
    <mergeCell ref="D370:T371"/>
    <mergeCell ref="E228:F228"/>
    <mergeCell ref="D487:H498"/>
    <mergeCell ref="J144:J145"/>
    <mergeCell ref="S227:T227"/>
    <mergeCell ref="E96:F96"/>
    <mergeCell ref="M373:N373"/>
    <mergeCell ref="M58:N58"/>
    <mergeCell ref="K294:L294"/>
    <mergeCell ref="Q187:R187"/>
    <mergeCell ref="E98:F98"/>
    <mergeCell ref="K108:L108"/>
    <mergeCell ref="D275:D276"/>
    <mergeCell ref="K277:N278"/>
    <mergeCell ref="S251:T251"/>
    <mergeCell ref="K325:L325"/>
    <mergeCell ref="G187:H187"/>
    <mergeCell ref="Q205:R205"/>
    <mergeCell ref="K170:N171"/>
    <mergeCell ref="J340:K340"/>
    <mergeCell ref="G180:H180"/>
    <mergeCell ref="M80:N80"/>
    <mergeCell ref="Q36:Q37"/>
    <mergeCell ref="D226:D229"/>
    <mergeCell ref="E295:H295"/>
    <mergeCell ref="G182:H182"/>
    <mergeCell ref="L418:N419"/>
    <mergeCell ref="P401:T403"/>
    <mergeCell ref="D129:T129"/>
    <mergeCell ref="P84:P85"/>
    <mergeCell ref="E142:F142"/>
    <mergeCell ref="S291:T291"/>
    <mergeCell ref="J191:J192"/>
    <mergeCell ref="S322:T322"/>
    <mergeCell ref="K252:L252"/>
    <mergeCell ref="Q259:R259"/>
    <mergeCell ref="M99:N99"/>
    <mergeCell ref="J103:J104"/>
    <mergeCell ref="E173:F173"/>
    <mergeCell ref="D505:E505"/>
    <mergeCell ref="G229:H229"/>
    <mergeCell ref="P441:R441"/>
    <mergeCell ref="J4:T4"/>
    <mergeCell ref="E166:F166"/>
    <mergeCell ref="D235:D236"/>
    <mergeCell ref="E331:H332"/>
    <mergeCell ref="S325:T325"/>
    <mergeCell ref="G143:H143"/>
    <mergeCell ref="Q438:T439"/>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M165:N165"/>
    <mergeCell ref="D503:T504"/>
    <mergeCell ref="E238:F238"/>
    <mergeCell ref="Q327:R327"/>
    <mergeCell ref="J67:N67"/>
    <mergeCell ref="Q204:R204"/>
    <mergeCell ref="S391:T391"/>
    <mergeCell ref="S122:T122"/>
    <mergeCell ref="J399:K399"/>
    <mergeCell ref="G354:H354"/>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G251:H251"/>
    <mergeCell ref="J329:J330"/>
    <mergeCell ref="R351:T352"/>
    <mergeCell ref="Q437:T437"/>
    <mergeCell ref="L303:N303"/>
    <mergeCell ref="Q235:T236"/>
    <mergeCell ref="J161:J164"/>
    <mergeCell ref="J422:N423"/>
    <mergeCell ref="M421:N421"/>
    <mergeCell ref="M108:N108"/>
    <mergeCell ref="J418:K419"/>
    <mergeCell ref="E182:F182"/>
    <mergeCell ref="K75:L75"/>
    <mergeCell ref="P39:T39"/>
    <mergeCell ref="G248:H248"/>
    <mergeCell ref="K210:N211"/>
    <mergeCell ref="P121:P122"/>
    <mergeCell ref="Q457:T457"/>
    <mergeCell ref="P483:R483"/>
    <mergeCell ref="M159:N159"/>
    <mergeCell ref="E208:F208"/>
    <mergeCell ref="D84:D85"/>
    <mergeCell ref="M161:N161"/>
    <mergeCell ref="K378:N379"/>
    <mergeCell ref="P484:T485"/>
    <mergeCell ref="J254:J255"/>
    <mergeCell ref="K217:L217"/>
    <mergeCell ref="J308:K308"/>
    <mergeCell ref="D61:D62"/>
    <mergeCell ref="E203:F203"/>
    <mergeCell ref="P149:P150"/>
    <mergeCell ref="D386:D387"/>
    <mergeCell ref="G292:H292"/>
    <mergeCell ref="P351:Q352"/>
    <mergeCell ref="D422:H423"/>
    <mergeCell ref="D441:F441"/>
    <mergeCell ref="S57:T57"/>
    <mergeCell ref="K131:L131"/>
    <mergeCell ref="G294:H294"/>
    <mergeCell ref="M187:N187"/>
    <mergeCell ref="J75:J78"/>
    <mergeCell ref="E212:H213"/>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P189:P190"/>
    <mergeCell ref="K144:L144"/>
    <mergeCell ref="E102:H102"/>
    <mergeCell ref="E280:F280"/>
    <mergeCell ref="D282:H286"/>
    <mergeCell ref="G162:H162"/>
    <mergeCell ref="E186:F186"/>
    <mergeCell ref="Q191:T192"/>
    <mergeCell ref="E4:H4"/>
    <mergeCell ref="P421:R421"/>
    <mergeCell ref="K331:N332"/>
    <mergeCell ref="D458:D459"/>
    <mergeCell ref="G252:H252"/>
    <mergeCell ref="K66:L66"/>
    <mergeCell ref="M259:N259"/>
    <mergeCell ref="Q123:T123"/>
    <mergeCell ref="G391:H391"/>
    <mergeCell ref="D186:D187"/>
    <mergeCell ref="M290:N290"/>
    <mergeCell ref="G122:H122"/>
    <mergeCell ref="E519:K519"/>
    <mergeCell ref="E146:H146"/>
    <mergeCell ref="D239:H239"/>
    <mergeCell ref="D350:E350"/>
    <mergeCell ref="J383:N385"/>
    <mergeCell ref="E480:H481"/>
    <mergeCell ref="Q78:R78"/>
    <mergeCell ref="P147:P148"/>
    <mergeCell ref="P442:T443"/>
    <mergeCell ref="Q80:R80"/>
    <mergeCell ref="S142:T142"/>
    <mergeCell ref="K191:N192"/>
    <mergeCell ref="M272:N272"/>
    <mergeCell ref="S55:T55"/>
    <mergeCell ref="L360:T362"/>
    <mergeCell ref="J61:J62"/>
    <mergeCell ref="J421:L421"/>
    <mergeCell ref="Q167:T167"/>
    <mergeCell ref="K103:N104"/>
    <mergeCell ref="D408:H408"/>
    <mergeCell ref="M186:N186"/>
    <mergeCell ref="E235:H236"/>
    <mergeCell ref="P374:T374"/>
    <mergeCell ref="L337:N338"/>
    <mergeCell ref="D281:H281"/>
    <mergeCell ref="S231:T231"/>
    <mergeCell ref="S66:T66"/>
    <mergeCell ref="J296:J297"/>
    <mergeCell ref="K140:L140"/>
    <mergeCell ref="K229:L229"/>
    <mergeCell ref="D121:D122"/>
    <mergeCell ref="M204:N204"/>
    <mergeCell ref="R307:T307"/>
    <mergeCell ref="M356:N356"/>
    <mergeCell ref="E271:F271"/>
    <mergeCell ref="P445:T456"/>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G58:H58"/>
    <mergeCell ref="P230:P231"/>
    <mergeCell ref="Q76:R76"/>
    <mergeCell ref="S138:T138"/>
    <mergeCell ref="D515:T515"/>
    <mergeCell ref="G75:H75"/>
    <mergeCell ref="D133:H137"/>
    <mergeCell ref="S140:T140"/>
    <mergeCell ref="K189:N190"/>
    <mergeCell ref="S165:T165"/>
    <mergeCell ref="S194:T194"/>
    <mergeCell ref="J2:T3"/>
    <mergeCell ref="E499:H499"/>
    <mergeCell ref="E191:H192"/>
    <mergeCell ref="Q131:R131"/>
    <mergeCell ref="P75:P78"/>
    <mergeCell ref="J393:N395"/>
    <mergeCell ref="M325:N325"/>
    <mergeCell ref="Q274:T274"/>
    <mergeCell ref="Q120:R120"/>
    <mergeCell ref="M327:N327"/>
    <mergeCell ref="D424:H424"/>
    <mergeCell ref="G463:H463"/>
    <mergeCell ref="G131:H131"/>
    <mergeCell ref="E58:F58"/>
    <mergeCell ref="S184:T184"/>
    <mergeCell ref="J442:N443"/>
    <mergeCell ref="K251:L251"/>
    <mergeCell ref="R306:T306"/>
    <mergeCell ref="J314:N314"/>
    <mergeCell ref="D9:T10"/>
    <mergeCell ref="E78:F78"/>
    <mergeCell ref="S208:T208"/>
    <mergeCell ref="F350:H350"/>
    <mergeCell ref="M40:N40"/>
    <mergeCell ref="K254:N255"/>
    <mergeCell ref="Q458:T459"/>
    <mergeCell ref="E61:H62"/>
    <mergeCell ref="D215:T215"/>
    <mergeCell ref="E80:F80"/>
    <mergeCell ref="G142:H142"/>
    <mergeCell ref="Q328:T328"/>
    <mergeCell ref="Q291:R291"/>
    <mergeCell ref="G144:H144"/>
    <mergeCell ref="S266:T266"/>
    <mergeCell ref="Q45:R45"/>
    <mergeCell ref="Q293:R293"/>
    <mergeCell ref="G173:H173"/>
    <mergeCell ref="S268:T268"/>
    <mergeCell ref="D374:H374"/>
    <mergeCell ref="J36:K37"/>
    <mergeCell ref="J186:J187"/>
    <mergeCell ref="M399:N399"/>
    <mergeCell ref="J289:J292"/>
    <mergeCell ref="D425:H436"/>
    <mergeCell ref="L306:N306"/>
    <mergeCell ref="E188:H188"/>
    <mergeCell ref="D520:K520"/>
    <mergeCell ref="K60:N60"/>
    <mergeCell ref="D373:E373"/>
    <mergeCell ref="F505:T505"/>
    <mergeCell ref="J196:N200"/>
    <mergeCell ref="K329:N330"/>
    <mergeCell ref="D88:H88"/>
    <mergeCell ref="G208:H208"/>
    <mergeCell ref="P226:P229"/>
    <mergeCell ref="D140:D143"/>
    <mergeCell ref="K499:N499"/>
    <mergeCell ref="D331:D332"/>
    <mergeCell ref="R337:T338"/>
    <mergeCell ref="Q117:R117"/>
    <mergeCell ref="K76:L76"/>
    <mergeCell ref="M138:N138"/>
    <mergeCell ref="G245:H245"/>
    <mergeCell ref="P261:T265"/>
    <mergeCell ref="D348:T349"/>
    <mergeCell ref="P296:P297"/>
    <mergeCell ref="L12:N13"/>
    <mergeCell ref="M463:N463"/>
    <mergeCell ref="J100:J101"/>
    <mergeCell ref="P298:P299"/>
    <mergeCell ref="S204:T204"/>
    <mergeCell ref="E163:F163"/>
    <mergeCell ref="S206:T206"/>
    <mergeCell ref="P354:T354"/>
    <mergeCell ref="Q289:R289"/>
    <mergeCell ref="K256:N257"/>
    <mergeCell ref="P438:P43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D415:T416"/>
    <mergeCell ref="Q326:R326"/>
    <mergeCell ref="G39:H39"/>
    <mergeCell ref="S117:T117"/>
    <mergeCell ref="D272:D273"/>
    <mergeCell ref="K74:N74"/>
    <mergeCell ref="M78:N78"/>
    <mergeCell ref="E152:F152"/>
    <mergeCell ref="E118:F118"/>
    <mergeCell ref="E458:H459"/>
    <mergeCell ref="J35:K35"/>
    <mergeCell ref="P212:P213"/>
    <mergeCell ref="E328:H328"/>
    <mergeCell ref="K161:L161"/>
    <mergeCell ref="M217:N217"/>
    <mergeCell ref="E288:H288"/>
    <mergeCell ref="D530:K530"/>
    <mergeCell ref="J424:N424"/>
    <mergeCell ref="E292:F292"/>
    <mergeCell ref="M131:N131"/>
    <mergeCell ref="G52:H52"/>
    <mergeCell ref="P305:Q305"/>
    <mergeCell ref="E165:F165"/>
    <mergeCell ref="L36:N37"/>
    <mergeCell ref="L520:T520"/>
    <mergeCell ref="J375:N377"/>
    <mergeCell ref="M271:N271"/>
    <mergeCell ref="P268:P271"/>
    <mergeCell ref="P308:Q308"/>
    <mergeCell ref="P218:T218"/>
    <mergeCell ref="D511:K514"/>
    <mergeCell ref="G280:H280"/>
    <mergeCell ref="Q183:R183"/>
    <mergeCell ref="K227:L227"/>
    <mergeCell ref="J165:J166"/>
    <mergeCell ref="M291:N291"/>
    <mergeCell ref="M79:N79"/>
    <mergeCell ref="J382:N382"/>
    <mergeCell ref="J425:N436"/>
    <mergeCell ref="D536:T537"/>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J445:N456"/>
    <mergeCell ref="K152:L152"/>
    <mergeCell ref="D438:D439"/>
    <mergeCell ref="J140:J143"/>
    <mergeCell ref="A8:B29"/>
    <mergeCell ref="E290:F290"/>
    <mergeCell ref="J391:K391"/>
    <mergeCell ref="P105:P106"/>
    <mergeCell ref="E161:F161"/>
    <mergeCell ref="K185:L185"/>
    <mergeCell ref="Q249:R249"/>
    <mergeCell ref="K56:L56"/>
    <mergeCell ref="J326:J327"/>
    <mergeCell ref="Q225:T225"/>
    <mergeCell ref="S313:T313"/>
    <mergeCell ref="Q102:T102"/>
    <mergeCell ref="M120:N120"/>
    <mergeCell ref="D168:D169"/>
    <mergeCell ref="L359:T359"/>
    <mergeCell ref="G250:H250"/>
    <mergeCell ref="J239:N239"/>
    <mergeCell ref="R11:T11"/>
    <mergeCell ref="E187:F187"/>
    <mergeCell ref="G76:H76"/>
    <mergeCell ref="M115:N115"/>
    <mergeCell ref="F506:T507"/>
    <mergeCell ref="S483:T483"/>
    <mergeCell ref="E205:F205"/>
    <mergeCell ref="M287:N287"/>
    <mergeCell ref="D42:T43"/>
    <mergeCell ref="S326:T326"/>
    <mergeCell ref="J54:J57"/>
    <mergeCell ref="D212:D213"/>
    <mergeCell ref="S186:T186"/>
    <mergeCell ref="G87:H87"/>
    <mergeCell ref="J68:N72"/>
    <mergeCell ref="L340:N340"/>
    <mergeCell ref="J251:J252"/>
    <mergeCell ref="L530:T530"/>
    <mergeCell ref="K253:N253"/>
    <mergeCell ref="D401:H403"/>
    <mergeCell ref="K97:L97"/>
    <mergeCell ref="D207:D208"/>
    <mergeCell ref="L529:N529"/>
    <mergeCell ref="M313:N313"/>
    <mergeCell ref="S54:T54"/>
    <mergeCell ref="E210:H211"/>
    <mergeCell ref="M184:N184"/>
    <mergeCell ref="K121:L121"/>
    <mergeCell ref="Q298:T299"/>
    <mergeCell ref="S56:T56"/>
    <mergeCell ref="E81:H81"/>
    <mergeCell ref="E259:F259"/>
    <mergeCell ref="Q166:R166"/>
    <mergeCell ref="L511:T514"/>
    <mergeCell ref="Q170:T171"/>
    <mergeCell ref="P340:Q340"/>
    <mergeCell ref="P400:T400"/>
    <mergeCell ref="D308:E308"/>
    <mergeCell ref="S224:T224"/>
    <mergeCell ref="S441:T441"/>
    <mergeCell ref="J467:N478"/>
    <mergeCell ref="K270:L270"/>
    <mergeCell ref="M326:N326"/>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R336:T336"/>
    <mergeCell ref="S120:T120"/>
    <mergeCell ref="K194:L194"/>
    <mergeCell ref="D289:D292"/>
    <mergeCell ref="J182:J185"/>
    <mergeCell ref="G373:H373"/>
    <mergeCell ref="E275:H276"/>
    <mergeCell ref="J132:N132"/>
    <mergeCell ref="E181:H181"/>
    <mergeCell ref="L11:N11"/>
    <mergeCell ref="D461:T461"/>
    <mergeCell ref="E479:H479"/>
    <mergeCell ref="M251:N251"/>
    <mergeCell ref="D392:H392"/>
    <mergeCell ref="E325:F325"/>
    <mergeCell ref="D2:D4"/>
    <mergeCell ref="E327:F327"/>
    <mergeCell ref="M289:N289"/>
    <mergeCell ref="E509:K50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J486:N486"/>
    <mergeCell ref="P195:T195"/>
    <mergeCell ref="P336:Q336"/>
    <mergeCell ref="P529:T529"/>
    <mergeCell ref="D191:D192"/>
    <mergeCell ref="E233:H234"/>
    <mergeCell ref="M322:N322"/>
    <mergeCell ref="K259:L259"/>
    <mergeCell ref="G99:H99"/>
    <mergeCell ref="P117:P120"/>
    <mergeCell ref="E66:F66"/>
    <mergeCell ref="J247:J250"/>
    <mergeCell ref="M324:N324"/>
    <mergeCell ref="M55:N55"/>
    <mergeCell ref="K290:L290"/>
    <mergeCell ref="M354:N354"/>
    <mergeCell ref="G186:H186"/>
    <mergeCell ref="J351:N352"/>
    <mergeCell ref="G152:H152"/>
    <mergeCell ref="E123:H123"/>
    <mergeCell ref="K323:L323"/>
    <mergeCell ref="S205:T205"/>
    <mergeCell ref="P326:P327"/>
    <mergeCell ref="M381:N381"/>
    <mergeCell ref="G54:H54"/>
    <mergeCell ref="D484:H485"/>
    <mergeCell ref="Q203:R203"/>
    <mergeCell ref="K168:N169"/>
    <mergeCell ref="G56:H56"/>
    <mergeCell ref="S292:T292"/>
    <mergeCell ref="J373:K373"/>
    <mergeCell ref="D174:H174"/>
    <mergeCell ref="D351:E352"/>
    <mergeCell ref="E293:F293"/>
    <mergeCell ref="Q231:R231"/>
    <mergeCell ref="E170:H171"/>
    <mergeCell ref="S287:T287"/>
    <mergeCell ref="M94:N94"/>
    <mergeCell ref="J212:J213"/>
    <mergeCell ref="S289:T289"/>
    <mergeCell ref="K204:L204"/>
    <mergeCell ref="F418:H419"/>
    <mergeCell ref="Q253:T253"/>
    <mergeCell ref="Q247:R247"/>
    <mergeCell ref="G227:H227"/>
    <mergeCell ref="Q101:R101"/>
    <mergeCell ref="L509:N509"/>
    <mergeCell ref="D399:E399"/>
    <mergeCell ref="D189:D190"/>
    <mergeCell ref="J82:J83"/>
    <mergeCell ref="P203:P206"/>
    <mergeCell ref="F307:H307"/>
    <mergeCell ref="P153:T153"/>
    <mergeCell ref="D16:T17"/>
    <mergeCell ref="Q95:T95"/>
    <mergeCell ref="G97:H97"/>
    <mergeCell ref="F308:H308"/>
    <mergeCell ref="D375:H377"/>
    <mergeCell ref="G121:H121"/>
    <mergeCell ref="Q270:R270"/>
    <mergeCell ref="K250:L250"/>
    <mergeCell ref="J305:K305"/>
    <mergeCell ref="M166:N166"/>
    <mergeCell ref="D196:H200"/>
    <mergeCell ref="Q149:T150"/>
    <mergeCell ref="E75:F75"/>
    <mergeCell ref="S230:T230"/>
    <mergeCell ref="J307:K307"/>
    <mergeCell ref="P27:Q28"/>
    <mergeCell ref="K457:N457"/>
    <mergeCell ref="E84:H85"/>
    <mergeCell ref="G293:H293"/>
    <mergeCell ref="Q194:R194"/>
    <mergeCell ref="E378:H379"/>
    <mergeCell ref="P355:T357"/>
    <mergeCell ref="E386:H387"/>
    <mergeCell ref="J392:N392"/>
    <mergeCell ref="K327:L327"/>
    <mergeCell ref="D117:D120"/>
    <mergeCell ref="D67:H67"/>
    <mergeCell ref="M391:N391"/>
    <mergeCell ref="P63:P64"/>
    <mergeCell ref="S100:T100"/>
    <mergeCell ref="E412:H413"/>
    <mergeCell ref="K45:L45"/>
    <mergeCell ref="P240:T244"/>
    <mergeCell ref="M75:N75"/>
    <mergeCell ref="G249:H249"/>
    <mergeCell ref="G205:H205"/>
    <mergeCell ref="P277:P278"/>
    <mergeCell ref="D326:D327"/>
    <mergeCell ref="D445:H456"/>
    <mergeCell ref="E144:F144"/>
    <mergeCell ref="D329:D330"/>
    <mergeCell ref="Q268:R268"/>
    <mergeCell ref="M162:N162"/>
    <mergeCell ref="K235:N236"/>
    <mergeCell ref="Q295:T295"/>
    <mergeCell ref="S324:T324"/>
    <mergeCell ref="J303:K303"/>
    <mergeCell ref="E204:F204"/>
    <mergeCell ref="E231:F231"/>
    <mergeCell ref="D33:T34"/>
    <mergeCell ref="E206:F206"/>
    <mergeCell ref="P96:P99"/>
    <mergeCell ref="J304:K304"/>
    <mergeCell ref="P46:T46"/>
    <mergeCell ref="J306:K306"/>
    <mergeCell ref="M30:N30"/>
    <mergeCell ref="K123:N123"/>
    <mergeCell ref="E253:H253"/>
    <mergeCell ref="K117:L117"/>
    <mergeCell ref="J277:J278"/>
    <mergeCell ref="G290:H290"/>
    <mergeCell ref="S45:T45"/>
    <mergeCell ref="D27:N28"/>
    <mergeCell ref="K275:N276"/>
    <mergeCell ref="M185:N185"/>
    <mergeCell ref="J484:N485"/>
    <mergeCell ref="D100:D101"/>
    <mergeCell ref="M483:N483"/>
    <mergeCell ref="E217:F217"/>
    <mergeCell ref="Q168:T169"/>
    <mergeCell ref="D203:D206"/>
    <mergeCell ref="M56:N56"/>
    <mergeCell ref="D153:H153"/>
    <mergeCell ref="G194:H194"/>
    <mergeCell ref="S96:T96"/>
    <mergeCell ref="M201:N201"/>
    <mergeCell ref="E131:F131"/>
    <mergeCell ref="E87:F87"/>
    <mergeCell ref="P61:P62"/>
    <mergeCell ref="E103:H104"/>
    <mergeCell ref="S73:T73"/>
    <mergeCell ref="S98:T98"/>
    <mergeCell ref="M203:N203"/>
    <mergeCell ref="J261:N265"/>
    <mergeCell ref="E270:F270"/>
    <mergeCell ref="J374:N374"/>
    <mergeCell ref="Q212:T213"/>
    <mergeCell ref="P417:T417"/>
    <mergeCell ref="J315:N319"/>
    <mergeCell ref="M100:N100"/>
    <mergeCell ref="L23:T24"/>
    <mergeCell ref="M231:N231"/>
    <mergeCell ref="D337:H338"/>
    <mergeCell ref="E116:H116"/>
    <mergeCell ref="L307:N307"/>
    <mergeCell ref="D20:K24"/>
    <mergeCell ref="M247:N247"/>
    <mergeCell ref="Q82:T83"/>
    <mergeCell ref="Q79:R79"/>
    <mergeCell ref="E291:F291"/>
    <mergeCell ref="J417:K417"/>
    <mergeCell ref="E149:H150"/>
    <mergeCell ref="G266:H266"/>
    <mergeCell ref="G259:H259"/>
    <mergeCell ref="Q250:R250"/>
    <mergeCell ref="E184:F184"/>
    <mergeCell ref="K206:L206"/>
    <mergeCell ref="P307:Q307"/>
    <mergeCell ref="M270:N270"/>
    <mergeCell ref="D383:H385"/>
    <mergeCell ref="M52:N52"/>
    <mergeCell ref="J110:N114"/>
    <mergeCell ref="P464:T465"/>
    <mergeCell ref="K84:N85"/>
    <mergeCell ref="J147:J148"/>
    <mergeCell ref="D277:D278"/>
    <mergeCell ref="K386:N387"/>
    <mergeCell ref="D421:F421"/>
    <mergeCell ref="K321:N321"/>
    <mergeCell ref="E57:F57"/>
    <mergeCell ref="M194:N194"/>
    <mergeCell ref="E268:F268"/>
    <mergeCell ref="G421:H421"/>
    <mergeCell ref="K160:N160"/>
    <mergeCell ref="D261:H265"/>
    <mergeCell ref="J154:N158"/>
    <mergeCell ref="Q322:R322"/>
    <mergeCell ref="K274:N274"/>
    <mergeCell ref="S238:T238"/>
    <mergeCell ref="E140:F140"/>
    <mergeCell ref="Q210:T211"/>
    <mergeCell ref="G327:H327"/>
    <mergeCell ref="J268:J271"/>
    <mergeCell ref="D442:H443"/>
    <mergeCell ref="P500:P501"/>
    <mergeCell ref="J218:N218"/>
    <mergeCell ref="G45:H45"/>
    <mergeCell ref="G55:H55"/>
    <mergeCell ref="S108:T108"/>
    <mergeCell ref="E167:H167"/>
    <mergeCell ref="P444:T444"/>
    <mergeCell ref="G40:H40"/>
    <mergeCell ref="P256:P257"/>
    <mergeCell ref="K458:N459"/>
    <mergeCell ref="S164:T164"/>
    <mergeCell ref="E313:F313"/>
    <mergeCell ref="M266:N266"/>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J203:J206"/>
    <mergeCell ref="J153:N153"/>
    <mergeCell ref="P26:Q26"/>
    <mergeCell ref="M323:N323"/>
    <mergeCell ref="E55:F55"/>
    <mergeCell ref="G117:H117"/>
    <mergeCell ref="S180:T180"/>
    <mergeCell ref="Q145:R145"/>
    <mergeCell ref="K248:L248"/>
    <mergeCell ref="J463:L463"/>
    <mergeCell ref="K247:L247"/>
    <mergeCell ref="E329:H330"/>
    <mergeCell ref="S203:T203"/>
    <mergeCell ref="Q288:T288"/>
    <mergeCell ref="K249:L249"/>
    <mergeCell ref="M7:N7"/>
    <mergeCell ref="Q499:T499"/>
    <mergeCell ref="P165:P166"/>
    <mergeCell ref="K120:L120"/>
    <mergeCell ref="D230:D231"/>
    <mergeCell ref="E250:F250"/>
    <mergeCell ref="Q296:T297"/>
    <mergeCell ref="E76:F76"/>
    <mergeCell ref="G138:H138"/>
    <mergeCell ref="Q202:T202"/>
    <mergeCell ref="D68:H72"/>
    <mergeCell ref="E251:F251"/>
    <mergeCell ref="G140:H140"/>
    <mergeCell ref="D12:H13"/>
    <mergeCell ref="Q77:R77"/>
    <mergeCell ref="D314:H314"/>
    <mergeCell ref="S247:T247"/>
    <mergeCell ref="K173:L173"/>
    <mergeCell ref="J381:K381"/>
    <mergeCell ref="L417:N417"/>
    <mergeCell ref="S101:T101"/>
    <mergeCell ref="J331:J332"/>
    <mergeCell ref="E256:H257"/>
    <mergeCell ref="D486:H486"/>
    <mergeCell ref="Q59:R59"/>
    <mergeCell ref="P175:T179"/>
    <mergeCell ref="D36:E37"/>
    <mergeCell ref="K184:L184"/>
    <mergeCell ref="Q56:R56"/>
    <mergeCell ref="D354:E354"/>
    <mergeCell ref="E322:F322"/>
    <mergeCell ref="J500:J501"/>
    <mergeCell ref="D356:E356"/>
    <mergeCell ref="M250:N250"/>
    <mergeCell ref="E324:F324"/>
    <mergeCell ref="K500:N501"/>
    <mergeCell ref="Q141:R141"/>
    <mergeCell ref="D381:E381"/>
    <mergeCell ref="P82:P83"/>
    <mergeCell ref="Q230:R230"/>
    <mergeCell ref="E2:H3"/>
    <mergeCell ref="Q143:R143"/>
    <mergeCell ref="P293:P294"/>
    <mergeCell ref="K326:L326"/>
    <mergeCell ref="S207:T207"/>
    <mergeCell ref="P466:T466"/>
    <mergeCell ref="L519:N519"/>
    <mergeCell ref="J126:J127"/>
    <mergeCell ref="M121:N121"/>
    <mergeCell ref="P463:R463"/>
    <mergeCell ref="S217:T217"/>
    <mergeCell ref="K292:L292"/>
    <mergeCell ref="D306:E306"/>
    <mergeCell ref="M45:N45"/>
    <mergeCell ref="D525:T525"/>
    <mergeCell ref="E119:F119"/>
    <mergeCell ref="K289:L289"/>
    <mergeCell ref="Q182:R182"/>
    <mergeCell ref="K147:N148"/>
    <mergeCell ref="G183:H183"/>
    <mergeCell ref="S271:T271"/>
    <mergeCell ref="G185:H185"/>
    <mergeCell ref="G483:H483"/>
    <mergeCell ref="E122:F122"/>
    <mergeCell ref="P467:T478"/>
    <mergeCell ref="K313:L313"/>
    <mergeCell ref="S273:T27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E298:H299"/>
    <mergeCell ref="P79:P80"/>
    <mergeCell ref="L304:N304"/>
    <mergeCell ref="S294:T294"/>
    <mergeCell ref="Q81:T81"/>
    <mergeCell ref="P182:P185"/>
    <mergeCell ref="P132:T132"/>
    <mergeCell ref="Q74:T74"/>
    <mergeCell ref="M117:N117"/>
    <mergeCell ref="D301:T302"/>
    <mergeCell ref="M119:N119"/>
    <mergeCell ref="P404:P405"/>
    <mergeCell ref="D360:K362"/>
    <mergeCell ref="G224:H224"/>
    <mergeCell ref="G101:H101"/>
    <mergeCell ref="E438:H439"/>
    <mergeCell ref="Q404:T405"/>
    <mergeCell ref="E59:F59"/>
    <mergeCell ref="Q105:T106"/>
    <mergeCell ref="D391:E391"/>
    <mergeCell ref="P519:T519"/>
    <mergeCell ref="D219:H223"/>
    <mergeCell ref="M145:N145"/>
    <mergeCell ref="D175:H179"/>
    <mergeCell ref="J105:J106"/>
    <mergeCell ref="P304:Q304"/>
    <mergeCell ref="E54:F54"/>
    <mergeCell ref="J47:N51"/>
    <mergeCell ref="P306:Q306"/>
    <mergeCell ref="E56:F56"/>
    <mergeCell ref="Q292:R292"/>
    <mergeCell ref="K225:N225"/>
    <mergeCell ref="G120:H120"/>
    <mergeCell ref="S58:T58"/>
    <mergeCell ref="Q294:R294"/>
    <mergeCell ref="Q269:R269"/>
    <mergeCell ref="Q479:T479"/>
    <mergeCell ref="D531:K534"/>
    <mergeCell ref="K100:L100"/>
    <mergeCell ref="E230:F230"/>
    <mergeCell ref="P331:P332"/>
    <mergeCell ref="J464:N465"/>
    <mergeCell ref="M77:N77"/>
    <mergeCell ref="G207:H207"/>
    <mergeCell ref="E227:F227"/>
    <mergeCell ref="Q163:R163"/>
    <mergeCell ref="S79:T79"/>
    <mergeCell ref="P260:T260"/>
    <mergeCell ref="M87:N87"/>
    <mergeCell ref="G291:H291"/>
    <mergeCell ref="M59:N59"/>
    <mergeCell ref="Q323:R323"/>
    <mergeCell ref="K322:L322"/>
    <mergeCell ref="P315:T319"/>
    <mergeCell ref="D516:T517"/>
    <mergeCell ref="J480:J481"/>
    <mergeCell ref="K324:L324"/>
    <mergeCell ref="M54:N54"/>
    <mergeCell ref="D195:H195"/>
    <mergeCell ref="Q500:T501"/>
    <mergeCell ref="G184:H184"/>
    <mergeCell ref="D268:D271"/>
    <mergeCell ref="Q252:R252"/>
    <mergeCell ref="D483:F483"/>
    <mergeCell ref="S99:T99"/>
    <mergeCell ref="P103:P104"/>
    <mergeCell ref="J233:J234"/>
    <mergeCell ref="K166:L166"/>
    <mergeCell ref="J235:J236"/>
    <mergeCell ref="M141:N141"/>
    <mergeCell ref="J444:N444"/>
    <mergeCell ref="M230:N230"/>
    <mergeCell ref="M224:N224"/>
    <mergeCell ref="M143:N143"/>
    <mergeCell ref="M118:N118"/>
    <mergeCell ref="M441:N441"/>
    <mergeCell ref="D149:D150"/>
    <mergeCell ref="E185:F185"/>
    <mergeCell ref="Q54:R54"/>
    <mergeCell ref="G355:H355"/>
    <mergeCell ref="Q116:T116"/>
    <mergeCell ref="K96:L96"/>
    <mergeCell ref="K98:L98"/>
    <mergeCell ref="L336:N336"/>
    <mergeCell ref="D79:D80"/>
    <mergeCell ref="D182:D185"/>
    <mergeCell ref="D132:H132"/>
    <mergeCell ref="Q100:R100"/>
    <mergeCell ref="G287:H287"/>
    <mergeCell ref="M180:N180"/>
    <mergeCell ref="D389:T389"/>
    <mergeCell ref="K238:L238"/>
    <mergeCell ref="S77:T77"/>
    <mergeCell ref="D105:D106"/>
    <mergeCell ref="J226:J229"/>
    <mergeCell ref="P40:T40"/>
    <mergeCell ref="G289:H289"/>
    <mergeCell ref="M182:N182"/>
    <mergeCell ref="J240:N244"/>
    <mergeCell ref="S166:T166"/>
    <mergeCell ref="D409:H411"/>
    <mergeCell ref="E249:F249"/>
    <mergeCell ref="A33:B51"/>
    <mergeCell ref="E105:H106"/>
    <mergeCell ref="Q160:T160"/>
    <mergeCell ref="G313:H313"/>
    <mergeCell ref="K296:N297"/>
    <mergeCell ref="D304:E304"/>
    <mergeCell ref="K298:N299"/>
    <mergeCell ref="D15:T15"/>
    <mergeCell ref="R304:T304"/>
    <mergeCell ref="P480:P481"/>
    <mergeCell ref="K162:L162"/>
    <mergeCell ref="E95:H95"/>
    <mergeCell ref="L531:T534"/>
    <mergeCell ref="K164:L164"/>
    <mergeCell ref="M226:N226"/>
    <mergeCell ref="E269:F269"/>
    <mergeCell ref="M228:N228"/>
    <mergeCell ref="S121:T121"/>
    <mergeCell ref="Q58:R58"/>
    <mergeCell ref="K438:N439"/>
    <mergeCell ref="D147:D148"/>
    <mergeCell ref="P161:P164"/>
    <mergeCell ref="G326:H326"/>
    <mergeCell ref="S421:T421"/>
    <mergeCell ref="P422:T423"/>
    <mergeCell ref="K59:L59"/>
    <mergeCell ref="P210:P211"/>
    <mergeCell ref="G30:H30"/>
    <mergeCell ref="S152:T152"/>
    <mergeCell ref="S118:T118"/>
    <mergeCell ref="L305:N305"/>
    <mergeCell ref="L20:T21"/>
    <mergeCell ref="P47:T51"/>
    <mergeCell ref="D260:H260"/>
    <mergeCell ref="Q232:T232"/>
    <mergeCell ref="M249:N249"/>
    <mergeCell ref="P487:T498"/>
    <mergeCell ref="E323:F323"/>
    <mergeCell ref="R350:T350"/>
    <mergeCell ref="D315:H319"/>
    <mergeCell ref="E194:F194"/>
    <mergeCell ref="G381:H381"/>
    <mergeCell ref="E500:H501"/>
    <mergeCell ref="K203:L203"/>
    <mergeCell ref="D103:D104"/>
    <mergeCell ref="J174:N174"/>
    <mergeCell ref="J466:N466"/>
    <mergeCell ref="M269:N269"/>
    <mergeCell ref="D322:D325"/>
    <mergeCell ref="K212:N213"/>
    <mergeCell ref="D63:D64"/>
    <mergeCell ref="G100:H100"/>
    <mergeCell ref="G94:H94"/>
    <mergeCell ref="F305:H305"/>
    <mergeCell ref="D240:H244"/>
    <mergeCell ref="S59:T59"/>
    <mergeCell ref="Q142:R142"/>
    <mergeCell ref="P350:Q350"/>
    <mergeCell ref="J195:N195"/>
    <mergeCell ref="F36:H37"/>
    <mergeCell ref="P509:T509"/>
    <mergeCell ref="G322:H322"/>
    <mergeCell ref="Q173:R173"/>
    <mergeCell ref="G324:H324"/>
    <mergeCell ref="S201:T201"/>
    <mergeCell ref="P235:P236"/>
    <mergeCell ref="P207:P208"/>
    <mergeCell ref="Q227:R227"/>
    <mergeCell ref="S143:T143"/>
    <mergeCell ref="M252:N252"/>
    <mergeCell ref="D535:T535"/>
    <mergeCell ref="D96:D99"/>
    <mergeCell ref="M245:N245"/>
    <mergeCell ref="D46:H46"/>
    <mergeCell ref="D110:H114"/>
    <mergeCell ref="G166:H166"/>
    <mergeCell ref="J210:J211"/>
    <mergeCell ref="D340:H340"/>
    <mergeCell ref="S290:T290"/>
    <mergeCell ref="E160:H160"/>
    <mergeCell ref="P254:P255"/>
    <mergeCell ref="Q98:R98"/>
    <mergeCell ref="K207:L207"/>
    <mergeCell ref="K480:N481"/>
    <mergeCell ref="E168:H169"/>
    <mergeCell ref="J109:N109"/>
    <mergeCell ref="J487:N498"/>
    <mergeCell ref="J58:J59"/>
    <mergeCell ref="F304:H304"/>
    <mergeCell ref="S162:T162"/>
    <mergeCell ref="J386:J387"/>
    <mergeCell ref="P303:Q303"/>
    <mergeCell ref="F306:H306"/>
    <mergeCell ref="G96:H96"/>
    <mergeCell ref="J441:L441"/>
    <mergeCell ref="Q87:R87"/>
    <mergeCell ref="S187:T187"/>
    <mergeCell ref="M294:N294"/>
    <mergeCell ref="K231:L231"/>
    <mergeCell ref="G98:H98"/>
    <mergeCell ref="P89:T93"/>
    <mergeCell ref="Q238:R238"/>
    <mergeCell ref="F303:H303"/>
    <mergeCell ref="P174:T174"/>
    <mergeCell ref="Q63:T64"/>
    <mergeCell ref="S182:T182"/>
    <mergeCell ref="P396:P397"/>
    <mergeCell ref="Q118:R118"/>
    <mergeCell ref="D355:E355"/>
    <mergeCell ref="Q267:T267"/>
    <mergeCell ref="J63:J64"/>
    <mergeCell ref="M293:N293"/>
    <mergeCell ref="J281:N281"/>
    <mergeCell ref="M320:N320"/>
    <mergeCell ref="K105:N106"/>
    <mergeCell ref="E45:F45"/>
    <mergeCell ref="Q275:T276"/>
    <mergeCell ref="Q181:T181"/>
    <mergeCell ref="D47:H51"/>
    <mergeCell ref="Q108:R108"/>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41 D463 D483 J421 J441 J463 J483 P421 P441 P463 P483" showDropDown="0" showInputMessage="0" showErrorMessage="0" allowBlank="1" type="list">
      <formula1>DADOS_AM!$BV$2:$BV$17</formula1>
    </dataValidation>
    <dataValidation sqref="L509 L519 L529" showDropDown="0" showInputMessage="0" showErrorMessage="0" allowBlank="1" type="list">
      <formula1>DADOS_AM!$CP$2:$CP$5</formula1>
    </dataValidation>
    <dataValidation sqref="P509 P519 P529"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5"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IF(DADOS!$CZ$45&gt;=30,"NÍVEL MÁXIMO","FALTA PARA O NÍVEL "&amp;(DADOS!$CZ$45+1))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DADOS!$CZ$44</f>
        <v/>
      </c>
      <c r="AX11" s="14" t="n"/>
      <c r="AY11" s="14" t="n"/>
      <c r="AZ11" s="14" t="n"/>
      <c r="BA11" s="15" t="n"/>
      <c r="BB11" s="115" t="n"/>
      <c r="BC11" s="89">
        <f>IF(DADOS!$CZ$46&amp;""="","—",MAX(0,DADOS!$CZ$46-DADOS!$CZ$44))</f>
        <v/>
      </c>
      <c r="BD11" s="15" t="n"/>
      <c r="BE11" s="127">
        <f>IFERROR(SPARKLINE(MAX(0,DADOS!$CZ$44-DADOS!$CZ$47),{"charttype","bar";"max",MAX(1,N(DADOS!$CZ$46)-DADOS!$CZ$47);"color1",DADOS!$CZ$48}),"")</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0" t="n"/>
      <c r="AZ15" s="120" t="n"/>
      <c r="BA15" s="120">
        <f>IF($AX15="","",IFERROR(FLOOR(ROUND(VLOOKUP($AX15,DADOS!$CL$5:$CM$10,2,FALSE)*IF($AY15="",1,VLOOKUP($AY15,DADOS!$CO$5:$CP$7,2,FALSE))*IF($AZ15="",1,VLOOKUP($AZ15,DADOS!$CR$5:$CS$9,2,FALSE)),4),12.5),""))</f>
        <v/>
      </c>
      <c r="BB15" s="115" t="n"/>
      <c r="BC15" s="127" t="n"/>
      <c r="BD15" s="127" t="n"/>
      <c r="BE15" s="120" t="n"/>
      <c r="BF15" s="120" t="n"/>
      <c r="BG15" s="120">
        <f>IF($BD15="","",IFERROR(FLOOR(ROUND(VLOOKUP($BD15,DADOS!$CL$5:$CM$10,2,FALSE)*IF($BE15="",1,VLOOKUP($BE15,DADOS!$CO$5:$CP$7,2,FALSE))*IF($BF15="",1,VLOOKUP($BF15,DADOS!$CR$5:$CS$9,2,FALSE)),4),12.5),""))</f>
        <v/>
      </c>
      <c r="BH15" s="115" t="n"/>
      <c r="BI15" s="127" t="n"/>
      <c r="BJ15" s="127" t="n"/>
      <c r="BK15" s="120" t="n"/>
      <c r="BL15" s="120" t="n"/>
      <c r="BM15" s="120">
        <f>IF($BJ15="","",IFERROR(FLOOR(ROUND(VLOOKUP($BJ15,DADOS!$CL$5:$CM$10,2,FALSE)*IF($BK15="",1,VLOOKUP($BK15,DADOS!$CO$5:$CP$7,2,FALSE))*IF($BL15="",1,VLOOKUP($BL15,DADOS!$CR$5:$CS$9,2,FALSE)),4),12.5),""))</f>
        <v/>
      </c>
      <c r="BN15" s="115" t="n"/>
      <c r="BO15" s="127" t="n"/>
      <c r="BP15" s="127" t="n"/>
      <c r="BQ15" s="120" t="n"/>
      <c r="BR15" s="120" t="n"/>
      <c r="BS15" s="120">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0" t="n"/>
      <c r="AZ16" s="120" t="n"/>
      <c r="BA16" s="120">
        <f>IF($AX16="","",IFERROR(FLOOR(ROUND(VLOOKUP($AX16,DADOS!$CL$5:$CM$10,2,FALSE)*IF($AY16="",1,VLOOKUP($AY16,DADOS!$CO$5:$CP$7,2,FALSE))*IF($AZ16="",1,VLOOKUP($AZ16,DADOS!$CR$5:$CS$9,2,FALSE)),4),12.5),""))</f>
        <v/>
      </c>
      <c r="BB16" s="115" t="n"/>
      <c r="BC16" s="127" t="n"/>
      <c r="BD16" s="127" t="n"/>
      <c r="BE16" s="120" t="n"/>
      <c r="BF16" s="120" t="n"/>
      <c r="BG16" s="120">
        <f>IF($BD16="","",IFERROR(FLOOR(ROUND(VLOOKUP($BD16,DADOS!$CL$5:$CM$10,2,FALSE)*IF($BE16="",1,VLOOKUP($BE16,DADOS!$CO$5:$CP$7,2,FALSE))*IF($BF16="",1,VLOOKUP($BF16,DADOS!$CR$5:$CS$9,2,FALSE)),4),12.5),""))</f>
        <v/>
      </c>
      <c r="BH16" s="115" t="n"/>
      <c r="BI16" s="127" t="n"/>
      <c r="BJ16" s="127" t="n"/>
      <c r="BK16" s="120" t="n"/>
      <c r="BL16" s="120" t="n"/>
      <c r="BM16" s="120">
        <f>IF($BJ16="","",IFERROR(FLOOR(ROUND(VLOOKUP($BJ16,DADOS!$CL$5:$CM$10,2,FALSE)*IF($BK16="",1,VLOOKUP($BK16,DADOS!$CO$5:$CP$7,2,FALSE))*IF($BL16="",1,VLOOKUP($BL16,DADOS!$CR$5:$CS$9,2,FALSE)),4),12.5),""))</f>
        <v/>
      </c>
      <c r="BN16" s="115" t="n"/>
      <c r="BO16" s="127" t="n"/>
      <c r="BP16" s="127" t="n"/>
      <c r="BQ16" s="120" t="n"/>
      <c r="BR16" s="120" t="n"/>
      <c r="BS16" s="120">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0" t="n"/>
      <c r="AZ17" s="120" t="n"/>
      <c r="BA17" s="120">
        <f>IF($AX17="","",IFERROR(FLOOR(ROUND(VLOOKUP($AX17,DADOS!$CL$5:$CM$10,2,FALSE)*IF($AY17="",1,VLOOKUP($AY17,DADOS!$CO$5:$CP$7,2,FALSE))*IF($AZ17="",1,VLOOKUP($AZ17,DADOS!$CR$5:$CS$9,2,FALSE)),4),12.5),""))</f>
        <v/>
      </c>
      <c r="BB17" s="115" t="n"/>
      <c r="BC17" s="127" t="n"/>
      <c r="BD17" s="127" t="n"/>
      <c r="BE17" s="120" t="n"/>
      <c r="BF17" s="120" t="n"/>
      <c r="BG17" s="120">
        <f>IF($BD17="","",IFERROR(FLOOR(ROUND(VLOOKUP($BD17,DADOS!$CL$5:$CM$10,2,FALSE)*IF($BE17="",1,VLOOKUP($BE17,DADOS!$CO$5:$CP$7,2,FALSE))*IF($BF17="",1,VLOOKUP($BF17,DADOS!$CR$5:$CS$9,2,FALSE)),4),12.5),""))</f>
        <v/>
      </c>
      <c r="BH17" s="115" t="n"/>
      <c r="BI17" s="127" t="n"/>
      <c r="BJ17" s="127" t="n"/>
      <c r="BK17" s="120" t="n"/>
      <c r="BL17" s="120" t="n"/>
      <c r="BM17" s="120">
        <f>IF($BJ17="","",IFERROR(FLOOR(ROUND(VLOOKUP($BJ17,DADOS!$CL$5:$CM$10,2,FALSE)*IF($BK17="",1,VLOOKUP($BK17,DADOS!$CO$5:$CP$7,2,FALSE))*IF($BL17="",1,VLOOKUP($BL17,DADOS!$CR$5:$CS$9,2,FALSE)),4),12.5),""))</f>
        <v/>
      </c>
      <c r="BN17" s="115" t="n"/>
      <c r="BO17" s="127" t="n"/>
      <c r="BP17" s="127" t="n"/>
      <c r="BQ17" s="120" t="n"/>
      <c r="BR17" s="120" t="n"/>
      <c r="BS17" s="120">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0" t="n"/>
      <c r="AZ18" s="120" t="n"/>
      <c r="BA18" s="120">
        <f>IF($AX18="","",IFERROR(FLOOR(ROUND(VLOOKUP($AX18,DADOS!$CL$5:$CM$10,2,FALSE)*IF($AY18="",1,VLOOKUP($AY18,DADOS!$CO$5:$CP$7,2,FALSE))*IF($AZ18="",1,VLOOKUP($AZ18,DADOS!$CR$5:$CS$9,2,FALSE)),4),12.5),""))</f>
        <v/>
      </c>
      <c r="BB18" s="115" t="n"/>
      <c r="BC18" s="127" t="n"/>
      <c r="BD18" s="127" t="n"/>
      <c r="BE18" s="120" t="n"/>
      <c r="BF18" s="120" t="n"/>
      <c r="BG18" s="120">
        <f>IF($BD18="","",IFERROR(FLOOR(ROUND(VLOOKUP($BD18,DADOS!$CL$5:$CM$10,2,FALSE)*IF($BE18="",1,VLOOKUP($BE18,DADOS!$CO$5:$CP$7,2,FALSE))*IF($BF18="",1,VLOOKUP($BF18,DADOS!$CR$5:$CS$9,2,FALSE)),4),12.5),""))</f>
        <v/>
      </c>
      <c r="BH18" s="115" t="n"/>
      <c r="BI18" s="127" t="n"/>
      <c r="BJ18" s="127" t="n"/>
      <c r="BK18" s="120" t="n"/>
      <c r="BL18" s="120" t="n"/>
      <c r="BM18" s="120">
        <f>IF($BJ18="","",IFERROR(FLOOR(ROUND(VLOOKUP($BJ18,DADOS!$CL$5:$CM$10,2,FALSE)*IF($BK18="",1,VLOOKUP($BK18,DADOS!$CO$5:$CP$7,2,FALSE))*IF($BL18="",1,VLOOKUP($BL18,DADOS!$CR$5:$CS$9,2,FALSE)),4),12.5),""))</f>
        <v/>
      </c>
      <c r="BN18" s="115" t="n"/>
      <c r="BO18" s="127" t="n"/>
      <c r="BP18" s="127" t="n"/>
      <c r="BQ18" s="120" t="n"/>
      <c r="BR18" s="120" t="n"/>
      <c r="BS18" s="120">
        <f>IF($BP18="","",IFERROR(FLOOR(ROUND(VLOOKUP($BP18,DADOS!$CL$5:$CM$10,2,FALSE)*IF($BQ18="",1,VLOOKUP($BQ18,DADOS!$CO$5:$CP$7,2,FALSE))*IF($BR18="",1,VLOOKUP($BR18,DADOS!$CR$5:$CS$9,2,FALSE)),4),12.5),""))</f>
        <v/>
      </c>
      <c r="BT18" s="115" t="n"/>
    </row>
    <row r="19">
      <c r="B19" s="17" t="n"/>
      <c r="C19" s="115" t="n"/>
      <c r="D19" s="16" t="n"/>
      <c r="O19" s="17" t="n"/>
      <c r="P19" s="115" t="n"/>
      <c r="Q19" s="119"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0" t="n"/>
      <c r="AZ19" s="120" t="n"/>
      <c r="BA19" s="120">
        <f>IF($AX19="","",IFERROR(FLOOR(ROUND(VLOOKUP($AX19,DADOS!$CL$5:$CM$10,2,FALSE)*IF($AY19="",1,VLOOKUP($AY19,DADOS!$CO$5:$CP$7,2,FALSE))*IF($AZ19="",1,VLOOKUP($AZ19,DADOS!$CR$5:$CS$9,2,FALSE)),4),12.5),""))</f>
        <v/>
      </c>
      <c r="BB19" s="115" t="n"/>
      <c r="BC19" s="127" t="n"/>
      <c r="BD19" s="127" t="n"/>
      <c r="BE19" s="120" t="n"/>
      <c r="BF19" s="120" t="n"/>
      <c r="BG19" s="120">
        <f>IF($BD19="","",IFERROR(FLOOR(ROUND(VLOOKUP($BD19,DADOS!$CL$5:$CM$10,2,FALSE)*IF($BE19="",1,VLOOKUP($BE19,DADOS!$CO$5:$CP$7,2,FALSE))*IF($BF19="",1,VLOOKUP($BF19,DADOS!$CR$5:$CS$9,2,FALSE)),4),12.5),""))</f>
        <v/>
      </c>
      <c r="BH19" s="115" t="n"/>
      <c r="BI19" s="127" t="n"/>
      <c r="BJ19" s="127" t="n"/>
      <c r="BK19" s="120" t="n"/>
      <c r="BL19" s="120" t="n"/>
      <c r="BM19" s="120">
        <f>IF($BJ19="","",IFERROR(FLOOR(ROUND(VLOOKUP($BJ19,DADOS!$CL$5:$CM$10,2,FALSE)*IF($BK19="",1,VLOOKUP($BK19,DADOS!$CO$5:$CP$7,2,FALSE))*IF($BL19="",1,VLOOKUP($BL19,DADOS!$CR$5:$CS$9,2,FALSE)),4),12.5),""))</f>
        <v/>
      </c>
      <c r="BN19" s="115" t="n"/>
      <c r="BO19" s="127" t="n"/>
      <c r="BP19" s="127" t="n"/>
      <c r="BQ19" s="120" t="n"/>
      <c r="BR19" s="120" t="n"/>
      <c r="BS19" s="120">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0" t="n"/>
      <c r="AZ20" s="120" t="n"/>
      <c r="BA20" s="120">
        <f>IF($AX20="","",IFERROR(FLOOR(ROUND(VLOOKUP($AX20,DADOS!$CL$5:$CM$10,2,FALSE)*IF($AY20="",1,VLOOKUP($AY20,DADOS!$CO$5:$CP$7,2,FALSE))*IF($AZ20="",1,VLOOKUP($AZ20,DADOS!$CR$5:$CS$9,2,FALSE)),4),12.5),""))</f>
        <v/>
      </c>
      <c r="BB20" s="115" t="n"/>
      <c r="BC20" s="127" t="n"/>
      <c r="BD20" s="127" t="n"/>
      <c r="BE20" s="120" t="n"/>
      <c r="BF20" s="120" t="n"/>
      <c r="BG20" s="120">
        <f>IF($BD20="","",IFERROR(FLOOR(ROUND(VLOOKUP($BD20,DADOS!$CL$5:$CM$10,2,FALSE)*IF($BE20="",1,VLOOKUP($BE20,DADOS!$CO$5:$CP$7,2,FALSE))*IF($BF20="",1,VLOOKUP($BF20,DADOS!$CR$5:$CS$9,2,FALSE)),4),12.5),""))</f>
        <v/>
      </c>
      <c r="BH20" s="115" t="n"/>
      <c r="BI20" s="127" t="n"/>
      <c r="BJ20" s="127" t="n"/>
      <c r="BK20" s="120" t="n"/>
      <c r="BL20" s="120" t="n"/>
      <c r="BM20" s="120">
        <f>IF($BJ20="","",IFERROR(FLOOR(ROUND(VLOOKUP($BJ20,DADOS!$CL$5:$CM$10,2,FALSE)*IF($BK20="",1,VLOOKUP($BK20,DADOS!$CO$5:$CP$7,2,FALSE))*IF($BL20="",1,VLOOKUP($BL20,DADOS!$CR$5:$CS$9,2,FALSE)),4),12.5),""))</f>
        <v/>
      </c>
      <c r="BN20" s="115" t="n"/>
      <c r="BO20" s="127" t="n"/>
      <c r="BP20" s="127" t="n"/>
      <c r="BQ20" s="120" t="n"/>
      <c r="BR20" s="120" t="n"/>
      <c r="BS20" s="120">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0" t="n"/>
      <c r="AZ21" s="120" t="n"/>
      <c r="BA21" s="120">
        <f>IF($AX21="","",IFERROR(FLOOR(ROUND(VLOOKUP($AX21,DADOS!$CL$5:$CM$10,2,FALSE)*IF($AY21="",1,VLOOKUP($AY21,DADOS!$CO$5:$CP$7,2,FALSE))*IF($AZ21="",1,VLOOKUP($AZ21,DADOS!$CR$5:$CS$9,2,FALSE)),4),12.5),""))</f>
        <v/>
      </c>
      <c r="BB21" s="115" t="n"/>
      <c r="BC21" s="127" t="n"/>
      <c r="BD21" s="127" t="n"/>
      <c r="BE21" s="120" t="n"/>
      <c r="BF21" s="120" t="n"/>
      <c r="BG21" s="120">
        <f>IF($BD21="","",IFERROR(FLOOR(ROUND(VLOOKUP($BD21,DADOS!$CL$5:$CM$10,2,FALSE)*IF($BE21="",1,VLOOKUP($BE21,DADOS!$CO$5:$CP$7,2,FALSE))*IF($BF21="",1,VLOOKUP($BF21,DADOS!$CR$5:$CS$9,2,FALSE)),4),12.5),""))</f>
        <v/>
      </c>
      <c r="BH21" s="115" t="n"/>
      <c r="BI21" s="127" t="n"/>
      <c r="BJ21" s="127" t="n"/>
      <c r="BK21" s="120" t="n"/>
      <c r="BL21" s="120" t="n"/>
      <c r="BM21" s="120">
        <f>IF($BJ21="","",IFERROR(FLOOR(ROUND(VLOOKUP($BJ21,DADOS!$CL$5:$CM$10,2,FALSE)*IF($BK21="",1,VLOOKUP($BK21,DADOS!$CO$5:$CP$7,2,FALSE))*IF($BL21="",1,VLOOKUP($BL21,DADOS!$CR$5:$CS$9,2,FALSE)),4),12.5),""))</f>
        <v/>
      </c>
      <c r="BN21" s="115" t="n"/>
      <c r="BO21" s="127" t="n"/>
      <c r="BP21" s="127" t="n"/>
      <c r="BQ21" s="120" t="n"/>
      <c r="BR21" s="120" t="n"/>
      <c r="BS21" s="120">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0" t="n"/>
      <c r="AZ22" s="120" t="n"/>
      <c r="BA22" s="120">
        <f>IF($AX22="","",IFERROR(FLOOR(ROUND(VLOOKUP($AX22,DADOS!$CL$5:$CM$10,2,FALSE)*IF($AY22="",1,VLOOKUP($AY22,DADOS!$CO$5:$CP$7,2,FALSE))*IF($AZ22="",1,VLOOKUP($AZ22,DADOS!$CR$5:$CS$9,2,FALSE)),4),12.5),""))</f>
        <v/>
      </c>
      <c r="BB22" s="115" t="n"/>
      <c r="BC22" s="127" t="n"/>
      <c r="BD22" s="127" t="n"/>
      <c r="BE22" s="120" t="n"/>
      <c r="BF22" s="120" t="n"/>
      <c r="BG22" s="120">
        <f>IF($BD22="","",IFERROR(FLOOR(ROUND(VLOOKUP($BD22,DADOS!$CL$5:$CM$10,2,FALSE)*IF($BE22="",1,VLOOKUP($BE22,DADOS!$CO$5:$CP$7,2,FALSE))*IF($BF22="",1,VLOOKUP($BF22,DADOS!$CR$5:$CS$9,2,FALSE)),4),12.5),""))</f>
        <v/>
      </c>
      <c r="BH22" s="115" t="n"/>
      <c r="BI22" s="127" t="n"/>
      <c r="BJ22" s="127" t="n"/>
      <c r="BK22" s="120" t="n"/>
      <c r="BL22" s="120" t="n"/>
      <c r="BM22" s="120">
        <f>IF($BJ22="","",IFERROR(FLOOR(ROUND(VLOOKUP($BJ22,DADOS!$CL$5:$CM$10,2,FALSE)*IF($BK22="",1,VLOOKUP($BK22,DADOS!$CO$5:$CP$7,2,FALSE))*IF($BL22="",1,VLOOKUP($BL22,DADOS!$CR$5:$CS$9,2,FALSE)),4),12.5),""))</f>
        <v/>
      </c>
      <c r="BN22" s="115" t="n"/>
      <c r="BO22" s="127" t="n"/>
      <c r="BP22" s="127" t="n"/>
      <c r="BQ22" s="120" t="n"/>
      <c r="BR22" s="120" t="n"/>
      <c r="BS22" s="120">
        <f>IF($BP22="","",IFERROR(FLOOR(ROUND(VLOOKUP($BP22,DADOS!$CL$5:$CM$10,2,FALSE)*IF($BQ22="",1,VLOOKUP($BQ22,DADOS!$CO$5:$CP$7,2,FALSE))*IF($BR22="",1,VLOOKUP($BR22,DADOS!$CR$5:$CS$9,2,FALSE)),4),12.5),""))</f>
        <v/>
      </c>
      <c r="BT22" s="115" t="n"/>
    </row>
    <row r="23">
      <c r="B23" s="17" t="n"/>
      <c r="C23" s="115" t="n"/>
      <c r="D23" s="16" t="n"/>
      <c r="O23" s="17" t="n"/>
      <c r="P23" s="115" t="n"/>
      <c r="Q23" s="119"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0" t="n"/>
      <c r="AZ23" s="120" t="n"/>
      <c r="BA23" s="120">
        <f>IF($AX23="","",IFERROR(FLOOR(ROUND(VLOOKUP($AX23,DADOS!$CL$5:$CM$10,2,FALSE)*IF($AY23="",1,VLOOKUP($AY23,DADOS!$CO$5:$CP$7,2,FALSE))*IF($AZ23="",1,VLOOKUP($AZ23,DADOS!$CR$5:$CS$9,2,FALSE)),4),12.5),""))</f>
        <v/>
      </c>
      <c r="BB23" s="115" t="n"/>
      <c r="BC23" s="127" t="n"/>
      <c r="BD23" s="127" t="n"/>
      <c r="BE23" s="120" t="n"/>
      <c r="BF23" s="120" t="n"/>
      <c r="BG23" s="120">
        <f>IF($BD23="","",IFERROR(FLOOR(ROUND(VLOOKUP($BD23,DADOS!$CL$5:$CM$10,2,FALSE)*IF($BE23="",1,VLOOKUP($BE23,DADOS!$CO$5:$CP$7,2,FALSE))*IF($BF23="",1,VLOOKUP($BF23,DADOS!$CR$5:$CS$9,2,FALSE)),4),12.5),""))</f>
        <v/>
      </c>
      <c r="BH23" s="115" t="n"/>
      <c r="BI23" s="127" t="n"/>
      <c r="BJ23" s="127" t="n"/>
      <c r="BK23" s="120" t="n"/>
      <c r="BL23" s="120" t="n"/>
      <c r="BM23" s="120">
        <f>IF($BJ23="","",IFERROR(FLOOR(ROUND(VLOOKUP($BJ23,DADOS!$CL$5:$CM$10,2,FALSE)*IF($BK23="",1,VLOOKUP($BK23,DADOS!$CO$5:$CP$7,2,FALSE))*IF($BL23="",1,VLOOKUP($BL23,DADOS!$CR$5:$CS$9,2,FALSE)),4),12.5),""))</f>
        <v/>
      </c>
      <c r="BN23" s="115" t="n"/>
      <c r="BO23" s="127" t="n"/>
      <c r="BP23" s="127" t="n"/>
      <c r="BQ23" s="120" t="n"/>
      <c r="BR23" s="120" t="n"/>
      <c r="BS23" s="120">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0" t="n"/>
      <c r="AZ24" s="120" t="n"/>
      <c r="BA24" s="120">
        <f>IF($AX24="","",IFERROR(FLOOR(ROUND(VLOOKUP($AX24,DADOS!$CL$5:$CM$10,2,FALSE)*IF($AY24="",1,VLOOKUP($AY24,DADOS!$CO$5:$CP$7,2,FALSE))*IF($AZ24="",1,VLOOKUP($AZ24,DADOS!$CR$5:$CS$9,2,FALSE)),4),12.5),""))</f>
        <v/>
      </c>
      <c r="BB24" s="115" t="n"/>
      <c r="BC24" s="127" t="n"/>
      <c r="BD24" s="127" t="n"/>
      <c r="BE24" s="120" t="n"/>
      <c r="BF24" s="120" t="n"/>
      <c r="BG24" s="120">
        <f>IF($BD24="","",IFERROR(FLOOR(ROUND(VLOOKUP($BD24,DADOS!$CL$5:$CM$10,2,FALSE)*IF($BE24="",1,VLOOKUP($BE24,DADOS!$CO$5:$CP$7,2,FALSE))*IF($BF24="",1,VLOOKUP($BF24,DADOS!$CR$5:$CS$9,2,FALSE)),4),12.5),""))</f>
        <v/>
      </c>
      <c r="BH24" s="115" t="n"/>
      <c r="BI24" s="127" t="n"/>
      <c r="BJ24" s="127" t="n"/>
      <c r="BK24" s="120" t="n"/>
      <c r="BL24" s="120" t="n"/>
      <c r="BM24" s="120">
        <f>IF($BJ24="","",IFERROR(FLOOR(ROUND(VLOOKUP($BJ24,DADOS!$CL$5:$CM$10,2,FALSE)*IF($BK24="",1,VLOOKUP($BK24,DADOS!$CO$5:$CP$7,2,FALSE))*IF($BL24="",1,VLOOKUP($BL24,DADOS!$CR$5:$CS$9,2,FALSE)),4),12.5),""))</f>
        <v/>
      </c>
      <c r="BN24" s="115" t="n"/>
      <c r="BO24" s="127" t="n"/>
      <c r="BP24" s="127" t="n"/>
      <c r="BQ24" s="120" t="n"/>
      <c r="BR24" s="120" t="n"/>
      <c r="BS24" s="120">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0" t="n"/>
      <c r="AZ25" s="120" t="n"/>
      <c r="BA25" s="120">
        <f>IF($AX25="","",IFERROR(FLOOR(ROUND(VLOOKUP($AX25,DADOS!$CL$5:$CM$10,2,FALSE)*IF($AY25="",1,VLOOKUP($AY25,DADOS!$CO$5:$CP$7,2,FALSE))*IF($AZ25="",1,VLOOKUP($AZ25,DADOS!$CR$5:$CS$9,2,FALSE)),4),12.5),""))</f>
        <v/>
      </c>
      <c r="BB25" s="115" t="n"/>
      <c r="BC25" s="127" t="n"/>
      <c r="BD25" s="127" t="n"/>
      <c r="BE25" s="120" t="n"/>
      <c r="BF25" s="120" t="n"/>
      <c r="BG25" s="120">
        <f>IF($BD25="","",IFERROR(FLOOR(ROUND(VLOOKUP($BD25,DADOS!$CL$5:$CM$10,2,FALSE)*IF($BE25="",1,VLOOKUP($BE25,DADOS!$CO$5:$CP$7,2,FALSE))*IF($BF25="",1,VLOOKUP($BF25,DADOS!$CR$5:$CS$9,2,FALSE)),4),12.5),""))</f>
        <v/>
      </c>
      <c r="BH25" s="115" t="n"/>
      <c r="BI25" s="127" t="n"/>
      <c r="BJ25" s="127" t="n"/>
      <c r="BK25" s="120" t="n"/>
      <c r="BL25" s="120" t="n"/>
      <c r="BM25" s="120">
        <f>IF($BJ25="","",IFERROR(FLOOR(ROUND(VLOOKUP($BJ25,DADOS!$CL$5:$CM$10,2,FALSE)*IF($BK25="",1,VLOOKUP($BK25,DADOS!$CO$5:$CP$7,2,FALSE))*IF($BL25="",1,VLOOKUP($BL25,DADOS!$CR$5:$CS$9,2,FALSE)),4),12.5),""))</f>
        <v/>
      </c>
      <c r="BN25" s="115" t="n"/>
      <c r="BO25" s="127" t="n"/>
      <c r="BP25" s="127" t="n"/>
      <c r="BQ25" s="120" t="n"/>
      <c r="BR25" s="120" t="n"/>
      <c r="BS25" s="120">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0" t="n"/>
      <c r="AZ26" s="120" t="n"/>
      <c r="BA26" s="120">
        <f>IF($AX26="","",IFERROR(FLOOR(ROUND(VLOOKUP($AX26,DADOS!$CL$5:$CM$10,2,FALSE)*IF($AY26="",1,VLOOKUP($AY26,DADOS!$CO$5:$CP$7,2,FALSE))*IF($AZ26="",1,VLOOKUP($AZ26,DADOS!$CR$5:$CS$9,2,FALSE)),4),12.5),""))</f>
        <v/>
      </c>
      <c r="BB26" s="115" t="n"/>
      <c r="BC26" s="127" t="n"/>
      <c r="BD26" s="127" t="n"/>
      <c r="BE26" s="120" t="n"/>
      <c r="BF26" s="120" t="n"/>
      <c r="BG26" s="120">
        <f>IF($BD26="","",IFERROR(FLOOR(ROUND(VLOOKUP($BD26,DADOS!$CL$5:$CM$10,2,FALSE)*IF($BE26="",1,VLOOKUP($BE26,DADOS!$CO$5:$CP$7,2,FALSE))*IF($BF26="",1,VLOOKUP($BF26,DADOS!$CR$5:$CS$9,2,FALSE)),4),12.5),""))</f>
        <v/>
      </c>
      <c r="BH26" s="115" t="n"/>
      <c r="BI26" s="127" t="n"/>
      <c r="BJ26" s="127" t="n"/>
      <c r="BK26" s="120" t="n"/>
      <c r="BL26" s="120" t="n"/>
      <c r="BM26" s="120">
        <f>IF($BJ26="","",IFERROR(FLOOR(ROUND(VLOOKUP($BJ26,DADOS!$CL$5:$CM$10,2,FALSE)*IF($BK26="",1,VLOOKUP($BK26,DADOS!$CO$5:$CP$7,2,FALSE))*IF($BL26="",1,VLOOKUP($BL26,DADOS!$CR$5:$CS$9,2,FALSE)),4),12.5),""))</f>
        <v/>
      </c>
      <c r="BN26" s="115" t="n"/>
      <c r="BO26" s="127" t="n"/>
      <c r="BP26" s="127" t="n"/>
      <c r="BQ26" s="120" t="n"/>
      <c r="BR26" s="120" t="n"/>
      <c r="BS26" s="120">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0" t="n"/>
      <c r="AZ27" s="120" t="n"/>
      <c r="BA27" s="120">
        <f>IF($AX27="","",IFERROR(FLOOR(ROUND(VLOOKUP($AX27,DADOS!$CL$5:$CM$10,2,FALSE)*IF($AY27="",1,VLOOKUP($AY27,DADOS!$CO$5:$CP$7,2,FALSE))*IF($AZ27="",1,VLOOKUP($AZ27,DADOS!$CR$5:$CS$9,2,FALSE)),4),12.5),""))</f>
        <v/>
      </c>
      <c r="BB27" s="115" t="n"/>
      <c r="BC27" s="127" t="n"/>
      <c r="BD27" s="127" t="n"/>
      <c r="BE27" s="120" t="n"/>
      <c r="BF27" s="120" t="n"/>
      <c r="BG27" s="120">
        <f>IF($BD27="","",IFERROR(FLOOR(ROUND(VLOOKUP($BD27,DADOS!$CL$5:$CM$10,2,FALSE)*IF($BE27="",1,VLOOKUP($BE27,DADOS!$CO$5:$CP$7,2,FALSE))*IF($BF27="",1,VLOOKUP($BF27,DADOS!$CR$5:$CS$9,2,FALSE)),4),12.5),""))</f>
        <v/>
      </c>
      <c r="BH27" s="115" t="n"/>
      <c r="BI27" s="127" t="n"/>
      <c r="BJ27" s="127" t="n"/>
      <c r="BK27" s="120" t="n"/>
      <c r="BL27" s="120" t="n"/>
      <c r="BM27" s="120">
        <f>IF($BJ27="","",IFERROR(FLOOR(ROUND(VLOOKUP($BJ27,DADOS!$CL$5:$CM$10,2,FALSE)*IF($BK27="",1,VLOOKUP($BK27,DADOS!$CO$5:$CP$7,2,FALSE))*IF($BL27="",1,VLOOKUP($BL27,DADOS!$CR$5:$CS$9,2,FALSE)),4),12.5),""))</f>
        <v/>
      </c>
      <c r="BN27" s="115" t="n"/>
      <c r="BO27" s="127" t="n"/>
      <c r="BP27" s="127" t="n"/>
      <c r="BQ27" s="120" t="n"/>
      <c r="BR27" s="120" t="n"/>
      <c r="BS27" s="120">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0" t="n"/>
      <c r="AZ28" s="120" t="n"/>
      <c r="BA28" s="120">
        <f>IF($AX28="","",IFERROR(FLOOR(ROUND(VLOOKUP($AX28,DADOS!$CL$5:$CM$10,2,FALSE)*IF($AY28="",1,VLOOKUP($AY28,DADOS!$CO$5:$CP$7,2,FALSE))*IF($AZ28="",1,VLOOKUP($AZ28,DADOS!$CR$5:$CS$9,2,FALSE)),4),12.5),""))</f>
        <v/>
      </c>
      <c r="BB28" s="115" t="n"/>
      <c r="BC28" s="127" t="n"/>
      <c r="BD28" s="127" t="n"/>
      <c r="BE28" s="120" t="n"/>
      <c r="BF28" s="120" t="n"/>
      <c r="BG28" s="120">
        <f>IF($BD28="","",IFERROR(FLOOR(ROUND(VLOOKUP($BD28,DADOS!$CL$5:$CM$10,2,FALSE)*IF($BE28="",1,VLOOKUP($BE28,DADOS!$CO$5:$CP$7,2,FALSE))*IF($BF28="",1,VLOOKUP($BF28,DADOS!$CR$5:$CS$9,2,FALSE)),4),12.5),""))</f>
        <v/>
      </c>
      <c r="BH28" s="115" t="n"/>
      <c r="BI28" s="127" t="n"/>
      <c r="BJ28" s="127" t="n"/>
      <c r="BK28" s="120" t="n"/>
      <c r="BL28" s="120" t="n"/>
      <c r="BM28" s="120">
        <f>IF($BJ28="","",IFERROR(FLOOR(ROUND(VLOOKUP($BJ28,DADOS!$CL$5:$CM$10,2,FALSE)*IF($BK28="",1,VLOOKUP($BK28,DADOS!$CO$5:$CP$7,2,FALSE))*IF($BL28="",1,VLOOKUP($BL28,DADOS!$CR$5:$CS$9,2,FALSE)),4),12.5),""))</f>
        <v/>
      </c>
      <c r="BN28" s="115" t="n"/>
      <c r="BO28" s="127" t="n"/>
      <c r="BP28" s="127" t="n"/>
      <c r="BQ28" s="120" t="n"/>
      <c r="BR28" s="120" t="n"/>
      <c r="BS28" s="120">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0" t="n"/>
      <c r="AZ29" s="120" t="n"/>
      <c r="BA29" s="120">
        <f>IF($AX29="","",IFERROR(FLOOR(ROUND(VLOOKUP($AX29,DADOS!$CL$5:$CM$10,2,FALSE)*IF($AY29="",1,VLOOKUP($AY29,DADOS!$CO$5:$CP$7,2,FALSE))*IF($AZ29="",1,VLOOKUP($AZ29,DADOS!$CR$5:$CS$9,2,FALSE)),4),12.5),""))</f>
        <v/>
      </c>
      <c r="BB29" s="115" t="n"/>
      <c r="BC29" s="127" t="n"/>
      <c r="BD29" s="127" t="n"/>
      <c r="BE29" s="120" t="n"/>
      <c r="BF29" s="120" t="n"/>
      <c r="BG29" s="120">
        <f>IF($BD29="","",IFERROR(FLOOR(ROUND(VLOOKUP($BD29,DADOS!$CL$5:$CM$10,2,FALSE)*IF($BE29="",1,VLOOKUP($BE29,DADOS!$CO$5:$CP$7,2,FALSE))*IF($BF29="",1,VLOOKUP($BF29,DADOS!$CR$5:$CS$9,2,FALSE)),4),12.5),""))</f>
        <v/>
      </c>
      <c r="BH29" s="115" t="n"/>
      <c r="BI29" s="127" t="n"/>
      <c r="BJ29" s="127" t="n"/>
      <c r="BK29" s="120" t="n"/>
      <c r="BL29" s="120" t="n"/>
      <c r="BM29" s="120">
        <f>IF($BJ29="","",IFERROR(FLOOR(ROUND(VLOOKUP($BJ29,DADOS!$CL$5:$CM$10,2,FALSE)*IF($BK29="",1,VLOOKUP($BK29,DADOS!$CO$5:$CP$7,2,FALSE))*IF($BL29="",1,VLOOKUP($BL29,DADOS!$CR$5:$CS$9,2,FALSE)),4),12.5),""))</f>
        <v/>
      </c>
      <c r="BN29" s="115" t="n"/>
      <c r="BO29" s="127" t="n"/>
      <c r="BP29" s="127" t="n"/>
      <c r="BQ29" s="120" t="n"/>
      <c r="BR29" s="120" t="n"/>
      <c r="BS29" s="120">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0" t="n"/>
      <c r="AZ30" s="120" t="n"/>
      <c r="BA30" s="120">
        <f>IF($AX30="","",IFERROR(FLOOR(ROUND(VLOOKUP($AX30,DADOS!$CL$5:$CM$10,2,FALSE)*IF($AY30="",1,VLOOKUP($AY30,DADOS!$CO$5:$CP$7,2,FALSE))*IF($AZ30="",1,VLOOKUP($AZ30,DADOS!$CR$5:$CS$9,2,FALSE)),4),12.5),""))</f>
        <v/>
      </c>
      <c r="BB30" s="115" t="n"/>
      <c r="BC30" s="127" t="n"/>
      <c r="BD30" s="127" t="n"/>
      <c r="BE30" s="120" t="n"/>
      <c r="BF30" s="120" t="n"/>
      <c r="BG30" s="120">
        <f>IF($BD30="","",IFERROR(FLOOR(ROUND(VLOOKUP($BD30,DADOS!$CL$5:$CM$10,2,FALSE)*IF($BE30="",1,VLOOKUP($BE30,DADOS!$CO$5:$CP$7,2,FALSE))*IF($BF30="",1,VLOOKUP($BF30,DADOS!$CR$5:$CS$9,2,FALSE)),4),12.5),""))</f>
        <v/>
      </c>
      <c r="BH30" s="115" t="n"/>
      <c r="BI30" s="127" t="n"/>
      <c r="BJ30" s="127" t="n"/>
      <c r="BK30" s="120" t="n"/>
      <c r="BL30" s="120" t="n"/>
      <c r="BM30" s="120">
        <f>IF($BJ30="","",IFERROR(FLOOR(ROUND(VLOOKUP($BJ30,DADOS!$CL$5:$CM$10,2,FALSE)*IF($BK30="",1,VLOOKUP($BK30,DADOS!$CO$5:$CP$7,2,FALSE))*IF($BL30="",1,VLOOKUP($BL30,DADOS!$CR$5:$CS$9,2,FALSE)),4),12.5),""))</f>
        <v/>
      </c>
      <c r="BN30" s="115" t="n"/>
      <c r="BO30" s="127" t="n"/>
      <c r="BP30" s="127" t="n"/>
      <c r="BQ30" s="120" t="n"/>
      <c r="BR30" s="120" t="n"/>
      <c r="BS30" s="120">
        <f>IF($BP30="","",IFERROR(FLOOR(ROUND(VLOOKUP($BP30,DADOS!$CL$5:$CM$10,2,FALSE)*IF($BQ30="",1,VLOOKUP($BQ30,DADOS!$CO$5:$CP$7,2,FALSE))*IF($BR30="",1,VLOOKUP($BR30,DADOS!$CR$5:$CS$9,2,FALSE)),4),12.5),""))</f>
        <v/>
      </c>
      <c r="BT30" s="115" t="n"/>
    </row>
    <row r="31">
      <c r="A31" s="8" t="n"/>
      <c r="B31" s="22" t="n"/>
      <c r="C31" s="115" t="n"/>
      <c r="D31" s="119"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0" t="n"/>
      <c r="AZ31" s="120" t="n"/>
      <c r="BA31" s="120">
        <f>IF($AX31="","",IFERROR(FLOOR(ROUND(VLOOKUP($AX31,DADOS!$CL$5:$CM$10,2,FALSE)*IF($AY31="",1,VLOOKUP($AY31,DADOS!$CO$5:$CP$7,2,FALSE))*IF($AZ31="",1,VLOOKUP($AZ31,DADOS!$CR$5:$CS$9,2,FALSE)),4),12.5),""))</f>
        <v/>
      </c>
      <c r="BB31" s="115" t="n"/>
      <c r="BC31" s="127" t="n"/>
      <c r="BD31" s="127" t="n"/>
      <c r="BE31" s="120" t="n"/>
      <c r="BF31" s="120" t="n"/>
      <c r="BG31" s="120">
        <f>IF($BD31="","",IFERROR(FLOOR(ROUND(VLOOKUP($BD31,DADOS!$CL$5:$CM$10,2,FALSE)*IF($BE31="",1,VLOOKUP($BE31,DADOS!$CO$5:$CP$7,2,FALSE))*IF($BF31="",1,VLOOKUP($BF31,DADOS!$CR$5:$CS$9,2,FALSE)),4),12.5),""))</f>
        <v/>
      </c>
      <c r="BH31" s="115" t="n"/>
      <c r="BI31" s="127" t="n"/>
      <c r="BJ31" s="127" t="n"/>
      <c r="BK31" s="120" t="n"/>
      <c r="BL31" s="120" t="n"/>
      <c r="BM31" s="120">
        <f>IF($BJ31="","",IFERROR(FLOOR(ROUND(VLOOKUP($BJ31,DADOS!$CL$5:$CM$10,2,FALSE)*IF($BK31="",1,VLOOKUP($BK31,DADOS!$CO$5:$CP$7,2,FALSE))*IF($BL31="",1,VLOOKUP($BL31,DADOS!$CR$5:$CS$9,2,FALSE)),4),12.5),""))</f>
        <v/>
      </c>
      <c r="BN31" s="115" t="n"/>
      <c r="BO31" s="127" t="n"/>
      <c r="BP31" s="127" t="n"/>
      <c r="BQ31" s="120" t="n"/>
      <c r="BR31" s="120" t="n"/>
      <c r="BS31" s="120">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0" t="n"/>
      <c r="AZ32" s="120" t="n"/>
      <c r="BA32" s="120">
        <f>IF($AX32="","",IFERROR(FLOOR(ROUND(VLOOKUP($AX32,DADOS!$CL$5:$CM$10,2,FALSE)*IF($AY32="",1,VLOOKUP($AY32,DADOS!$CO$5:$CP$7,2,FALSE))*IF($AZ32="",1,VLOOKUP($AZ32,DADOS!$CR$5:$CS$9,2,FALSE)),4),12.5),""))</f>
        <v/>
      </c>
      <c r="BB32" s="115" t="n"/>
      <c r="BC32" s="127" t="n"/>
      <c r="BD32" s="127" t="n"/>
      <c r="BE32" s="120" t="n"/>
      <c r="BF32" s="120" t="n"/>
      <c r="BG32" s="120">
        <f>IF($BD32="","",IFERROR(FLOOR(ROUND(VLOOKUP($BD32,DADOS!$CL$5:$CM$10,2,FALSE)*IF($BE32="",1,VLOOKUP($BE32,DADOS!$CO$5:$CP$7,2,FALSE))*IF($BF32="",1,VLOOKUP($BF32,DADOS!$CR$5:$CS$9,2,FALSE)),4),12.5),""))</f>
        <v/>
      </c>
      <c r="BH32" s="115" t="n"/>
      <c r="BI32" s="127" t="n"/>
      <c r="BJ32" s="127" t="n"/>
      <c r="BK32" s="120" t="n"/>
      <c r="BL32" s="120" t="n"/>
      <c r="BM32" s="120">
        <f>IF($BJ32="","",IFERROR(FLOOR(ROUND(VLOOKUP($BJ32,DADOS!$CL$5:$CM$10,2,FALSE)*IF($BK32="",1,VLOOKUP($BK32,DADOS!$CO$5:$CP$7,2,FALSE))*IF($BL32="",1,VLOOKUP($BL32,DADOS!$CR$5:$CS$9,2,FALSE)),4),12.5),""))</f>
        <v/>
      </c>
      <c r="BN32" s="115" t="n"/>
      <c r="BO32" s="127" t="n"/>
      <c r="BP32" s="127" t="n"/>
      <c r="BQ32" s="120" t="n"/>
      <c r="BR32" s="120" t="n"/>
      <c r="BS32" s="120">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19"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0" t="n"/>
      <c r="AZ33" s="120" t="n"/>
      <c r="BA33" s="120">
        <f>IF($AX33="","",IFERROR(FLOOR(ROUND(VLOOKUP($AX33,DADOS!$CL$5:$CM$10,2,FALSE)*IF($AY33="",1,VLOOKUP($AY33,DADOS!$CO$5:$CP$7,2,FALSE))*IF($AZ33="",1,VLOOKUP($AZ33,DADOS!$CR$5:$CS$9,2,FALSE)),4),12.5),""))</f>
        <v/>
      </c>
      <c r="BB33" s="115" t="n"/>
      <c r="BC33" s="127" t="n"/>
      <c r="BD33" s="127" t="n"/>
      <c r="BE33" s="120" t="n"/>
      <c r="BF33" s="120" t="n"/>
      <c r="BG33" s="120">
        <f>IF($BD33="","",IFERROR(FLOOR(ROUND(VLOOKUP($BD33,DADOS!$CL$5:$CM$10,2,FALSE)*IF($BE33="",1,VLOOKUP($BE33,DADOS!$CO$5:$CP$7,2,FALSE))*IF($BF33="",1,VLOOKUP($BF33,DADOS!$CR$5:$CS$9,2,FALSE)),4),12.5),""))</f>
        <v/>
      </c>
      <c r="BH33" s="115" t="n"/>
      <c r="BI33" s="127" t="n"/>
      <c r="BJ33" s="127" t="n"/>
      <c r="BK33" s="120" t="n"/>
      <c r="BL33" s="120" t="n"/>
      <c r="BM33" s="120">
        <f>IF($BJ33="","",IFERROR(FLOOR(ROUND(VLOOKUP($BJ33,DADOS!$CL$5:$CM$10,2,FALSE)*IF($BK33="",1,VLOOKUP($BK33,DADOS!$CO$5:$CP$7,2,FALSE))*IF($BL33="",1,VLOOKUP($BL33,DADOS!$CR$5:$CS$9,2,FALSE)),4),12.5),""))</f>
        <v/>
      </c>
      <c r="BN33" s="115" t="n"/>
      <c r="BO33" s="127" t="n"/>
      <c r="BP33" s="127" t="n"/>
      <c r="BQ33" s="120" t="n"/>
      <c r="BR33" s="120" t="n"/>
      <c r="BS33" s="120">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0" t="n"/>
      <c r="AZ34" s="120" t="n"/>
      <c r="BA34" s="120">
        <f>IF($AX34="","",IFERROR(FLOOR(ROUND(VLOOKUP($AX34,DADOS!$CL$5:$CM$10,2,FALSE)*IF($AY34="",1,VLOOKUP($AY34,DADOS!$CO$5:$CP$7,2,FALSE))*IF($AZ34="",1,VLOOKUP($AZ34,DADOS!$CR$5:$CS$9,2,FALSE)),4),12.5),""))</f>
        <v/>
      </c>
      <c r="BB34" s="115" t="n"/>
      <c r="BC34" s="127" t="n"/>
      <c r="BD34" s="127" t="n"/>
      <c r="BE34" s="120" t="n"/>
      <c r="BF34" s="120" t="n"/>
      <c r="BG34" s="120">
        <f>IF($BD34="","",IFERROR(FLOOR(ROUND(VLOOKUP($BD34,DADOS!$CL$5:$CM$10,2,FALSE)*IF($BE34="",1,VLOOKUP($BE34,DADOS!$CO$5:$CP$7,2,FALSE))*IF($BF34="",1,VLOOKUP($BF34,DADOS!$CR$5:$CS$9,2,FALSE)),4),12.5),""))</f>
        <v/>
      </c>
      <c r="BH34" s="115" t="n"/>
      <c r="BI34" s="127" t="n"/>
      <c r="BJ34" s="127" t="n"/>
      <c r="BK34" s="120" t="n"/>
      <c r="BL34" s="120" t="n"/>
      <c r="BM34" s="120">
        <f>IF($BJ34="","",IFERROR(FLOOR(ROUND(VLOOKUP($BJ34,DADOS!$CL$5:$CM$10,2,FALSE)*IF($BK34="",1,VLOOKUP($BK34,DADOS!$CO$5:$CP$7,2,FALSE))*IF($BL34="",1,VLOOKUP($BL34,DADOS!$CR$5:$CS$9,2,FALSE)),4),12.5),""))</f>
        <v/>
      </c>
      <c r="BN34" s="115" t="n"/>
      <c r="BO34" s="127" t="n"/>
      <c r="BP34" s="127" t="n"/>
      <c r="BQ34" s="120" t="n"/>
      <c r="BR34" s="120" t="n"/>
      <c r="BS34" s="120">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0" t="n"/>
      <c r="AZ35" s="120" t="n"/>
      <c r="BA35" s="120">
        <f>IF($AX35="","",IFERROR(FLOOR(ROUND(VLOOKUP($AX35,DADOS!$CL$5:$CM$10,2,FALSE)*IF($AY35="",1,VLOOKUP($AY35,DADOS!$CO$5:$CP$7,2,FALSE))*IF($AZ35="",1,VLOOKUP($AZ35,DADOS!$CR$5:$CS$9,2,FALSE)),4),12.5),""))</f>
        <v/>
      </c>
      <c r="BB35" s="115" t="n"/>
      <c r="BC35" s="127" t="n"/>
      <c r="BD35" s="127" t="n"/>
      <c r="BE35" s="120" t="n"/>
      <c r="BF35" s="120" t="n"/>
      <c r="BG35" s="120">
        <f>IF($BD35="","",IFERROR(FLOOR(ROUND(VLOOKUP($BD35,DADOS!$CL$5:$CM$10,2,FALSE)*IF($BE35="",1,VLOOKUP($BE35,DADOS!$CO$5:$CP$7,2,FALSE))*IF($BF35="",1,VLOOKUP($BF35,DADOS!$CR$5:$CS$9,2,FALSE)),4),12.5),""))</f>
        <v/>
      </c>
      <c r="BH35" s="115" t="n"/>
      <c r="BI35" s="127" t="n"/>
      <c r="BJ35" s="127" t="n"/>
      <c r="BK35" s="120" t="n"/>
      <c r="BL35" s="120" t="n"/>
      <c r="BM35" s="120">
        <f>IF($BJ35="","",IFERROR(FLOOR(ROUND(VLOOKUP($BJ35,DADOS!$CL$5:$CM$10,2,FALSE)*IF($BK35="",1,VLOOKUP($BK35,DADOS!$CO$5:$CP$7,2,FALSE))*IF($BL35="",1,VLOOKUP($BL35,DADOS!$CR$5:$CS$9,2,FALSE)),4),12.5),""))</f>
        <v/>
      </c>
      <c r="BN35" s="115" t="n"/>
      <c r="BO35" s="127" t="n"/>
      <c r="BP35" s="127" t="n"/>
      <c r="BQ35" s="120" t="n"/>
      <c r="BR35" s="120" t="n"/>
      <c r="BS35" s="120">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0" t="n"/>
      <c r="AZ36" s="120" t="n"/>
      <c r="BA36" s="120">
        <f>IF($AX36="","",IFERROR(FLOOR(ROUND(VLOOKUP($AX36,DADOS!$CL$5:$CM$10,2,FALSE)*IF($AY36="",1,VLOOKUP($AY36,DADOS!$CO$5:$CP$7,2,FALSE))*IF($AZ36="",1,VLOOKUP($AZ36,DADOS!$CR$5:$CS$9,2,FALSE)),4),12.5),""))</f>
        <v/>
      </c>
      <c r="BB36" s="115" t="n"/>
      <c r="BC36" s="127" t="n"/>
      <c r="BD36" s="127" t="n"/>
      <c r="BE36" s="120" t="n"/>
      <c r="BF36" s="120" t="n"/>
      <c r="BG36" s="120">
        <f>IF($BD36="","",IFERROR(FLOOR(ROUND(VLOOKUP($BD36,DADOS!$CL$5:$CM$10,2,FALSE)*IF($BE36="",1,VLOOKUP($BE36,DADOS!$CO$5:$CP$7,2,FALSE))*IF($BF36="",1,VLOOKUP($BF36,DADOS!$CR$5:$CS$9,2,FALSE)),4),12.5),""))</f>
        <v/>
      </c>
      <c r="BH36" s="115" t="n"/>
      <c r="BI36" s="127" t="n"/>
      <c r="BJ36" s="127" t="n"/>
      <c r="BK36" s="120" t="n"/>
      <c r="BL36" s="120" t="n"/>
      <c r="BM36" s="120">
        <f>IF($BJ36="","",IFERROR(FLOOR(ROUND(VLOOKUP($BJ36,DADOS!$CL$5:$CM$10,2,FALSE)*IF($BK36="",1,VLOOKUP($BK36,DADOS!$CO$5:$CP$7,2,FALSE))*IF($BL36="",1,VLOOKUP($BL36,DADOS!$CR$5:$CS$9,2,FALSE)),4),12.5),""))</f>
        <v/>
      </c>
      <c r="BN36" s="115" t="n"/>
      <c r="BO36" s="127" t="n"/>
      <c r="BP36" s="127" t="n"/>
      <c r="BQ36" s="120" t="n"/>
      <c r="BR36" s="120" t="n"/>
      <c r="BS36" s="120">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0" t="n"/>
      <c r="AZ37" s="120" t="n"/>
      <c r="BA37" s="120">
        <f>IF($AX37="","",IFERROR(FLOOR(ROUND(VLOOKUP($AX37,DADOS!$CL$5:$CM$10,2,FALSE)*IF($AY37="",1,VLOOKUP($AY37,DADOS!$CO$5:$CP$7,2,FALSE))*IF($AZ37="",1,VLOOKUP($AZ37,DADOS!$CR$5:$CS$9,2,FALSE)),4),12.5),""))</f>
        <v/>
      </c>
      <c r="BB37" s="115" t="n"/>
      <c r="BC37" s="127" t="n"/>
      <c r="BD37" s="127" t="n"/>
      <c r="BE37" s="120" t="n"/>
      <c r="BF37" s="120" t="n"/>
      <c r="BG37" s="120">
        <f>IF($BD37="","",IFERROR(FLOOR(ROUND(VLOOKUP($BD37,DADOS!$CL$5:$CM$10,2,FALSE)*IF($BE37="",1,VLOOKUP($BE37,DADOS!$CO$5:$CP$7,2,FALSE))*IF($BF37="",1,VLOOKUP($BF37,DADOS!$CR$5:$CS$9,2,FALSE)),4),12.5),""))</f>
        <v/>
      </c>
      <c r="BH37" s="115" t="n"/>
      <c r="BI37" s="127" t="n"/>
      <c r="BJ37" s="127" t="n"/>
      <c r="BK37" s="120" t="n"/>
      <c r="BL37" s="120" t="n"/>
      <c r="BM37" s="120">
        <f>IF($BJ37="","",IFERROR(FLOOR(ROUND(VLOOKUP($BJ37,DADOS!$CL$5:$CM$10,2,FALSE)*IF($BK37="",1,VLOOKUP($BK37,DADOS!$CO$5:$CP$7,2,FALSE))*IF($BL37="",1,VLOOKUP($BL37,DADOS!$CR$5:$CS$9,2,FALSE)),4),12.5),""))</f>
        <v/>
      </c>
      <c r="BN37" s="115" t="n"/>
      <c r="BO37" s="127" t="n"/>
      <c r="BP37" s="127" t="n"/>
      <c r="BQ37" s="120" t="n"/>
      <c r="BR37" s="120" t="n"/>
      <c r="BS37" s="120">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0" t="n"/>
      <c r="AZ38" s="120" t="n"/>
      <c r="BA38" s="120">
        <f>IF($AX38="","",IFERROR(FLOOR(ROUND(VLOOKUP($AX38,DADOS!$CL$5:$CM$10,2,FALSE)*IF($AY38="",1,VLOOKUP($AY38,DADOS!$CO$5:$CP$7,2,FALSE))*IF($AZ38="",1,VLOOKUP($AZ38,DADOS!$CR$5:$CS$9,2,FALSE)),4),12.5),""))</f>
        <v/>
      </c>
      <c r="BB38" s="115" t="n"/>
      <c r="BC38" s="127" t="n"/>
      <c r="BD38" s="127" t="n"/>
      <c r="BE38" s="120" t="n"/>
      <c r="BF38" s="120" t="n"/>
      <c r="BG38" s="120">
        <f>IF($BD38="","",IFERROR(FLOOR(ROUND(VLOOKUP($BD38,DADOS!$CL$5:$CM$10,2,FALSE)*IF($BE38="",1,VLOOKUP($BE38,DADOS!$CO$5:$CP$7,2,FALSE))*IF($BF38="",1,VLOOKUP($BF38,DADOS!$CR$5:$CS$9,2,FALSE)),4),12.5),""))</f>
        <v/>
      </c>
      <c r="BH38" s="115" t="n"/>
      <c r="BI38" s="127" t="n"/>
      <c r="BJ38" s="127" t="n"/>
      <c r="BK38" s="120" t="n"/>
      <c r="BL38" s="120" t="n"/>
      <c r="BM38" s="120">
        <f>IF($BJ38="","",IFERROR(FLOOR(ROUND(VLOOKUP($BJ38,DADOS!$CL$5:$CM$10,2,FALSE)*IF($BK38="",1,VLOOKUP($BK38,DADOS!$CO$5:$CP$7,2,FALSE))*IF($BL38="",1,VLOOKUP($BL38,DADOS!$CR$5:$CS$9,2,FALSE)),4),12.5),""))</f>
        <v/>
      </c>
      <c r="BN38" s="115" t="n"/>
      <c r="BO38" s="127" t="n"/>
      <c r="BP38" s="127" t="n"/>
      <c r="BQ38" s="120" t="n"/>
      <c r="BR38" s="120" t="n"/>
      <c r="BS38" s="120">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0" t="n"/>
      <c r="AZ39" s="120" t="n"/>
      <c r="BA39" s="120">
        <f>IF($AX39="","",IFERROR(FLOOR(ROUND(VLOOKUP($AX39,DADOS!$CL$5:$CM$10,2,FALSE)*IF($AY39="",1,VLOOKUP($AY39,DADOS!$CO$5:$CP$7,2,FALSE))*IF($AZ39="",1,VLOOKUP($AZ39,DADOS!$CR$5:$CS$9,2,FALSE)),4),12.5),""))</f>
        <v/>
      </c>
      <c r="BB39" s="115" t="n"/>
      <c r="BC39" s="127" t="n"/>
      <c r="BD39" s="127" t="n"/>
      <c r="BE39" s="120" t="n"/>
      <c r="BF39" s="120" t="n"/>
      <c r="BG39" s="120">
        <f>IF($BD39="","",IFERROR(FLOOR(ROUND(VLOOKUP($BD39,DADOS!$CL$5:$CM$10,2,FALSE)*IF($BE39="",1,VLOOKUP($BE39,DADOS!$CO$5:$CP$7,2,FALSE))*IF($BF39="",1,VLOOKUP($BF39,DADOS!$CR$5:$CS$9,2,FALSE)),4),12.5),""))</f>
        <v/>
      </c>
      <c r="BH39" s="115" t="n"/>
      <c r="BI39" s="127" t="n"/>
      <c r="BJ39" s="127" t="n"/>
      <c r="BK39" s="120" t="n"/>
      <c r="BL39" s="120" t="n"/>
      <c r="BM39" s="120">
        <f>IF($BJ39="","",IFERROR(FLOOR(ROUND(VLOOKUP($BJ39,DADOS!$CL$5:$CM$10,2,FALSE)*IF($BK39="",1,VLOOKUP($BK39,DADOS!$CO$5:$CP$7,2,FALSE))*IF($BL39="",1,VLOOKUP($BL39,DADOS!$CR$5:$CS$9,2,FALSE)),4),12.5),""))</f>
        <v/>
      </c>
      <c r="BN39" s="115" t="n"/>
      <c r="BO39" s="127" t="n"/>
      <c r="BP39" s="127" t="n"/>
      <c r="BQ39" s="120" t="n"/>
      <c r="BR39" s="120" t="n"/>
      <c r="BS39" s="120">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0" t="n"/>
      <c r="AZ40" s="120" t="n"/>
      <c r="BA40" s="120">
        <f>IF($AX40="","",IFERROR(FLOOR(ROUND(VLOOKUP($AX40,DADOS!$CL$5:$CM$10,2,FALSE)*IF($AY40="",1,VLOOKUP($AY40,DADOS!$CO$5:$CP$7,2,FALSE))*IF($AZ40="",1,VLOOKUP($AZ40,DADOS!$CR$5:$CS$9,2,FALSE)),4),12.5),""))</f>
        <v/>
      </c>
      <c r="BB40" s="115" t="n"/>
      <c r="BC40" s="127" t="n"/>
      <c r="BD40" s="127" t="n"/>
      <c r="BE40" s="120" t="n"/>
      <c r="BF40" s="120" t="n"/>
      <c r="BG40" s="120">
        <f>IF($BD40="","",IFERROR(FLOOR(ROUND(VLOOKUP($BD40,DADOS!$CL$5:$CM$10,2,FALSE)*IF($BE40="",1,VLOOKUP($BE40,DADOS!$CO$5:$CP$7,2,FALSE))*IF($BF40="",1,VLOOKUP($BF40,DADOS!$CR$5:$CS$9,2,FALSE)),4),12.5),""))</f>
        <v/>
      </c>
      <c r="BH40" s="115" t="n"/>
      <c r="BI40" s="127" t="n"/>
      <c r="BJ40" s="127" t="n"/>
      <c r="BK40" s="120" t="n"/>
      <c r="BL40" s="120" t="n"/>
      <c r="BM40" s="120">
        <f>IF($BJ40="","",IFERROR(FLOOR(ROUND(VLOOKUP($BJ40,DADOS!$CL$5:$CM$10,2,FALSE)*IF($BK40="",1,VLOOKUP($BK40,DADOS!$CO$5:$CP$7,2,FALSE))*IF($BL40="",1,VLOOKUP($BL40,DADOS!$CR$5:$CS$9,2,FALSE)),4),12.5),""))</f>
        <v/>
      </c>
      <c r="BN40" s="115" t="n"/>
      <c r="BO40" s="127" t="n"/>
      <c r="BP40" s="127" t="n"/>
      <c r="BQ40" s="120" t="n"/>
      <c r="BR40" s="120" t="n"/>
      <c r="BS40" s="120">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0" t="n"/>
      <c r="AZ41" s="120" t="n"/>
      <c r="BA41" s="120">
        <f>IF($AX41="","",IFERROR(FLOOR(ROUND(VLOOKUP($AX41,DADOS!$CL$5:$CM$10,2,FALSE)*IF($AY41="",1,VLOOKUP($AY41,DADOS!$CO$5:$CP$7,2,FALSE))*IF($AZ41="",1,VLOOKUP($AZ41,DADOS!$CR$5:$CS$9,2,FALSE)),4),12.5),""))</f>
        <v/>
      </c>
      <c r="BB41" s="115" t="n"/>
      <c r="BC41" s="127" t="n"/>
      <c r="BD41" s="127" t="n"/>
      <c r="BE41" s="120" t="n"/>
      <c r="BF41" s="120" t="n"/>
      <c r="BG41" s="120">
        <f>IF($BD41="","",IFERROR(FLOOR(ROUND(VLOOKUP($BD41,DADOS!$CL$5:$CM$10,2,FALSE)*IF($BE41="",1,VLOOKUP($BE41,DADOS!$CO$5:$CP$7,2,FALSE))*IF($BF41="",1,VLOOKUP($BF41,DADOS!$CR$5:$CS$9,2,FALSE)),4),12.5),""))</f>
        <v/>
      </c>
      <c r="BH41" s="115" t="n"/>
      <c r="BI41" s="127" t="n"/>
      <c r="BJ41" s="127" t="n"/>
      <c r="BK41" s="120" t="n"/>
      <c r="BL41" s="120" t="n"/>
      <c r="BM41" s="120">
        <f>IF($BJ41="","",IFERROR(FLOOR(ROUND(VLOOKUP($BJ41,DADOS!$CL$5:$CM$10,2,FALSE)*IF($BK41="",1,VLOOKUP($BK41,DADOS!$CO$5:$CP$7,2,FALSE))*IF($BL41="",1,VLOOKUP($BL41,DADOS!$CR$5:$CS$9,2,FALSE)),4),12.5),""))</f>
        <v/>
      </c>
      <c r="BN41" s="115" t="n"/>
      <c r="BO41" s="127" t="n"/>
      <c r="BP41" s="127" t="n"/>
      <c r="BQ41" s="120" t="n"/>
      <c r="BR41" s="120" t="n"/>
      <c r="BS41" s="120">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0" t="n"/>
      <c r="AZ42" s="120" t="n"/>
      <c r="BA42" s="120">
        <f>IF($AX42="","",IFERROR(FLOOR(ROUND(VLOOKUP($AX42,DADOS!$CL$5:$CM$10,2,FALSE)*IF($AY42="",1,VLOOKUP($AY42,DADOS!$CO$5:$CP$7,2,FALSE))*IF($AZ42="",1,VLOOKUP($AZ42,DADOS!$CR$5:$CS$9,2,FALSE)),4),12.5),""))</f>
        <v/>
      </c>
      <c r="BB42" s="115" t="n"/>
      <c r="BC42" s="127" t="n"/>
      <c r="BD42" s="127" t="n"/>
      <c r="BE42" s="120" t="n"/>
      <c r="BF42" s="120" t="n"/>
      <c r="BG42" s="120">
        <f>IF($BD42="","",IFERROR(FLOOR(ROUND(VLOOKUP($BD42,DADOS!$CL$5:$CM$10,2,FALSE)*IF($BE42="",1,VLOOKUP($BE42,DADOS!$CO$5:$CP$7,2,FALSE))*IF($BF42="",1,VLOOKUP($BF42,DADOS!$CR$5:$CS$9,2,FALSE)),4),12.5),""))</f>
        <v/>
      </c>
      <c r="BH42" s="115" t="n"/>
      <c r="BI42" s="127" t="n"/>
      <c r="BJ42" s="127" t="n"/>
      <c r="BK42" s="120" t="n"/>
      <c r="BL42" s="120" t="n"/>
      <c r="BM42" s="120">
        <f>IF($BJ42="","",IFERROR(FLOOR(ROUND(VLOOKUP($BJ42,DADOS!$CL$5:$CM$10,2,FALSE)*IF($BK42="",1,VLOOKUP($BK42,DADOS!$CO$5:$CP$7,2,FALSE))*IF($BL42="",1,VLOOKUP($BL42,DADOS!$CR$5:$CS$9,2,FALSE)),4),12.5),""))</f>
        <v/>
      </c>
      <c r="BN42" s="115" t="n"/>
      <c r="BO42" s="127" t="n"/>
      <c r="BP42" s="127" t="n"/>
      <c r="BQ42" s="120" t="n"/>
      <c r="BR42" s="120" t="n"/>
      <c r="BS42" s="120">
        <f>IF($BP42="","",IFERROR(FLOOR(ROUND(VLOOKUP($BP42,DADOS!$CL$5:$CM$10,2,FALSE)*IF($BQ42="",1,VLOOKUP($BQ42,DADOS!$CO$5:$CP$7,2,FALSE))*IF($BR42="",1,VLOOKUP($BR42,DADOS!$CR$5:$CS$9,2,FALSE)),4),12.5),""))</f>
        <v/>
      </c>
      <c r="BT42" s="115" t="n"/>
    </row>
    <row r="43">
      <c r="B43" s="17" t="n"/>
      <c r="C43" s="115" t="n"/>
      <c r="D43" s="126">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5" t="n"/>
      <c r="AV43" s="115" t="n"/>
      <c r="AW43" s="127" t="n"/>
      <c r="AX43" s="127" t="n"/>
      <c r="AY43" s="120" t="n"/>
      <c r="AZ43" s="120" t="n"/>
      <c r="BA43" s="120">
        <f>IF($AX43="","",IFERROR(FLOOR(ROUND(VLOOKUP($AX43,DADOS!$CL$5:$CM$10,2,FALSE)*IF($AY43="",1,VLOOKUP($AY43,DADOS!$CO$5:$CP$7,2,FALSE))*IF($AZ43="",1,VLOOKUP($AZ43,DADOS!$CR$5:$CS$9,2,FALSE)),4),12.5),""))</f>
        <v/>
      </c>
      <c r="BB43" s="115" t="n"/>
      <c r="BC43" s="127" t="n"/>
      <c r="BD43" s="127" t="n"/>
      <c r="BE43" s="120" t="n"/>
      <c r="BF43" s="120" t="n"/>
      <c r="BG43" s="120">
        <f>IF($BD43="","",IFERROR(FLOOR(ROUND(VLOOKUP($BD43,DADOS!$CL$5:$CM$10,2,FALSE)*IF($BE43="",1,VLOOKUP($BE43,DADOS!$CO$5:$CP$7,2,FALSE))*IF($BF43="",1,VLOOKUP($BF43,DADOS!$CR$5:$CS$9,2,FALSE)),4),12.5),""))</f>
        <v/>
      </c>
      <c r="BH43" s="115" t="n"/>
      <c r="BI43" s="127" t="n"/>
      <c r="BJ43" s="127" t="n"/>
      <c r="BK43" s="120" t="n"/>
      <c r="BL43" s="120" t="n"/>
      <c r="BM43" s="120">
        <f>IF($BJ43="","",IFERROR(FLOOR(ROUND(VLOOKUP($BJ43,DADOS!$CL$5:$CM$10,2,FALSE)*IF($BK43="",1,VLOOKUP($BK43,DADOS!$CO$5:$CP$7,2,FALSE))*IF($BL43="",1,VLOOKUP($BL43,DADOS!$CR$5:$CS$9,2,FALSE)),4),12.5),""))</f>
        <v/>
      </c>
      <c r="BN43" s="115" t="n"/>
      <c r="BO43" s="127" t="n"/>
      <c r="BP43" s="127" t="n"/>
      <c r="BQ43" s="120" t="n"/>
      <c r="BR43" s="120" t="n"/>
      <c r="BS43" s="120">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5"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5" t="n"/>
      <c r="AV44" s="115" t="n"/>
      <c r="AW44" s="127" t="n"/>
      <c r="AX44" s="127" t="n"/>
      <c r="AY44" s="120" t="n"/>
      <c r="AZ44" s="120" t="n"/>
      <c r="BA44" s="120">
        <f>IF($AX44="","",IFERROR(FLOOR(ROUND(VLOOKUP($AX44,DADOS!$CL$5:$CM$10,2,FALSE)*IF($AY44="",1,VLOOKUP($AY44,DADOS!$CO$5:$CP$7,2,FALSE))*IF($AZ44="",1,VLOOKUP($AZ44,DADOS!$CR$5:$CS$9,2,FALSE)),4),12.5),""))</f>
        <v/>
      </c>
      <c r="BB44" s="115" t="n"/>
      <c r="BC44" s="127" t="n"/>
      <c r="BD44" s="127" t="n"/>
      <c r="BE44" s="120" t="n"/>
      <c r="BF44" s="120" t="n"/>
      <c r="BG44" s="120">
        <f>IF($BD44="","",IFERROR(FLOOR(ROUND(VLOOKUP($BD44,DADOS!$CL$5:$CM$10,2,FALSE)*IF($BE44="",1,VLOOKUP($BE44,DADOS!$CO$5:$CP$7,2,FALSE))*IF($BF44="",1,VLOOKUP($BF44,DADOS!$CR$5:$CS$9,2,FALSE)),4),12.5),""))</f>
        <v/>
      </c>
      <c r="BH44" s="115" t="n"/>
      <c r="BI44" s="127" t="n"/>
      <c r="BJ44" s="127" t="n"/>
      <c r="BK44" s="120" t="n"/>
      <c r="BL44" s="120" t="n"/>
      <c r="BM44" s="120">
        <f>IF($BJ44="","",IFERROR(FLOOR(ROUND(VLOOKUP($BJ44,DADOS!$CL$5:$CM$10,2,FALSE)*IF($BK44="",1,VLOOKUP($BK44,DADOS!$CO$5:$CP$7,2,FALSE))*IF($BL44="",1,VLOOKUP($BL44,DADOS!$CR$5:$CS$9,2,FALSE)),4),12.5),""))</f>
        <v/>
      </c>
      <c r="BN44" s="115" t="n"/>
      <c r="BO44" s="127" t="n"/>
      <c r="BP44" s="127" t="n"/>
      <c r="BQ44" s="120" t="n"/>
      <c r="BR44" s="120" t="n"/>
      <c r="BS44" s="120">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0" t="n"/>
      <c r="AZ45" s="120" t="n"/>
      <c r="BA45" s="120">
        <f>IF($AX45="","",IFERROR(FLOOR(ROUND(VLOOKUP($AX45,DADOS!$CL$5:$CM$10,2,FALSE)*IF($AY45="",1,VLOOKUP($AY45,DADOS!$CO$5:$CP$7,2,FALSE))*IF($AZ45="",1,VLOOKUP($AZ45,DADOS!$CR$5:$CS$9,2,FALSE)),4),12.5),""))</f>
        <v/>
      </c>
      <c r="BB45" s="115" t="n"/>
      <c r="BC45" s="127" t="n"/>
      <c r="BD45" s="127" t="n"/>
      <c r="BE45" s="120" t="n"/>
      <c r="BF45" s="120" t="n"/>
      <c r="BG45" s="120">
        <f>IF($BD45="","",IFERROR(FLOOR(ROUND(VLOOKUP($BD45,DADOS!$CL$5:$CM$10,2,FALSE)*IF($BE45="",1,VLOOKUP($BE45,DADOS!$CO$5:$CP$7,2,FALSE))*IF($BF45="",1,VLOOKUP($BF45,DADOS!$CR$5:$CS$9,2,FALSE)),4),12.5),""))</f>
        <v/>
      </c>
      <c r="BH45" s="115" t="n"/>
      <c r="BI45" s="127" t="n"/>
      <c r="BJ45" s="127" t="n"/>
      <c r="BK45" s="120" t="n"/>
      <c r="BL45" s="120" t="n"/>
      <c r="BM45" s="120">
        <f>IF($BJ45="","",IFERROR(FLOOR(ROUND(VLOOKUP($BJ45,DADOS!$CL$5:$CM$10,2,FALSE)*IF($BK45="",1,VLOOKUP($BK45,DADOS!$CO$5:$CP$7,2,FALSE))*IF($BL45="",1,VLOOKUP($BL45,DADOS!$CR$5:$CS$9,2,FALSE)),4),12.5),""))</f>
        <v/>
      </c>
      <c r="BN45" s="115" t="n"/>
      <c r="BO45" s="127" t="n"/>
      <c r="BP45" s="127" t="n"/>
      <c r="BQ45" s="120" t="n"/>
      <c r="BR45" s="120" t="n"/>
      <c r="BS45" s="120">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0" t="n"/>
      <c r="AZ46" s="120" t="n"/>
      <c r="BA46" s="120">
        <f>IF($AX46="","",IFERROR(FLOOR(ROUND(VLOOKUP($AX46,DADOS!$CL$5:$CM$10,2,FALSE)*IF($AY46="",1,VLOOKUP($AY46,DADOS!$CO$5:$CP$7,2,FALSE))*IF($AZ46="",1,VLOOKUP($AZ46,DADOS!$CR$5:$CS$9,2,FALSE)),4),12.5),""))</f>
        <v/>
      </c>
      <c r="BB46" s="115" t="n"/>
      <c r="BC46" s="127" t="n"/>
      <c r="BD46" s="127" t="n"/>
      <c r="BE46" s="120" t="n"/>
      <c r="BF46" s="120" t="n"/>
      <c r="BG46" s="120">
        <f>IF($BD46="","",IFERROR(FLOOR(ROUND(VLOOKUP($BD46,DADOS!$CL$5:$CM$10,2,FALSE)*IF($BE46="",1,VLOOKUP($BE46,DADOS!$CO$5:$CP$7,2,FALSE))*IF($BF46="",1,VLOOKUP($BF46,DADOS!$CR$5:$CS$9,2,FALSE)),4),12.5),""))</f>
        <v/>
      </c>
      <c r="BH46" s="115" t="n"/>
      <c r="BI46" s="127" t="n"/>
      <c r="BJ46" s="127" t="n"/>
      <c r="BK46" s="120" t="n"/>
      <c r="BL46" s="120" t="n"/>
      <c r="BM46" s="120">
        <f>IF($BJ46="","",IFERROR(FLOOR(ROUND(VLOOKUP($BJ46,DADOS!$CL$5:$CM$10,2,FALSE)*IF($BK46="",1,VLOOKUP($BK46,DADOS!$CO$5:$CP$7,2,FALSE))*IF($BL46="",1,VLOOKUP($BL46,DADOS!$CR$5:$CS$9,2,FALSE)),4),12.5),""))</f>
        <v/>
      </c>
      <c r="BN46" s="115" t="n"/>
      <c r="BO46" s="127" t="n"/>
      <c r="BP46" s="127" t="n"/>
      <c r="BQ46" s="120" t="n"/>
      <c r="BR46" s="120" t="n"/>
      <c r="BS46" s="120">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0" t="n"/>
      <c r="AZ47" s="120" t="n"/>
      <c r="BA47" s="120">
        <f>IF($AX47="","",IFERROR(FLOOR(ROUND(VLOOKUP($AX47,DADOS!$CL$5:$CM$10,2,FALSE)*IF($AY47="",1,VLOOKUP($AY47,DADOS!$CO$5:$CP$7,2,FALSE))*IF($AZ47="",1,VLOOKUP($AZ47,DADOS!$CR$5:$CS$9,2,FALSE)),4),12.5),""))</f>
        <v/>
      </c>
      <c r="BB47" s="115" t="n"/>
      <c r="BC47" s="127" t="n"/>
      <c r="BD47" s="127" t="n"/>
      <c r="BE47" s="120" t="n"/>
      <c r="BF47" s="120" t="n"/>
      <c r="BG47" s="120">
        <f>IF($BD47="","",IFERROR(FLOOR(ROUND(VLOOKUP($BD47,DADOS!$CL$5:$CM$10,2,FALSE)*IF($BE47="",1,VLOOKUP($BE47,DADOS!$CO$5:$CP$7,2,FALSE))*IF($BF47="",1,VLOOKUP($BF47,DADOS!$CR$5:$CS$9,2,FALSE)),4),12.5),""))</f>
        <v/>
      </c>
      <c r="BH47" s="115" t="n"/>
      <c r="BI47" s="127" t="n"/>
      <c r="BJ47" s="127" t="n"/>
      <c r="BK47" s="120" t="n"/>
      <c r="BL47" s="120" t="n"/>
      <c r="BM47" s="120">
        <f>IF($BJ47="","",IFERROR(FLOOR(ROUND(VLOOKUP($BJ47,DADOS!$CL$5:$CM$10,2,FALSE)*IF($BK47="",1,VLOOKUP($BK47,DADOS!$CO$5:$CP$7,2,FALSE))*IF($BL47="",1,VLOOKUP($BL47,DADOS!$CR$5:$CS$9,2,FALSE)),4),12.5),""))</f>
        <v/>
      </c>
      <c r="BN47" s="115" t="n"/>
      <c r="BO47" s="127" t="n"/>
      <c r="BP47" s="127" t="n"/>
      <c r="BQ47" s="120" t="n"/>
      <c r="BR47" s="120" t="n"/>
      <c r="BS47" s="120">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0" t="n"/>
      <c r="AZ48" s="120" t="n"/>
      <c r="BA48" s="120">
        <f>IF($AX48="","",IFERROR(FLOOR(ROUND(VLOOKUP($AX48,DADOS!$CL$5:$CM$10,2,FALSE)*IF($AY48="",1,VLOOKUP($AY48,DADOS!$CO$5:$CP$7,2,FALSE))*IF($AZ48="",1,VLOOKUP($AZ48,DADOS!$CR$5:$CS$9,2,FALSE)),4),12.5),""))</f>
        <v/>
      </c>
      <c r="BB48" s="115" t="n"/>
      <c r="BC48" s="127" t="n"/>
      <c r="BD48" s="127" t="n"/>
      <c r="BE48" s="120" t="n"/>
      <c r="BF48" s="120" t="n"/>
      <c r="BG48" s="120">
        <f>IF($BD48="","",IFERROR(FLOOR(ROUND(VLOOKUP($BD48,DADOS!$CL$5:$CM$10,2,FALSE)*IF($BE48="",1,VLOOKUP($BE48,DADOS!$CO$5:$CP$7,2,FALSE))*IF($BF48="",1,VLOOKUP($BF48,DADOS!$CR$5:$CS$9,2,FALSE)),4),12.5),""))</f>
        <v/>
      </c>
      <c r="BH48" s="115" t="n"/>
      <c r="BI48" s="127" t="n"/>
      <c r="BJ48" s="127" t="n"/>
      <c r="BK48" s="120" t="n"/>
      <c r="BL48" s="120" t="n"/>
      <c r="BM48" s="120">
        <f>IF($BJ48="","",IFERROR(FLOOR(ROUND(VLOOKUP($BJ48,DADOS!$CL$5:$CM$10,2,FALSE)*IF($BK48="",1,VLOOKUP($BK48,DADOS!$CO$5:$CP$7,2,FALSE))*IF($BL48="",1,VLOOKUP($BL48,DADOS!$CR$5:$CS$9,2,FALSE)),4),12.5),""))</f>
        <v/>
      </c>
      <c r="BN48" s="115" t="n"/>
      <c r="BO48" s="127" t="n"/>
      <c r="BP48" s="127" t="n"/>
      <c r="BQ48" s="120" t="n"/>
      <c r="BR48" s="120" t="n"/>
      <c r="BS48" s="120">
        <f>IF($BP48="","",IFERROR(FLOOR(ROUND(VLOOKUP($BP48,DADOS!$CL$5:$CM$10,2,FALSE)*IF($BQ48="",1,VLOOKUP($BQ48,DADOS!$CO$5:$CP$7,2,FALSE))*IF($BR48="",1,VLOOKUP($BR48,DADOS!$CR$5:$CS$9,2,FALSE)),4),12.5),""))</f>
        <v/>
      </c>
      <c r="BT48" s="115" t="n"/>
    </row>
    <row r="49" outlineLevel="1">
      <c r="B49" s="17" t="n"/>
      <c r="C49" s="115" t="n"/>
      <c r="D49" s="120" t="b">
        <v>0</v>
      </c>
      <c r="E49" s="127" t="inlineStr">
        <is>
          <t>Espada Longa</t>
        </is>
      </c>
      <c r="F49" s="11" t="n"/>
      <c r="G49" s="11" t="n"/>
      <c r="H49" s="11" t="n"/>
      <c r="I49" s="11" t="n"/>
      <c r="J49" s="11" t="n"/>
      <c r="K49" s="11" t="n"/>
      <c r="L49" s="12" t="n"/>
      <c r="M49" s="120" t="b">
        <v>0</v>
      </c>
      <c r="N49" s="127" t="inlineStr">
        <is>
          <t>Espingarda</t>
        </is>
      </c>
      <c r="O49" s="11" t="n"/>
      <c r="P49" s="11" t="n"/>
      <c r="Q49" s="11" t="n"/>
      <c r="R49" s="11" t="n"/>
      <c r="S49" s="11" t="n"/>
      <c r="T49" s="11" t="n"/>
      <c r="U49" s="12" t="n"/>
      <c r="V49" s="120" t="b">
        <v>0</v>
      </c>
      <c r="W49" s="127" t="inlineStr">
        <is>
          <t>Bastão</t>
        </is>
      </c>
      <c r="X49" s="11" t="n"/>
      <c r="Y49" s="11" t="n"/>
      <c r="Z49" s="11" t="n"/>
      <c r="AA49" s="11" t="n"/>
      <c r="AB49" s="11" t="n"/>
      <c r="AC49" s="11" t="n"/>
      <c r="AD49" s="12" t="n"/>
      <c r="AE49" s="120" t="b">
        <v>0</v>
      </c>
      <c r="AF49" s="127" t="inlineStr">
        <is>
          <t>Canivete</t>
        </is>
      </c>
      <c r="AG49" s="11" t="n"/>
      <c r="AH49" s="11" t="n"/>
      <c r="AI49" s="11" t="n"/>
      <c r="AJ49" s="11" t="n"/>
      <c r="AK49" s="11" t="n"/>
      <c r="AL49" s="12" t="n"/>
      <c r="AM49" s="120" t="b">
        <v>0</v>
      </c>
      <c r="AN49" s="127" t="inlineStr">
        <is>
          <t>Kanabō</t>
        </is>
      </c>
      <c r="AO49" s="11" t="n"/>
      <c r="AP49" s="11" t="n"/>
      <c r="AQ49" s="11" t="n"/>
      <c r="AR49" s="11" t="n"/>
      <c r="AS49" s="11" t="n"/>
      <c r="AT49" s="12" t="n"/>
      <c r="AU49" s="115" t="n"/>
      <c r="AV49" s="115" t="n"/>
      <c r="AW49" s="127" t="n"/>
      <c r="AX49" s="127" t="n"/>
      <c r="AY49" s="120" t="n"/>
      <c r="AZ49" s="120" t="n"/>
      <c r="BA49" s="120">
        <f>IF($AX49="","",IFERROR(FLOOR(ROUND(VLOOKUP($AX49,DADOS!$CL$5:$CM$10,2,FALSE)*IF($AY49="",1,VLOOKUP($AY49,DADOS!$CO$5:$CP$7,2,FALSE))*IF($AZ49="",1,VLOOKUP($AZ49,DADOS!$CR$5:$CS$9,2,FALSE)),4),12.5),""))</f>
        <v/>
      </c>
      <c r="BB49" s="115" t="n"/>
      <c r="BC49" s="127" t="n"/>
      <c r="BD49" s="127" t="n"/>
      <c r="BE49" s="120" t="n"/>
      <c r="BF49" s="120" t="n"/>
      <c r="BG49" s="120">
        <f>IF($BD49="","",IFERROR(FLOOR(ROUND(VLOOKUP($BD49,DADOS!$CL$5:$CM$10,2,FALSE)*IF($BE49="",1,VLOOKUP($BE49,DADOS!$CO$5:$CP$7,2,FALSE))*IF($BF49="",1,VLOOKUP($BF49,DADOS!$CR$5:$CS$9,2,FALSE)),4),12.5),""))</f>
        <v/>
      </c>
      <c r="BH49" s="115" t="n"/>
      <c r="BI49" s="127" t="n"/>
      <c r="BJ49" s="127" t="n"/>
      <c r="BK49" s="120" t="n"/>
      <c r="BL49" s="120" t="n"/>
      <c r="BM49" s="120">
        <f>IF($BJ49="","",IFERROR(FLOOR(ROUND(VLOOKUP($BJ49,DADOS!$CL$5:$CM$10,2,FALSE)*IF($BK49="",1,VLOOKUP($BK49,DADOS!$CO$5:$CP$7,2,FALSE))*IF($BL49="",1,VLOOKUP($BL49,DADOS!$CR$5:$CS$9,2,FALSE)),4),12.5),""))</f>
        <v/>
      </c>
      <c r="BN49" s="115" t="n"/>
      <c r="BO49" s="127" t="n"/>
      <c r="BP49" s="127" t="n"/>
      <c r="BQ49" s="120" t="n"/>
      <c r="BR49" s="120" t="n"/>
      <c r="BS49" s="120">
        <f>IF($BP49="","",IFERROR(FLOOR(ROUND(VLOOKUP($BP49,DADOS!$CL$5:$CM$10,2,FALSE)*IF($BQ49="",1,VLOOKUP($BQ49,DADOS!$CO$5:$CP$7,2,FALSE))*IF($BR49="",1,VLOOKUP($BR49,DADOS!$CR$5:$CS$9,2,FALSE)),4),12.5),""))</f>
        <v/>
      </c>
      <c r="BT49" s="115" t="n"/>
    </row>
    <row r="50" outlineLevel="1">
      <c r="B50" s="17" t="n"/>
      <c r="C50" s="115" t="n"/>
      <c r="D50" s="120" t="b">
        <v>0</v>
      </c>
      <c r="E50" s="127" t="inlineStr">
        <is>
          <t>Espadão</t>
        </is>
      </c>
      <c r="F50" s="11" t="n"/>
      <c r="G50" s="11" t="n"/>
      <c r="H50" s="11" t="n"/>
      <c r="I50" s="11" t="n"/>
      <c r="J50" s="11" t="n"/>
      <c r="K50" s="11" t="n"/>
      <c r="L50" s="12" t="n"/>
      <c r="M50" s="120" t="b">
        <v>0</v>
      </c>
      <c r="N50" s="127" t="inlineStr">
        <is>
          <t>Metralhadora Pesada</t>
        </is>
      </c>
      <c r="O50" s="11" t="n"/>
      <c r="P50" s="11" t="n"/>
      <c r="Q50" s="11" t="n"/>
      <c r="R50" s="11" t="n"/>
      <c r="S50" s="11" t="n"/>
      <c r="T50" s="11" t="n"/>
      <c r="U50" s="12" t="n"/>
      <c r="V50" s="120" t="b">
        <v>0</v>
      </c>
      <c r="W50" s="127" t="inlineStr">
        <is>
          <t>Bō</t>
        </is>
      </c>
      <c r="X50" s="11" t="n"/>
      <c r="Y50" s="11" t="n"/>
      <c r="Z50" s="11" t="n"/>
      <c r="AA50" s="11" t="n"/>
      <c r="AB50" s="11" t="n"/>
      <c r="AC50" s="11" t="n"/>
      <c r="AD50" s="12" t="n"/>
      <c r="AE50" s="120" t="b">
        <v>0</v>
      </c>
      <c r="AF50" s="127" t="inlineStr">
        <is>
          <t>Faca</t>
        </is>
      </c>
      <c r="AG50" s="11" t="n"/>
      <c r="AH50" s="11" t="n"/>
      <c r="AI50" s="11" t="n"/>
      <c r="AJ50" s="11" t="n"/>
      <c r="AK50" s="11" t="n"/>
      <c r="AL50" s="12" t="n"/>
      <c r="AM50" s="120" t="b">
        <v>0</v>
      </c>
      <c r="AN50" s="127" t="inlineStr">
        <is>
          <t>Maça</t>
        </is>
      </c>
      <c r="AO50" s="11" t="n"/>
      <c r="AP50" s="11" t="n"/>
      <c r="AQ50" s="11" t="n"/>
      <c r="AR50" s="11" t="n"/>
      <c r="AS50" s="11" t="n"/>
      <c r="AT50" s="12" t="n"/>
      <c r="AU50" s="115" t="n"/>
      <c r="AV50" s="115" t="n"/>
      <c r="AW50" s="127" t="n"/>
      <c r="AX50" s="127" t="n"/>
      <c r="AY50" s="120" t="n"/>
      <c r="AZ50" s="120" t="n"/>
      <c r="BA50" s="120">
        <f>IF($AX50="","",IFERROR(FLOOR(ROUND(VLOOKUP($AX50,DADOS!$CL$5:$CM$10,2,FALSE)*IF($AY50="",1,VLOOKUP($AY50,DADOS!$CO$5:$CP$7,2,FALSE))*IF($AZ50="",1,VLOOKUP($AZ50,DADOS!$CR$5:$CS$9,2,FALSE)),4),12.5),""))</f>
        <v/>
      </c>
      <c r="BB50" s="115" t="n"/>
      <c r="BC50" s="127" t="n"/>
      <c r="BD50" s="127" t="n"/>
      <c r="BE50" s="120" t="n"/>
      <c r="BF50" s="120" t="n"/>
      <c r="BG50" s="120">
        <f>IF($BD50="","",IFERROR(FLOOR(ROUND(VLOOKUP($BD50,DADOS!$CL$5:$CM$10,2,FALSE)*IF($BE50="",1,VLOOKUP($BE50,DADOS!$CO$5:$CP$7,2,FALSE))*IF($BF50="",1,VLOOKUP($BF50,DADOS!$CR$5:$CS$9,2,FALSE)),4),12.5),""))</f>
        <v/>
      </c>
      <c r="BH50" s="115" t="n"/>
      <c r="BI50" s="127" t="n"/>
      <c r="BJ50" s="127" t="n"/>
      <c r="BK50" s="120" t="n"/>
      <c r="BL50" s="120" t="n"/>
      <c r="BM50" s="120">
        <f>IF($BJ50="","",IFERROR(FLOOR(ROUND(VLOOKUP($BJ50,DADOS!$CL$5:$CM$10,2,FALSE)*IF($BK50="",1,VLOOKUP($BK50,DADOS!$CO$5:$CP$7,2,FALSE))*IF($BL50="",1,VLOOKUP($BL50,DADOS!$CR$5:$CS$9,2,FALSE)),4),12.5),""))</f>
        <v/>
      </c>
      <c r="BN50" s="115" t="n"/>
      <c r="BO50" s="127" t="n"/>
      <c r="BP50" s="127" t="n"/>
      <c r="BQ50" s="120" t="n"/>
      <c r="BR50" s="120" t="n"/>
      <c r="BS50" s="120">
        <f>IF($BP50="","",IFERROR(FLOOR(ROUND(VLOOKUP($BP50,DADOS!$CL$5:$CM$10,2,FALSE)*IF($BQ50="",1,VLOOKUP($BQ50,DADOS!$CO$5:$CP$7,2,FALSE))*IF($BR50="",1,VLOOKUP($BR50,DADOS!$CR$5:$CS$9,2,FALSE)),4),12.5),""))</f>
        <v/>
      </c>
      <c r="BT50" s="115" t="n"/>
    </row>
    <row r="51" outlineLevel="1">
      <c r="B51" s="17" t="n"/>
      <c r="C51" s="115" t="n"/>
      <c r="D51" s="120" t="b">
        <v>0</v>
      </c>
      <c r="E51" s="127" t="inlineStr">
        <is>
          <t>Katana</t>
        </is>
      </c>
      <c r="F51" s="11" t="n"/>
      <c r="G51" s="11" t="n"/>
      <c r="H51" s="11" t="n"/>
      <c r="I51" s="11" t="n"/>
      <c r="J51" s="11" t="n"/>
      <c r="K51" s="11" t="n"/>
      <c r="L51" s="12" t="n"/>
      <c r="M51" s="120" t="b">
        <v>0</v>
      </c>
      <c r="N51" s="127" t="inlineStr">
        <is>
          <t>Pistola</t>
        </is>
      </c>
      <c r="O51" s="11" t="n"/>
      <c r="P51" s="11" t="n"/>
      <c r="Q51" s="11" t="n"/>
      <c r="R51" s="11" t="n"/>
      <c r="S51" s="11" t="n"/>
      <c r="T51" s="11" t="n"/>
      <c r="U51" s="12" t="n"/>
      <c r="V51" s="120" t="b">
        <v>0</v>
      </c>
      <c r="W51" s="127" t="inlineStr">
        <is>
          <t>Cassetete</t>
        </is>
      </c>
      <c r="X51" s="11" t="n"/>
      <c r="Y51" s="11" t="n"/>
      <c r="Z51" s="11" t="n"/>
      <c r="AA51" s="11" t="n"/>
      <c r="AB51" s="11" t="n"/>
      <c r="AC51" s="11" t="n"/>
      <c r="AD51" s="12" t="n"/>
      <c r="AE51" s="120" t="b">
        <v>0</v>
      </c>
      <c r="AF51" s="127" t="inlineStr">
        <is>
          <t>Punhal</t>
        </is>
      </c>
      <c r="AG51" s="11" t="n"/>
      <c r="AH51" s="11" t="n"/>
      <c r="AI51" s="11" t="n"/>
      <c r="AJ51" s="11" t="n"/>
      <c r="AK51" s="11" t="n"/>
      <c r="AL51" s="12" t="n"/>
      <c r="AM51" s="120" t="b">
        <v>0</v>
      </c>
      <c r="AN51" s="127" t="inlineStr">
        <is>
          <t>Marreta</t>
        </is>
      </c>
      <c r="AO51" s="11" t="n"/>
      <c r="AP51" s="11" t="n"/>
      <c r="AQ51" s="11" t="n"/>
      <c r="AR51" s="11" t="n"/>
      <c r="AS51" s="11" t="n"/>
      <c r="AT51" s="12" t="n"/>
      <c r="AU51" s="115" t="n"/>
      <c r="AV51" s="115" t="n"/>
      <c r="AW51" s="127" t="n"/>
      <c r="AX51" s="127" t="n"/>
      <c r="AY51" s="120" t="n"/>
      <c r="AZ51" s="120" t="n"/>
      <c r="BA51" s="120">
        <f>IF($AX51="","",IFERROR(FLOOR(ROUND(VLOOKUP($AX51,DADOS!$CL$5:$CM$10,2,FALSE)*IF($AY51="",1,VLOOKUP($AY51,DADOS!$CO$5:$CP$7,2,FALSE))*IF($AZ51="",1,VLOOKUP($AZ51,DADOS!$CR$5:$CS$9,2,FALSE)),4),12.5),""))</f>
        <v/>
      </c>
      <c r="BB51" s="115" t="n"/>
      <c r="BC51" s="127" t="n"/>
      <c r="BD51" s="127" t="n"/>
      <c r="BE51" s="120" t="n"/>
      <c r="BF51" s="120" t="n"/>
      <c r="BG51" s="120">
        <f>IF($BD51="","",IFERROR(FLOOR(ROUND(VLOOKUP($BD51,DADOS!$CL$5:$CM$10,2,FALSE)*IF($BE51="",1,VLOOKUP($BE51,DADOS!$CO$5:$CP$7,2,FALSE))*IF($BF51="",1,VLOOKUP($BF51,DADOS!$CR$5:$CS$9,2,FALSE)),4),12.5),""))</f>
        <v/>
      </c>
      <c r="BH51" s="115" t="n"/>
      <c r="BI51" s="127" t="n"/>
      <c r="BJ51" s="127" t="n"/>
      <c r="BK51" s="120" t="n"/>
      <c r="BL51" s="120" t="n"/>
      <c r="BM51" s="120">
        <f>IF($BJ51="","",IFERROR(FLOOR(ROUND(VLOOKUP($BJ51,DADOS!$CL$5:$CM$10,2,FALSE)*IF($BK51="",1,VLOOKUP($BK51,DADOS!$CO$5:$CP$7,2,FALSE))*IF($BL51="",1,VLOOKUP($BL51,DADOS!$CR$5:$CS$9,2,FALSE)),4),12.5),""))</f>
        <v/>
      </c>
      <c r="BN51" s="115" t="n"/>
      <c r="BO51" s="127" t="n"/>
      <c r="BP51" s="127" t="n"/>
      <c r="BQ51" s="120" t="n"/>
      <c r="BR51" s="120" t="n"/>
      <c r="BS51" s="120">
        <f>IF($BP51="","",IFERROR(FLOOR(ROUND(VLOOKUP($BP51,DADOS!$CL$5:$CM$10,2,FALSE)*IF($BQ51="",1,VLOOKUP($BQ51,DADOS!$CO$5:$CP$7,2,FALSE))*IF($BR51="",1,VLOOKUP($BR51,DADOS!$CR$5:$CS$9,2,FALSE)),4),12.5),""))</f>
        <v/>
      </c>
      <c r="BT51" s="115" t="n"/>
    </row>
    <row r="52" outlineLevel="1">
      <c r="A52" s="8" t="n"/>
      <c r="B52" s="22" t="n"/>
      <c r="C52" s="115" t="n"/>
      <c r="D52" s="120" t="b">
        <v>0</v>
      </c>
      <c r="E52" s="127" t="inlineStr">
        <is>
          <t>Machete</t>
        </is>
      </c>
      <c r="F52" s="11" t="n"/>
      <c r="G52" s="11" t="n"/>
      <c r="H52" s="11" t="n"/>
      <c r="I52" s="11" t="n"/>
      <c r="J52" s="11" t="n"/>
      <c r="K52" s="11" t="n"/>
      <c r="L52" s="12" t="n"/>
      <c r="M52" s="120" t="b">
        <v>0</v>
      </c>
      <c r="N52" s="127" t="inlineStr">
        <is>
          <t>Revólver</t>
        </is>
      </c>
      <c r="O52" s="11" t="n"/>
      <c r="P52" s="11" t="n"/>
      <c r="Q52" s="11" t="n"/>
      <c r="R52" s="11" t="n"/>
      <c r="S52" s="11" t="n"/>
      <c r="T52" s="11" t="n"/>
      <c r="U52" s="12" t="n"/>
      <c r="V52" s="120" t="b">
        <v>0</v>
      </c>
      <c r="W52" s="127" t="inlineStr">
        <is>
          <t>Nunchaku</t>
        </is>
      </c>
      <c r="X52" s="11" t="n"/>
      <c r="Y52" s="11" t="n"/>
      <c r="Z52" s="11" t="n"/>
      <c r="AA52" s="11" t="n"/>
      <c r="AB52" s="11" t="n"/>
      <c r="AC52" s="11" t="n"/>
      <c r="AD52" s="12" t="n"/>
      <c r="AE52" s="120" t="b">
        <v>0</v>
      </c>
      <c r="AF52" s="127" t="inlineStr">
        <is>
          <t>Sai</t>
        </is>
      </c>
      <c r="AG52" s="11" t="n"/>
      <c r="AH52" s="11" t="n"/>
      <c r="AI52" s="11" t="n"/>
      <c r="AJ52" s="11" t="n"/>
      <c r="AK52" s="11" t="n"/>
      <c r="AL52" s="12" t="n"/>
      <c r="AM52" s="120" t="b">
        <v>0</v>
      </c>
      <c r="AN52" s="127" t="inlineStr">
        <is>
          <t>Maul</t>
        </is>
      </c>
      <c r="AO52" s="11" t="n"/>
      <c r="AP52" s="11" t="n"/>
      <c r="AQ52" s="11" t="n"/>
      <c r="AR52" s="11" t="n"/>
      <c r="AS52" s="11" t="n"/>
      <c r="AT52" s="12" t="n"/>
      <c r="AU52" s="115" t="n"/>
      <c r="AV52" s="115" t="n"/>
      <c r="AW52" s="127" t="n"/>
      <c r="AX52" s="127" t="n"/>
      <c r="AY52" s="120" t="n"/>
      <c r="AZ52" s="120" t="n"/>
      <c r="BA52" s="120">
        <f>IF($AX52="","",IFERROR(FLOOR(ROUND(VLOOKUP($AX52,DADOS!$CL$5:$CM$10,2,FALSE)*IF($AY52="",1,VLOOKUP($AY52,DADOS!$CO$5:$CP$7,2,FALSE))*IF($AZ52="",1,VLOOKUP($AZ52,DADOS!$CR$5:$CS$9,2,FALSE)),4),12.5),""))</f>
        <v/>
      </c>
      <c r="BB52" s="115" t="n"/>
      <c r="BC52" s="127" t="n"/>
      <c r="BD52" s="127" t="n"/>
      <c r="BE52" s="120" t="n"/>
      <c r="BF52" s="120" t="n"/>
      <c r="BG52" s="120">
        <f>IF($BD52="","",IFERROR(FLOOR(ROUND(VLOOKUP($BD52,DADOS!$CL$5:$CM$10,2,FALSE)*IF($BE52="",1,VLOOKUP($BE52,DADOS!$CO$5:$CP$7,2,FALSE))*IF($BF52="",1,VLOOKUP($BF52,DADOS!$CR$5:$CS$9,2,FALSE)),4),12.5),""))</f>
        <v/>
      </c>
      <c r="BH52" s="115" t="n"/>
      <c r="BI52" s="127" t="n"/>
      <c r="BJ52" s="127" t="n"/>
      <c r="BK52" s="120" t="n"/>
      <c r="BL52" s="120" t="n"/>
      <c r="BM52" s="120">
        <f>IF($BJ52="","",IFERROR(FLOOR(ROUND(VLOOKUP($BJ52,DADOS!$CL$5:$CM$10,2,FALSE)*IF($BK52="",1,VLOOKUP($BK52,DADOS!$CO$5:$CP$7,2,FALSE))*IF($BL52="",1,VLOOKUP($BL52,DADOS!$CR$5:$CS$9,2,FALSE)),4),12.5),""))</f>
        <v/>
      </c>
      <c r="BN52" s="115" t="n"/>
      <c r="BO52" s="127" t="n"/>
      <c r="BP52" s="127" t="n"/>
      <c r="BQ52" s="120" t="n"/>
      <c r="BR52" s="120" t="n"/>
      <c r="BS52" s="120">
        <f>IF($BP52="","",IFERROR(FLOOR(ROUND(VLOOKUP($BP52,DADOS!$CL$5:$CM$10,2,FALSE)*IF($BQ52="",1,VLOOKUP($BQ52,DADOS!$CO$5:$CP$7,2,FALSE))*IF($BR52="",1,VLOOKUP($BR52,DADOS!$CR$5:$CS$9,2,FALSE)),4),12.5),""))</f>
        <v/>
      </c>
      <c r="BT52" s="115" t="n"/>
    </row>
    <row r="53" outlineLevel="1">
      <c r="A53" s="8" t="n"/>
      <c r="B53" s="22" t="n"/>
      <c r="C53" s="115" t="n"/>
      <c r="D53" s="120" t="b">
        <v>0</v>
      </c>
      <c r="E53" s="127" t="inlineStr">
        <is>
          <t>Nodachi</t>
        </is>
      </c>
      <c r="F53" s="11" t="n"/>
      <c r="G53" s="11" t="n"/>
      <c r="H53" s="11" t="n"/>
      <c r="I53" s="11" t="n"/>
      <c r="J53" s="11" t="n"/>
      <c r="K53" s="11" t="n"/>
      <c r="L53" s="12" t="n"/>
      <c r="M53" s="120" t="b">
        <v>0</v>
      </c>
      <c r="N53" s="127" t="inlineStr">
        <is>
          <t>Rifle</t>
        </is>
      </c>
      <c r="O53" s="11" t="n"/>
      <c r="P53" s="11" t="n"/>
      <c r="Q53" s="11" t="n"/>
      <c r="R53" s="11" t="n"/>
      <c r="S53" s="11" t="n"/>
      <c r="T53" s="11" t="n"/>
      <c r="U53" s="12" t="n"/>
      <c r="V53" s="120" t="b">
        <v>0</v>
      </c>
      <c r="W53" s="127" t="inlineStr">
        <is>
          <t>Tonfa</t>
        </is>
      </c>
      <c r="X53" s="11" t="n"/>
      <c r="Y53" s="11" t="n"/>
      <c r="Z53" s="11" t="n"/>
      <c r="AA53" s="11" t="n"/>
      <c r="AB53" s="11" t="n"/>
      <c r="AC53" s="11" t="n"/>
      <c r="AD53" s="12" t="n"/>
      <c r="AE53" s="120" t="b">
        <v>0</v>
      </c>
      <c r="AF53" s="127" t="inlineStr">
        <is>
          <t>Tanto</t>
        </is>
      </c>
      <c r="AG53" s="11" t="n"/>
      <c r="AH53" s="11" t="n"/>
      <c r="AI53" s="11" t="n"/>
      <c r="AJ53" s="11" t="n"/>
      <c r="AK53" s="11" t="n"/>
      <c r="AL53" s="12" t="n"/>
      <c r="AM53" s="120" t="b">
        <v>0</v>
      </c>
      <c r="AN53" s="127" t="inlineStr">
        <is>
          <t>Taco</t>
        </is>
      </c>
      <c r="AO53" s="11" t="n"/>
      <c r="AP53" s="11" t="n"/>
      <c r="AQ53" s="11" t="n"/>
      <c r="AR53" s="11" t="n"/>
      <c r="AS53" s="11" t="n"/>
      <c r="AT53" s="12" t="n"/>
      <c r="AU53" s="115" t="n"/>
      <c r="AV53" s="115" t="n"/>
      <c r="AW53" s="127" t="n"/>
      <c r="AX53" s="127" t="n"/>
      <c r="AY53" s="120" t="n"/>
      <c r="AZ53" s="120" t="n"/>
      <c r="BA53" s="120">
        <f>IF($AX53="","",IFERROR(FLOOR(ROUND(VLOOKUP($AX53,DADOS!$CL$5:$CM$10,2,FALSE)*IF($AY53="",1,VLOOKUP($AY53,DADOS!$CO$5:$CP$7,2,FALSE))*IF($AZ53="",1,VLOOKUP($AZ53,DADOS!$CR$5:$CS$9,2,FALSE)),4),12.5),""))</f>
        <v/>
      </c>
      <c r="BB53" s="115" t="n"/>
      <c r="BC53" s="127" t="n"/>
      <c r="BD53" s="127" t="n"/>
      <c r="BE53" s="120" t="n"/>
      <c r="BF53" s="120" t="n"/>
      <c r="BG53" s="120">
        <f>IF($BD53="","",IFERROR(FLOOR(ROUND(VLOOKUP($BD53,DADOS!$CL$5:$CM$10,2,FALSE)*IF($BE53="",1,VLOOKUP($BE53,DADOS!$CO$5:$CP$7,2,FALSE))*IF($BF53="",1,VLOOKUP($BF53,DADOS!$CR$5:$CS$9,2,FALSE)),4),12.5),""))</f>
        <v/>
      </c>
      <c r="BH53" s="115" t="n"/>
      <c r="BI53" s="127" t="n"/>
      <c r="BJ53" s="127" t="n"/>
      <c r="BK53" s="120" t="n"/>
      <c r="BL53" s="120" t="n"/>
      <c r="BM53" s="120">
        <f>IF($BJ53="","",IFERROR(FLOOR(ROUND(VLOOKUP($BJ53,DADOS!$CL$5:$CM$10,2,FALSE)*IF($BK53="",1,VLOOKUP($BK53,DADOS!$CO$5:$CP$7,2,FALSE))*IF($BL53="",1,VLOOKUP($BL53,DADOS!$CR$5:$CS$9,2,FALSE)),4),12.5),""))</f>
        <v/>
      </c>
      <c r="BN53" s="115" t="n"/>
      <c r="BO53" s="127" t="n"/>
      <c r="BP53" s="127" t="n"/>
      <c r="BQ53" s="120" t="n"/>
      <c r="BR53" s="120" t="n"/>
      <c r="BS53" s="120">
        <f>IF($BP53="","",IFERROR(FLOOR(ROUND(VLOOKUP($BP53,DADOS!$CL$5:$CM$10,2,FALSE)*IF($BQ53="",1,VLOOKUP($BQ53,DADOS!$CO$5:$CP$7,2,FALSE))*IF($BR53="",1,VLOOKUP($BR53,DADOS!$CR$5:$CS$9,2,FALSE)),4),12.5),""))</f>
        <v/>
      </c>
      <c r="BT53" s="115" t="n"/>
    </row>
    <row r="54" outlineLevel="1">
      <c r="A54" s="8" t="n"/>
      <c r="B54" s="22" t="n"/>
      <c r="C54" s="115" t="n"/>
      <c r="D54" s="120" t="b">
        <v>0</v>
      </c>
      <c r="E54" s="127" t="inlineStr">
        <is>
          <t>Odachi</t>
        </is>
      </c>
      <c r="F54" s="11" t="n"/>
      <c r="G54" s="11" t="n"/>
      <c r="H54" s="11" t="n"/>
      <c r="I54" s="11" t="n"/>
      <c r="J54" s="11" t="n"/>
      <c r="K54" s="11" t="n"/>
      <c r="L54" s="12" t="n"/>
      <c r="M54" s="120"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0" t="n"/>
      <c r="AZ54" s="120" t="n"/>
      <c r="BA54" s="120">
        <f>IF($AX54="","",IFERROR(FLOOR(ROUND(VLOOKUP($AX54,DADOS!$CL$5:$CM$10,2,FALSE)*IF($AY54="",1,VLOOKUP($AY54,DADOS!$CO$5:$CP$7,2,FALSE))*IF($AZ54="",1,VLOOKUP($AZ54,DADOS!$CR$5:$CS$9,2,FALSE)),4),12.5),""))</f>
        <v/>
      </c>
      <c r="BB54" s="115" t="n"/>
      <c r="BC54" s="127" t="n"/>
      <c r="BD54" s="127" t="n"/>
      <c r="BE54" s="120" t="n"/>
      <c r="BF54" s="120" t="n"/>
      <c r="BG54" s="120">
        <f>IF($BD54="","",IFERROR(FLOOR(ROUND(VLOOKUP($BD54,DADOS!$CL$5:$CM$10,2,FALSE)*IF($BE54="",1,VLOOKUP($BE54,DADOS!$CO$5:$CP$7,2,FALSE))*IF($BF54="",1,VLOOKUP($BF54,DADOS!$CR$5:$CS$9,2,FALSE)),4),12.5),""))</f>
        <v/>
      </c>
      <c r="BH54" s="115" t="n"/>
      <c r="BI54" s="127" t="n"/>
      <c r="BJ54" s="127" t="n"/>
      <c r="BK54" s="120" t="n"/>
      <c r="BL54" s="120" t="n"/>
      <c r="BM54" s="120">
        <f>IF($BJ54="","",IFERROR(FLOOR(ROUND(VLOOKUP($BJ54,DADOS!$CL$5:$CM$10,2,FALSE)*IF($BK54="",1,VLOOKUP($BK54,DADOS!$CO$5:$CP$7,2,FALSE))*IF($BL54="",1,VLOOKUP($BL54,DADOS!$CR$5:$CS$9,2,FALSE)),4),12.5),""))</f>
        <v/>
      </c>
      <c r="BN54" s="115" t="n"/>
      <c r="BO54" s="127" t="n"/>
      <c r="BP54" s="127" t="n"/>
      <c r="BQ54" s="120" t="n"/>
      <c r="BR54" s="120" t="n"/>
      <c r="BS54" s="120">
        <f>IF($BP54="","",IFERROR(FLOOR(ROUND(VLOOKUP($BP54,DADOS!$CL$5:$CM$10,2,FALSE)*IF($BQ54="",1,VLOOKUP($BQ54,DADOS!$CO$5:$CP$7,2,FALSE))*IF($BR54="",1,VLOOKUP($BR54,DADOS!$CR$5:$CS$9,2,FALSE)),4),12.5),""))</f>
        <v/>
      </c>
      <c r="BT54" s="115" t="n"/>
    </row>
    <row r="55" outlineLevel="1">
      <c r="A55" s="8" t="n"/>
      <c r="B55" s="22" t="n"/>
      <c r="C55" s="115" t="n"/>
      <c r="D55" s="120" t="b">
        <v>0</v>
      </c>
      <c r="E55" s="127" t="inlineStr">
        <is>
          <t>Rapieira</t>
        </is>
      </c>
      <c r="F55" s="11" t="n"/>
      <c r="G55" s="11" t="n"/>
      <c r="H55" s="11" t="n"/>
      <c r="I55" s="11" t="n"/>
      <c r="J55" s="11" t="n"/>
      <c r="K55" s="11" t="n"/>
      <c r="L55" s="12" t="n"/>
      <c r="M55" s="120" t="b">
        <v>0</v>
      </c>
      <c r="N55" s="127" t="inlineStr">
        <is>
          <t>Submetralhadora</t>
        </is>
      </c>
      <c r="O55" s="11" t="n"/>
      <c r="P55" s="11" t="n"/>
      <c r="Q55" s="11" t="n"/>
      <c r="R55" s="11" t="n"/>
      <c r="S55" s="11" t="n"/>
      <c r="T55" s="11" t="n"/>
      <c r="U55" s="12" t="n"/>
      <c r="V55" s="120" t="b">
        <v>0</v>
      </c>
      <c r="W55" s="127" t="inlineStr">
        <is>
          <t>Foice</t>
        </is>
      </c>
      <c r="X55" s="11" t="n"/>
      <c r="Y55" s="11" t="n"/>
      <c r="Z55" s="11" t="n"/>
      <c r="AA55" s="11" t="n"/>
      <c r="AB55" s="11" t="n"/>
      <c r="AC55" s="11" t="n"/>
      <c r="AD55" s="12" t="n"/>
      <c r="AE55" s="120" t="b">
        <v>0</v>
      </c>
      <c r="AF55" s="127" t="inlineStr">
        <is>
          <t>Chicote</t>
        </is>
      </c>
      <c r="AG55" s="11" t="n"/>
      <c r="AH55" s="11" t="n"/>
      <c r="AI55" s="11" t="n"/>
      <c r="AJ55" s="11" t="n"/>
      <c r="AK55" s="11" t="n"/>
      <c r="AL55" s="12" t="n"/>
      <c r="AM55" s="120" t="b">
        <v>0</v>
      </c>
      <c r="AN55" s="127" t="inlineStr">
        <is>
          <t>Lança</t>
        </is>
      </c>
      <c r="AO55" s="11" t="n"/>
      <c r="AP55" s="11" t="n"/>
      <c r="AQ55" s="11" t="n"/>
      <c r="AR55" s="11" t="n"/>
      <c r="AS55" s="11" t="n"/>
      <c r="AT55" s="12" t="n"/>
      <c r="AU55" s="115" t="n"/>
      <c r="AV55" s="115" t="n"/>
      <c r="AW55" s="127" t="n"/>
      <c r="AX55" s="127" t="n"/>
      <c r="AY55" s="120" t="n"/>
      <c r="AZ55" s="120" t="n"/>
      <c r="BA55" s="120">
        <f>IF($AX55="","",IFERROR(FLOOR(ROUND(VLOOKUP($AX55,DADOS!$CL$5:$CM$10,2,FALSE)*IF($AY55="",1,VLOOKUP($AY55,DADOS!$CO$5:$CP$7,2,FALSE))*IF($AZ55="",1,VLOOKUP($AZ55,DADOS!$CR$5:$CS$9,2,FALSE)),4),12.5),""))</f>
        <v/>
      </c>
      <c r="BB55" s="115" t="n"/>
      <c r="BC55" s="127" t="n"/>
      <c r="BD55" s="127" t="n"/>
      <c r="BE55" s="120" t="n"/>
      <c r="BF55" s="120" t="n"/>
      <c r="BG55" s="120">
        <f>IF($BD55="","",IFERROR(FLOOR(ROUND(VLOOKUP($BD55,DADOS!$CL$5:$CM$10,2,FALSE)*IF($BE55="",1,VLOOKUP($BE55,DADOS!$CO$5:$CP$7,2,FALSE))*IF($BF55="",1,VLOOKUP($BF55,DADOS!$CR$5:$CS$9,2,FALSE)),4),12.5),""))</f>
        <v/>
      </c>
      <c r="BH55" s="115" t="n"/>
      <c r="BI55" s="127" t="n"/>
      <c r="BJ55" s="127" t="n"/>
      <c r="BK55" s="120" t="n"/>
      <c r="BL55" s="120" t="n"/>
      <c r="BM55" s="120">
        <f>IF($BJ55="","",IFERROR(FLOOR(ROUND(VLOOKUP($BJ55,DADOS!$CL$5:$CM$10,2,FALSE)*IF($BK55="",1,VLOOKUP($BK55,DADOS!$CO$5:$CP$7,2,FALSE))*IF($BL55="",1,VLOOKUP($BL55,DADOS!$CR$5:$CS$9,2,FALSE)),4),12.5),""))</f>
        <v/>
      </c>
      <c r="BN55" s="115" t="n"/>
      <c r="BO55" s="127" t="n"/>
      <c r="BP55" s="127" t="n"/>
      <c r="BQ55" s="120" t="n"/>
      <c r="BR55" s="120" t="n"/>
      <c r="BS55" s="120">
        <f>IF($BP55="","",IFERROR(FLOOR(ROUND(VLOOKUP($BP55,DADOS!$CL$5:$CM$10,2,FALSE)*IF($BQ55="",1,VLOOKUP($BQ55,DADOS!$CO$5:$CP$7,2,FALSE))*IF($BR55="",1,VLOOKUP($BR55,DADOS!$CR$5:$CS$9,2,FALSE)),4),12.5),""))</f>
        <v/>
      </c>
      <c r="BT55" s="115" t="n"/>
    </row>
    <row r="56" outlineLevel="1">
      <c r="A56" s="8" t="n"/>
      <c r="B56" s="22" t="n"/>
      <c r="C56" s="115" t="n"/>
      <c r="D56" s="120"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0" t="b">
        <v>0</v>
      </c>
      <c r="W56" s="127" t="inlineStr">
        <is>
          <t>Kama</t>
        </is>
      </c>
      <c r="X56" s="11" t="n"/>
      <c r="Y56" s="11" t="n"/>
      <c r="Z56" s="11" t="n"/>
      <c r="AA56" s="11" t="n"/>
      <c r="AB56" s="11" t="n"/>
      <c r="AC56" s="11" t="n"/>
      <c r="AD56" s="12" t="n"/>
      <c r="AE56" s="120" t="b">
        <v>0</v>
      </c>
      <c r="AF56" s="127" t="inlineStr">
        <is>
          <t>Corrente</t>
        </is>
      </c>
      <c r="AG56" s="11" t="n"/>
      <c r="AH56" s="11" t="n"/>
      <c r="AI56" s="11" t="n"/>
      <c r="AJ56" s="11" t="n"/>
      <c r="AK56" s="11" t="n"/>
      <c r="AL56" s="12" t="n"/>
      <c r="AM56" s="120" t="b">
        <v>0</v>
      </c>
      <c r="AN56" s="127" t="inlineStr">
        <is>
          <t>Naginata</t>
        </is>
      </c>
      <c r="AO56" s="11" t="n"/>
      <c r="AP56" s="11" t="n"/>
      <c r="AQ56" s="11" t="n"/>
      <c r="AR56" s="11" t="n"/>
      <c r="AS56" s="11" t="n"/>
      <c r="AT56" s="12" t="n"/>
      <c r="AU56" s="115" t="n"/>
      <c r="AV56" s="115" t="n"/>
      <c r="AW56" s="127" t="n"/>
      <c r="AX56" s="127" t="n"/>
      <c r="AY56" s="120" t="n"/>
      <c r="AZ56" s="120" t="n"/>
      <c r="BA56" s="120">
        <f>IF($AX56="","",IFERROR(FLOOR(ROUND(VLOOKUP($AX56,DADOS!$CL$5:$CM$10,2,FALSE)*IF($AY56="",1,VLOOKUP($AY56,DADOS!$CO$5:$CP$7,2,FALSE))*IF($AZ56="",1,VLOOKUP($AZ56,DADOS!$CR$5:$CS$9,2,FALSE)),4),12.5),""))</f>
        <v/>
      </c>
      <c r="BB56" s="115" t="n"/>
      <c r="BC56" s="127" t="n"/>
      <c r="BD56" s="127" t="n"/>
      <c r="BE56" s="120" t="n"/>
      <c r="BF56" s="120" t="n"/>
      <c r="BG56" s="120">
        <f>IF($BD56="","",IFERROR(FLOOR(ROUND(VLOOKUP($BD56,DADOS!$CL$5:$CM$10,2,FALSE)*IF($BE56="",1,VLOOKUP($BE56,DADOS!$CO$5:$CP$7,2,FALSE))*IF($BF56="",1,VLOOKUP($BF56,DADOS!$CR$5:$CS$9,2,FALSE)),4),12.5),""))</f>
        <v/>
      </c>
      <c r="BH56" s="115" t="n"/>
      <c r="BI56" s="127" t="n"/>
      <c r="BJ56" s="127" t="n"/>
      <c r="BK56" s="120" t="n"/>
      <c r="BL56" s="120" t="n"/>
      <c r="BM56" s="120">
        <f>IF($BJ56="","",IFERROR(FLOOR(ROUND(VLOOKUP($BJ56,DADOS!$CL$5:$CM$10,2,FALSE)*IF($BK56="",1,VLOOKUP($BK56,DADOS!$CO$5:$CP$7,2,FALSE))*IF($BL56="",1,VLOOKUP($BL56,DADOS!$CR$5:$CS$9,2,FALSE)),4),12.5),""))</f>
        <v/>
      </c>
      <c r="BN56" s="115" t="n"/>
      <c r="BO56" s="127" t="n"/>
      <c r="BP56" s="127" t="n"/>
      <c r="BQ56" s="120" t="n"/>
      <c r="BR56" s="120" t="n"/>
      <c r="BS56" s="120">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0" t="b">
        <v>0</v>
      </c>
      <c r="N57" s="127" t="inlineStr">
        <is>
          <t>Chakram</t>
        </is>
      </c>
      <c r="O57" s="11" t="n"/>
      <c r="P57" s="11" t="n"/>
      <c r="Q57" s="11" t="n"/>
      <c r="R57" s="11" t="n"/>
      <c r="S57" s="11" t="n"/>
      <c r="T57" s="11" t="n"/>
      <c r="U57" s="12" t="n"/>
      <c r="V57" s="120" t="b">
        <v>0</v>
      </c>
      <c r="W57" s="127" t="inlineStr">
        <is>
          <t>Kusarigama</t>
        </is>
      </c>
      <c r="X57" s="11" t="n"/>
      <c r="Y57" s="11" t="n"/>
      <c r="Z57" s="11" t="n"/>
      <c r="AA57" s="11" t="n"/>
      <c r="AB57" s="11" t="n"/>
      <c r="AC57" s="11" t="n"/>
      <c r="AD57" s="12" t="n"/>
      <c r="AE57" s="120" t="b">
        <v>0</v>
      </c>
      <c r="AF57" s="127" t="inlineStr">
        <is>
          <t>Manriki</t>
        </is>
      </c>
      <c r="AG57" s="11" t="n"/>
      <c r="AH57" s="11" t="n"/>
      <c r="AI57" s="11" t="n"/>
      <c r="AJ57" s="11" t="n"/>
      <c r="AK57" s="11" t="n"/>
      <c r="AL57" s="12" t="n"/>
      <c r="AM57" s="120" t="b">
        <v>0</v>
      </c>
      <c r="AN57" s="127" t="inlineStr">
        <is>
          <t>Yari</t>
        </is>
      </c>
      <c r="AO57" s="11" t="n"/>
      <c r="AP57" s="11" t="n"/>
      <c r="AQ57" s="11" t="n"/>
      <c r="AR57" s="11" t="n"/>
      <c r="AS57" s="11" t="n"/>
      <c r="AT57" s="12" t="n"/>
      <c r="AU57" s="115" t="n"/>
      <c r="AV57" s="115" t="n"/>
      <c r="AW57" s="127" t="n"/>
      <c r="AX57" s="127" t="n"/>
      <c r="AY57" s="120" t="n"/>
      <c r="AZ57" s="120" t="n"/>
      <c r="BA57" s="120">
        <f>IF($AX57="","",IFERROR(FLOOR(ROUND(VLOOKUP($AX57,DADOS!$CL$5:$CM$10,2,FALSE)*IF($AY57="",1,VLOOKUP($AY57,DADOS!$CO$5:$CP$7,2,FALSE))*IF($AZ57="",1,VLOOKUP($AZ57,DADOS!$CR$5:$CS$9,2,FALSE)),4),12.5),""))</f>
        <v/>
      </c>
      <c r="BB57" s="115" t="n"/>
      <c r="BC57" s="127" t="n"/>
      <c r="BD57" s="127" t="n"/>
      <c r="BE57" s="120" t="n"/>
      <c r="BF57" s="120" t="n"/>
      <c r="BG57" s="120">
        <f>IF($BD57="","",IFERROR(FLOOR(ROUND(VLOOKUP($BD57,DADOS!$CL$5:$CM$10,2,FALSE)*IF($BE57="",1,VLOOKUP($BE57,DADOS!$CO$5:$CP$7,2,FALSE))*IF($BF57="",1,VLOOKUP($BF57,DADOS!$CR$5:$CS$9,2,FALSE)),4),12.5),""))</f>
        <v/>
      </c>
      <c r="BH57" s="115" t="n"/>
      <c r="BI57" s="127" t="n"/>
      <c r="BJ57" s="127" t="n"/>
      <c r="BK57" s="120" t="n"/>
      <c r="BL57" s="120" t="n"/>
      <c r="BM57" s="120">
        <f>IF($BJ57="","",IFERROR(FLOOR(ROUND(VLOOKUP($BJ57,DADOS!$CL$5:$CM$10,2,FALSE)*IF($BK57="",1,VLOOKUP($BK57,DADOS!$CO$5:$CP$7,2,FALSE))*IF($BL57="",1,VLOOKUP($BL57,DADOS!$CR$5:$CS$9,2,FALSE)),4),12.5),""))</f>
        <v/>
      </c>
      <c r="BN57" s="115" t="n"/>
      <c r="BO57" s="127" t="n"/>
      <c r="BP57" s="127" t="n"/>
      <c r="BQ57" s="120" t="n"/>
      <c r="BR57" s="120" t="n"/>
      <c r="BS57" s="120">
        <f>IF($BP57="","",IFERROR(FLOOR(ROUND(VLOOKUP($BP57,DADOS!$CL$5:$CM$10,2,FALSE)*IF($BQ57="",1,VLOOKUP($BQ57,DADOS!$CO$5:$CP$7,2,FALSE))*IF($BR57="",1,VLOOKUP($BR57,DADOS!$CR$5:$CS$9,2,FALSE)),4),12.5),""))</f>
        <v/>
      </c>
      <c r="BT57" s="115" t="n"/>
    </row>
    <row r="58" outlineLevel="1">
      <c r="A58" s="8" t="n"/>
      <c r="B58" s="22" t="n"/>
      <c r="C58" s="115" t="n"/>
      <c r="D58" s="120" t="b">
        <v>0</v>
      </c>
      <c r="E58" s="127" t="inlineStr">
        <is>
          <t>Machadinha</t>
        </is>
      </c>
      <c r="F58" s="11" t="n"/>
      <c r="G58" s="11" t="n"/>
      <c r="H58" s="11" t="n"/>
      <c r="I58" s="11" t="n"/>
      <c r="J58" s="11" t="n"/>
      <c r="K58" s="11" t="n"/>
      <c r="L58" s="12" t="n"/>
      <c r="M58" s="120"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0" t="n"/>
      <c r="AZ58" s="120" t="n"/>
      <c r="BA58" s="120">
        <f>IF($AX58="","",IFERROR(FLOOR(ROUND(VLOOKUP($AX58,DADOS!$CL$5:$CM$10,2,FALSE)*IF($AY58="",1,VLOOKUP($AY58,DADOS!$CO$5:$CP$7,2,FALSE))*IF($AZ58="",1,VLOOKUP($AZ58,DADOS!$CR$5:$CS$9,2,FALSE)),4),12.5),""))</f>
        <v/>
      </c>
      <c r="BB58" s="115" t="n"/>
      <c r="BC58" s="127" t="n"/>
      <c r="BD58" s="127" t="n"/>
      <c r="BE58" s="120" t="n"/>
      <c r="BF58" s="120" t="n"/>
      <c r="BG58" s="120">
        <f>IF($BD58="","",IFERROR(FLOOR(ROUND(VLOOKUP($BD58,DADOS!$CL$5:$CM$10,2,FALSE)*IF($BE58="",1,VLOOKUP($BE58,DADOS!$CO$5:$CP$7,2,FALSE))*IF($BF58="",1,VLOOKUP($BF58,DADOS!$CR$5:$CS$9,2,FALSE)),4),12.5),""))</f>
        <v/>
      </c>
      <c r="BH58" s="115" t="n"/>
      <c r="BI58" s="127" t="n"/>
      <c r="BJ58" s="127" t="n"/>
      <c r="BK58" s="120" t="n"/>
      <c r="BL58" s="120" t="n"/>
      <c r="BM58" s="120">
        <f>IF($BJ58="","",IFERROR(FLOOR(ROUND(VLOOKUP($BJ58,DADOS!$CL$5:$CM$10,2,FALSE)*IF($BK58="",1,VLOOKUP($BK58,DADOS!$CO$5:$CP$7,2,FALSE))*IF($BL58="",1,VLOOKUP($BL58,DADOS!$CR$5:$CS$9,2,FALSE)),4),12.5),""))</f>
        <v/>
      </c>
      <c r="BN58" s="115" t="n"/>
      <c r="BO58" s="127" t="n"/>
      <c r="BP58" s="127" t="n"/>
      <c r="BQ58" s="120" t="n"/>
      <c r="BR58" s="120" t="n"/>
      <c r="BS58" s="120">
        <f>IF($BP58="","",IFERROR(FLOOR(ROUND(VLOOKUP($BP58,DADOS!$CL$5:$CM$10,2,FALSE)*IF($BQ58="",1,VLOOKUP($BQ58,DADOS!$CO$5:$CP$7,2,FALSE))*IF($BR58="",1,VLOOKUP($BR58,DADOS!$CR$5:$CS$9,2,FALSE)),4),12.5),""))</f>
        <v/>
      </c>
      <c r="BT58" s="115" t="n"/>
    </row>
    <row r="59" outlineLevel="1">
      <c r="A59" s="8" t="n"/>
      <c r="B59" s="22" t="n"/>
      <c r="C59" s="115" t="n"/>
      <c r="D59" s="120" t="b">
        <v>0</v>
      </c>
      <c r="E59" s="127" t="inlineStr">
        <is>
          <t>Machado</t>
        </is>
      </c>
      <c r="F59" s="11" t="n"/>
      <c r="G59" s="11" t="n"/>
      <c r="H59" s="11" t="n"/>
      <c r="I59" s="11" t="n"/>
      <c r="J59" s="11" t="n"/>
      <c r="K59" s="11" t="n"/>
      <c r="L59" s="12" t="n"/>
      <c r="M59" s="120" t="b">
        <v>0</v>
      </c>
      <c r="N59" s="127" t="inlineStr">
        <is>
          <t>Shuriken</t>
        </is>
      </c>
      <c r="O59" s="11" t="n"/>
      <c r="P59" s="11" t="n"/>
      <c r="Q59" s="11" t="n"/>
      <c r="R59" s="11" t="n"/>
      <c r="S59" s="11" t="n"/>
      <c r="T59" s="11" t="n"/>
      <c r="U59" s="12" t="n"/>
      <c r="V59" s="120" t="b">
        <v>0</v>
      </c>
      <c r="W59" s="127" t="inlineStr">
        <is>
          <t>Besta</t>
        </is>
      </c>
      <c r="X59" s="11" t="n"/>
      <c r="Y59" s="11" t="n"/>
      <c r="Z59" s="11" t="n"/>
      <c r="AA59" s="11" t="n"/>
      <c r="AB59" s="11" t="n"/>
      <c r="AC59" s="11" t="n"/>
      <c r="AD59" s="12" t="n"/>
      <c r="AE59" s="120" t="b">
        <v>0</v>
      </c>
      <c r="AF59" s="127" t="inlineStr">
        <is>
          <t>Soqueira</t>
        </is>
      </c>
      <c r="AG59" s="11" t="n"/>
      <c r="AH59" s="11" t="n"/>
      <c r="AI59" s="11" t="n"/>
      <c r="AJ59" s="11" t="n"/>
      <c r="AK59" s="11" t="n"/>
      <c r="AL59" s="12" t="n"/>
      <c r="AM59" s="120" t="b">
        <v>0</v>
      </c>
      <c r="AN59" s="127" t="inlineStr">
        <is>
          <t>Daikyū</t>
        </is>
      </c>
      <c r="AO59" s="11" t="n"/>
      <c r="AP59" s="11" t="n"/>
      <c r="AQ59" s="11" t="n"/>
      <c r="AR59" s="11" t="n"/>
      <c r="AS59" s="11" t="n"/>
      <c r="AT59" s="12" t="n"/>
      <c r="AU59" s="115" t="n"/>
      <c r="AV59" s="115" t="n"/>
      <c r="AW59" s="127" t="n"/>
      <c r="AX59" s="127" t="n"/>
      <c r="AY59" s="120" t="n"/>
      <c r="AZ59" s="120" t="n"/>
      <c r="BA59" s="120">
        <f>IF($AX59="","",IFERROR(FLOOR(ROUND(VLOOKUP($AX59,DADOS!$CL$5:$CM$10,2,FALSE)*IF($AY59="",1,VLOOKUP($AY59,DADOS!$CO$5:$CP$7,2,FALSE))*IF($AZ59="",1,VLOOKUP($AZ59,DADOS!$CR$5:$CS$9,2,FALSE)),4),12.5),""))</f>
        <v/>
      </c>
      <c r="BB59" s="115" t="n"/>
      <c r="BC59" s="127" t="n"/>
      <c r="BD59" s="127" t="n"/>
      <c r="BE59" s="120" t="n"/>
      <c r="BF59" s="120" t="n"/>
      <c r="BG59" s="120">
        <f>IF($BD59="","",IFERROR(FLOOR(ROUND(VLOOKUP($BD59,DADOS!$CL$5:$CM$10,2,FALSE)*IF($BE59="",1,VLOOKUP($BE59,DADOS!$CO$5:$CP$7,2,FALSE))*IF($BF59="",1,VLOOKUP($BF59,DADOS!$CR$5:$CS$9,2,FALSE)),4),12.5),""))</f>
        <v/>
      </c>
      <c r="BH59" s="115" t="n"/>
      <c r="BI59" s="127" t="n"/>
      <c r="BJ59" s="127" t="n"/>
      <c r="BK59" s="120" t="n"/>
      <c r="BL59" s="120" t="n"/>
      <c r="BM59" s="120">
        <f>IF($BJ59="","",IFERROR(FLOOR(ROUND(VLOOKUP($BJ59,DADOS!$CL$5:$CM$10,2,FALSE)*IF($BK59="",1,VLOOKUP($BK59,DADOS!$CO$5:$CP$7,2,FALSE))*IF($BL59="",1,VLOOKUP($BL59,DADOS!$CR$5:$CS$9,2,FALSE)),4),12.5),""))</f>
        <v/>
      </c>
      <c r="BN59" s="115" t="n"/>
      <c r="BO59" s="127" t="n"/>
      <c r="BP59" s="127" t="n"/>
      <c r="BQ59" s="120" t="n"/>
      <c r="BR59" s="120" t="n"/>
      <c r="BS59" s="120">
        <f>IF($BP59="","",IFERROR(FLOOR(ROUND(VLOOKUP($BP59,DADOS!$CL$5:$CM$10,2,FALSE)*IF($BQ59="",1,VLOOKUP($BQ59,DADOS!$CO$5:$CP$7,2,FALSE))*IF($BR59="",1,VLOOKUP($BR59,DADOS!$CR$5:$CS$9,2,FALSE)),4),12.5),""))</f>
        <v/>
      </c>
      <c r="BT59" s="115" t="n"/>
    </row>
    <row r="60" outlineLevel="1">
      <c r="A60" s="8" t="n"/>
      <c r="B60" s="22" t="n"/>
      <c r="C60" s="115" t="n"/>
      <c r="D60" s="120" t="b">
        <v>0</v>
      </c>
      <c r="E60" s="127" t="inlineStr">
        <is>
          <t>Machado de Guerra</t>
        </is>
      </c>
      <c r="F60" s="11" t="n"/>
      <c r="G60" s="11" t="n"/>
      <c r="H60" s="11" t="n"/>
      <c r="I60" s="11" t="n"/>
      <c r="J60" s="11" t="n"/>
      <c r="K60" s="11" t="n"/>
      <c r="L60" s="12" t="n"/>
      <c r="M60" s="120" t="b">
        <v>0</v>
      </c>
      <c r="N60" s="127" t="inlineStr">
        <is>
          <t>Tessen</t>
        </is>
      </c>
      <c r="O60" s="11" t="n"/>
      <c r="P60" s="11" t="n"/>
      <c r="Q60" s="11" t="n"/>
      <c r="R60" s="11" t="n"/>
      <c r="S60" s="11" t="n"/>
      <c r="T60" s="11" t="n"/>
      <c r="U60" s="12" t="n"/>
      <c r="V60" s="120" t="b">
        <v>0</v>
      </c>
      <c r="W60" s="127" t="inlineStr">
        <is>
          <t>Besta de Uma Mão</t>
        </is>
      </c>
      <c r="X60" s="11" t="n"/>
      <c r="Y60" s="11" t="n"/>
      <c r="Z60" s="11" t="n"/>
      <c r="AA60" s="11" t="n"/>
      <c r="AB60" s="11" t="n"/>
      <c r="AC60" s="11" t="n"/>
      <c r="AD60" s="12" t="n"/>
      <c r="AE60" s="120" t="b">
        <v>0</v>
      </c>
      <c r="AF60" s="127" t="inlineStr">
        <is>
          <t>Tekko</t>
        </is>
      </c>
      <c r="AG60" s="11" t="n"/>
      <c r="AH60" s="11" t="n"/>
      <c r="AI60" s="11" t="n"/>
      <c r="AJ60" s="11" t="n"/>
      <c r="AK60" s="11" t="n"/>
      <c r="AL60" s="12" t="n"/>
      <c r="AM60" s="120" t="b">
        <v>0</v>
      </c>
      <c r="AN60" s="127" t="inlineStr">
        <is>
          <t>Hankyū</t>
        </is>
      </c>
      <c r="AO60" s="11" t="n"/>
      <c r="AP60" s="11" t="n"/>
      <c r="AQ60" s="11" t="n"/>
      <c r="AR60" s="11" t="n"/>
      <c r="AS60" s="11" t="n"/>
      <c r="AT60" s="12" t="n"/>
      <c r="AU60" s="115" t="n"/>
      <c r="AV60" s="115" t="n"/>
      <c r="AW60" s="127" t="n"/>
      <c r="AX60" s="127" t="n"/>
      <c r="AY60" s="120" t="n"/>
      <c r="AZ60" s="120" t="n"/>
      <c r="BA60" s="120">
        <f>IF($AX60="","",IFERROR(FLOOR(ROUND(VLOOKUP($AX60,DADOS!$CL$5:$CM$10,2,FALSE)*IF($AY60="",1,VLOOKUP($AY60,DADOS!$CO$5:$CP$7,2,FALSE))*IF($AZ60="",1,VLOOKUP($AZ60,DADOS!$CR$5:$CS$9,2,FALSE)),4),12.5),""))</f>
        <v/>
      </c>
      <c r="BB60" s="115" t="n"/>
      <c r="BC60" s="127" t="n"/>
      <c r="BD60" s="127" t="n"/>
      <c r="BE60" s="120" t="n"/>
      <c r="BF60" s="120" t="n"/>
      <c r="BG60" s="120">
        <f>IF($BD60="","",IFERROR(FLOOR(ROUND(VLOOKUP($BD60,DADOS!$CL$5:$CM$10,2,FALSE)*IF($BE60="",1,VLOOKUP($BE60,DADOS!$CO$5:$CP$7,2,FALSE))*IF($BF60="",1,VLOOKUP($BF60,DADOS!$CR$5:$CS$9,2,FALSE)),4),12.5),""))</f>
        <v/>
      </c>
      <c r="BH60" s="115" t="n"/>
      <c r="BI60" s="127" t="n"/>
      <c r="BJ60" s="127" t="n"/>
      <c r="BK60" s="120" t="n"/>
      <c r="BL60" s="120" t="n"/>
      <c r="BM60" s="120">
        <f>IF($BJ60="","",IFERROR(FLOOR(ROUND(VLOOKUP($BJ60,DADOS!$CL$5:$CM$10,2,FALSE)*IF($BK60="",1,VLOOKUP($BK60,DADOS!$CO$5:$CP$7,2,FALSE))*IF($BL60="",1,VLOOKUP($BL60,DADOS!$CR$5:$CS$9,2,FALSE)),4),12.5),""))</f>
        <v/>
      </c>
      <c r="BN60" s="115" t="n"/>
      <c r="BO60" s="127" t="n"/>
      <c r="BP60" s="127" t="n"/>
      <c r="BQ60" s="120" t="n"/>
      <c r="BR60" s="120" t="n"/>
      <c r="BS60" s="120">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0" t="n"/>
      <c r="AZ61" s="120" t="n"/>
      <c r="BA61" s="120">
        <f>IF($AX61="","",IFERROR(FLOOR(ROUND(VLOOKUP($AX61,DADOS!$CL$5:$CM$10,2,FALSE)*IF($AY61="",1,VLOOKUP($AY61,DADOS!$CO$5:$CP$7,2,FALSE))*IF($AZ61="",1,VLOOKUP($AZ61,DADOS!$CR$5:$CS$9,2,FALSE)),4),12.5),""))</f>
        <v/>
      </c>
      <c r="BB61" s="115" t="n"/>
      <c r="BC61" s="127" t="n"/>
      <c r="BD61" s="127" t="n"/>
      <c r="BE61" s="120" t="n"/>
      <c r="BF61" s="120" t="n"/>
      <c r="BG61" s="120">
        <f>IF($BD61="","",IFERROR(FLOOR(ROUND(VLOOKUP($BD61,DADOS!$CL$5:$CM$10,2,FALSE)*IF($BE61="",1,VLOOKUP($BE61,DADOS!$CO$5:$CP$7,2,FALSE))*IF($BF61="",1,VLOOKUP($BF61,DADOS!$CR$5:$CS$9,2,FALSE)),4),12.5),""))</f>
        <v/>
      </c>
      <c r="BH61" s="115" t="n"/>
      <c r="BI61" s="127" t="n"/>
      <c r="BJ61" s="127" t="n"/>
      <c r="BK61" s="120" t="n"/>
      <c r="BL61" s="120" t="n"/>
      <c r="BM61" s="120">
        <f>IF($BJ61="","",IFERROR(FLOOR(ROUND(VLOOKUP($BJ61,DADOS!$CL$5:$CM$10,2,FALSE)*IF($BK61="",1,VLOOKUP($BK61,DADOS!$CO$5:$CP$7,2,FALSE))*IF($BL61="",1,VLOOKUP($BL61,DADOS!$CR$5:$CS$9,2,FALSE)),4),12.5),""))</f>
        <v/>
      </c>
      <c r="BN61" s="115" t="n"/>
      <c r="BO61" s="127" t="n"/>
      <c r="BP61" s="127" t="n"/>
      <c r="BQ61" s="120" t="n"/>
      <c r="BR61" s="120" t="n"/>
      <c r="BS61" s="120">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0" t="n"/>
      <c r="AZ62" s="120" t="n"/>
      <c r="BA62" s="120">
        <f>IF($AX62="","",IFERROR(FLOOR(ROUND(VLOOKUP($AX62,DADOS!$CL$5:$CM$10,2,FALSE)*IF($AY62="",1,VLOOKUP($AY62,DADOS!$CO$5:$CP$7,2,FALSE))*IF($AZ62="",1,VLOOKUP($AZ62,DADOS!$CR$5:$CS$9,2,FALSE)),4),12.5),""))</f>
        <v/>
      </c>
      <c r="BB62" s="115" t="n"/>
      <c r="BC62" s="127" t="n"/>
      <c r="BD62" s="127" t="n"/>
      <c r="BE62" s="120" t="n"/>
      <c r="BF62" s="120" t="n"/>
      <c r="BG62" s="120">
        <f>IF($BD62="","",IFERROR(FLOOR(ROUND(VLOOKUP($BD62,DADOS!$CL$5:$CM$10,2,FALSE)*IF($BE62="",1,VLOOKUP($BE62,DADOS!$CO$5:$CP$7,2,FALSE))*IF($BF62="",1,VLOOKUP($BF62,DADOS!$CR$5:$CS$9,2,FALSE)),4),12.5),""))</f>
        <v/>
      </c>
      <c r="BH62" s="115" t="n"/>
      <c r="BI62" s="127" t="n"/>
      <c r="BJ62" s="127" t="n"/>
      <c r="BK62" s="120" t="n"/>
      <c r="BL62" s="120" t="n"/>
      <c r="BM62" s="120">
        <f>IF($BJ62="","",IFERROR(FLOOR(ROUND(VLOOKUP($BJ62,DADOS!$CL$5:$CM$10,2,FALSE)*IF($BK62="",1,VLOOKUP($BK62,DADOS!$CO$5:$CP$7,2,FALSE))*IF($BL62="",1,VLOOKUP($BL62,DADOS!$CR$5:$CS$9,2,FALSE)),4),12.5),""))</f>
        <v/>
      </c>
      <c r="BN62" s="115" t="n"/>
      <c r="BO62" s="127" t="n"/>
      <c r="BP62" s="127" t="n"/>
      <c r="BQ62" s="120" t="n"/>
      <c r="BR62" s="120" t="n"/>
      <c r="BS62" s="120">
        <f>IF($BP62="","",IFERROR(FLOOR(ROUND(VLOOKUP($BP62,DADOS!$CL$5:$CM$10,2,FALSE)*IF($BQ62="",1,VLOOKUP($BQ62,DADOS!$CO$5:$CP$7,2,FALSE))*IF($BR62="",1,VLOOKUP($BR62,DADOS!$CR$5:$CS$9,2,FALSE)),4),12.5),""))</f>
        <v/>
      </c>
      <c r="BT62" s="115" t="n"/>
    </row>
    <row r="63">
      <c r="A63" s="8" t="n"/>
      <c r="B63" s="22" t="n"/>
      <c r="C63" s="115" t="n"/>
      <c r="D63" s="89">
        <f>DADOS!$CZ$40&amp;" de "&amp;DADOS!$CZ$41&amp;IF(DADOS!$CZ$42=1," · acima","")</f>
        <v/>
      </c>
      <c r="E63" s="14" t="n"/>
      <c r="F63" s="14" t="n"/>
      <c r="G63" s="14" t="n"/>
      <c r="H63" s="15" t="n"/>
      <c r="I63" s="127">
        <f>IFERROR(SPARKLINE(MIN(DADOS!$CZ$40,DADOS!$CZ$41),{"charttype","bar";"max",DADOS!$CZ$41;"color1",IF(DADOS!$CZ$42=1,"#C2334D",DADOS!$CZ$48)}),"")</f>
        <v/>
      </c>
      <c r="J63" s="14" t="n"/>
      <c r="K63" s="14" t="n"/>
      <c r="L63" s="14" t="n"/>
      <c r="M63" s="15" t="n"/>
      <c r="N63" s="115" t="n"/>
      <c r="O63" s="136"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IF(DADOS!$CZ$36+DADOS!$CZ$37+DADOS!$CZ$38=0,"Cumprido","Não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0" t="n"/>
      <c r="AZ63" s="120" t="n"/>
      <c r="BA63" s="120">
        <f>IF($AX63="","",IFERROR(FLOOR(ROUND(VLOOKUP($AX63,DADOS!$CL$5:$CM$10,2,FALSE)*IF($AY63="",1,VLOOKUP($AY63,DADOS!$CO$5:$CP$7,2,FALSE))*IF($AZ63="",1,VLOOKUP($AZ63,DADOS!$CR$5:$CS$9,2,FALSE)),4),12.5),""))</f>
        <v/>
      </c>
      <c r="BB63" s="115" t="n"/>
      <c r="BC63" s="127" t="n"/>
      <c r="BD63" s="127" t="n"/>
      <c r="BE63" s="120" t="n"/>
      <c r="BF63" s="120" t="n"/>
      <c r="BG63" s="120">
        <f>IF($BD63="","",IFERROR(FLOOR(ROUND(VLOOKUP($BD63,DADOS!$CL$5:$CM$10,2,FALSE)*IF($BE63="",1,VLOOKUP($BE63,DADOS!$CO$5:$CP$7,2,FALSE))*IF($BF63="",1,VLOOKUP($BF63,DADOS!$CR$5:$CS$9,2,FALSE)),4),12.5),""))</f>
        <v/>
      </c>
      <c r="BH63" s="115" t="n"/>
      <c r="BI63" s="127" t="n"/>
      <c r="BJ63" s="127" t="n"/>
      <c r="BK63" s="120" t="n"/>
      <c r="BL63" s="120" t="n"/>
      <c r="BM63" s="120">
        <f>IF($BJ63="","",IFERROR(FLOOR(ROUND(VLOOKUP($BJ63,DADOS!$CL$5:$CM$10,2,FALSE)*IF($BK63="",1,VLOOKUP($BK63,DADOS!$CO$5:$CP$7,2,FALSE))*IF($BL63="",1,VLOOKUP($BL63,DADOS!$CR$5:$CS$9,2,FALSE)),4),12.5),""))</f>
        <v/>
      </c>
      <c r="BN63" s="115" t="n"/>
      <c r="BO63" s="127" t="n"/>
      <c r="BP63" s="127" t="n"/>
      <c r="BQ63" s="120" t="n"/>
      <c r="BR63" s="120" t="n"/>
      <c r="BS63" s="120">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0" t="n"/>
      <c r="AZ64" s="120" t="n"/>
      <c r="BA64" s="120">
        <f>IF($AX64="","",IFERROR(FLOOR(ROUND(VLOOKUP($AX64,DADOS!$CL$5:$CM$10,2,FALSE)*IF($AY64="",1,VLOOKUP($AY64,DADOS!$CO$5:$CP$7,2,FALSE))*IF($AZ64="",1,VLOOKUP($AZ64,DADOS!$CR$5:$CS$9,2,FALSE)),4),12.5),""))</f>
        <v/>
      </c>
      <c r="BB64" s="115" t="n"/>
      <c r="BC64" s="127" t="n"/>
      <c r="BD64" s="127" t="n"/>
      <c r="BE64" s="120" t="n"/>
      <c r="BF64" s="120" t="n"/>
      <c r="BG64" s="120">
        <f>IF($BD64="","",IFERROR(FLOOR(ROUND(VLOOKUP($BD64,DADOS!$CL$5:$CM$10,2,FALSE)*IF($BE64="",1,VLOOKUP($BE64,DADOS!$CO$5:$CP$7,2,FALSE))*IF($BF64="",1,VLOOKUP($BF64,DADOS!$CR$5:$CS$9,2,FALSE)),4),12.5),""))</f>
        <v/>
      </c>
      <c r="BH64" s="115" t="n"/>
      <c r="BI64" s="127" t="n"/>
      <c r="BJ64" s="127" t="n"/>
      <c r="BK64" s="120" t="n"/>
      <c r="BL64" s="120" t="n"/>
      <c r="BM64" s="120">
        <f>IF($BJ64="","",IFERROR(FLOOR(ROUND(VLOOKUP($BJ64,DADOS!$CL$5:$CM$10,2,FALSE)*IF($BK64="",1,VLOOKUP($BK64,DADOS!$CO$5:$CP$7,2,FALSE))*IF($BL64="",1,VLOOKUP($BL64,DADOS!$CR$5:$CS$9,2,FALSE)),4),12.5),""))</f>
        <v/>
      </c>
      <c r="BN64" s="115" t="n"/>
      <c r="BO64" s="127" t="n"/>
      <c r="BP64" s="127" t="n"/>
      <c r="BQ64" s="120" t="n"/>
      <c r="BR64" s="120" t="n"/>
      <c r="BS64" s="120">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0" t="n"/>
      <c r="L69" s="12" t="n"/>
      <c r="M69" s="127">
        <f>IF($D69="","",IFERROR(VLOOKUP($D69,DADOS!$BD$5:$BN$59,2,FALSE),""))</f>
        <v/>
      </c>
      <c r="N69" s="11" t="n"/>
      <c r="O69" s="11" t="n"/>
      <c r="P69" s="11" t="n"/>
      <c r="Q69" s="11" t="n"/>
      <c r="R69" s="12" t="n"/>
      <c r="S69" s="120">
        <f>IF($D69="","",IFERROR(VLOOKUP($D69,DADOS!$BD$5:$BN$59,3,FALSE),""))</f>
        <v/>
      </c>
      <c r="T69" s="12" t="n"/>
      <c r="U69" s="120">
        <f>IF($D69="","",IFERROR(VLOOKUP($D69,DADOS!$BD$5:$BN$59,4,FALSE),""))</f>
        <v/>
      </c>
      <c r="V69" s="12" t="n"/>
      <c r="W69" s="127">
        <f>IF($D69="","",IFERROR(VLOOKUP($D69,DADOS!$BD$5:$BN$59,5,FALSE),""))</f>
        <v/>
      </c>
      <c r="X69" s="11" t="n"/>
      <c r="Y69" s="11" t="n"/>
      <c r="Z69" s="11" t="n"/>
      <c r="AA69" s="11" t="n"/>
      <c r="AB69" s="11" t="n"/>
      <c r="AC69" s="11" t="n"/>
      <c r="AD69" s="12" t="n"/>
      <c r="AE69" s="120">
        <f>IF($D69="","",IFERROR(VLOOKUP($D69,DADOS!$BD$5:$BN$59,6,FALSE),""))</f>
        <v/>
      </c>
      <c r="AF69" s="12" t="n"/>
      <c r="AG69" s="120">
        <f>IF($D69="","",IFERROR(IF($K69="",1,$K69)*VLOOKUP($D69,DADOS!$BD$5:$BN$59,7,FALSE),""))</f>
        <v/>
      </c>
      <c r="AH69" s="12" t="n"/>
      <c r="AI69" s="120" t="n"/>
      <c r="AJ69" s="12" t="n"/>
      <c r="AK69" s="127" t="n"/>
      <c r="AL69" s="11" t="n"/>
      <c r="AM69" s="11" t="n"/>
      <c r="AN69" s="11" t="n"/>
      <c r="AO69" s="11" t="n"/>
      <c r="AP69" s="12" t="n"/>
      <c r="AQ69" s="120" t="n"/>
      <c r="AR69" s="11" t="n"/>
      <c r="AS69" s="11" t="n"/>
      <c r="AT69" s="12" t="n"/>
      <c r="AU69" s="115" t="n"/>
      <c r="AV69" s="115" t="n"/>
      <c r="AW69" s="120">
        <f>IF(DADOS!$CZ$45=2,"▸ 2",2)</f>
        <v/>
      </c>
      <c r="AX69" s="120" t="inlineStr">
        <is>
          <t>200</t>
        </is>
      </c>
      <c r="AY69" s="12" t="n"/>
      <c r="AZ69" s="120" t="inlineStr">
        <is>
          <t>0</t>
        </is>
      </c>
      <c r="BA69" s="12" t="n"/>
      <c r="BB69" s="115" t="n"/>
      <c r="BC69" s="120">
        <f>IF(DADOS!$CZ$45=17,"▸ 17",17)</f>
        <v/>
      </c>
      <c r="BD69" s="120" t="inlineStr">
        <is>
          <t>1.300</t>
        </is>
      </c>
      <c r="BE69" s="12" t="n"/>
      <c r="BF69" s="120"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0" t="n"/>
      <c r="L70" s="12" t="n"/>
      <c r="M70" s="127">
        <f>IF($D70="","",IFERROR(VLOOKUP($D70,DADOS!$BD$5:$BN$59,2,FALSE),""))</f>
        <v/>
      </c>
      <c r="N70" s="11" t="n"/>
      <c r="O70" s="11" t="n"/>
      <c r="P70" s="11" t="n"/>
      <c r="Q70" s="11" t="n"/>
      <c r="R70" s="12" t="n"/>
      <c r="S70" s="120">
        <f>IF($D70="","",IFERROR(VLOOKUP($D70,DADOS!$BD$5:$BN$59,3,FALSE),""))</f>
        <v/>
      </c>
      <c r="T70" s="12" t="n"/>
      <c r="U70" s="120">
        <f>IF($D70="","",IFERROR(VLOOKUP($D70,DADOS!$BD$5:$BN$59,4,FALSE),""))</f>
        <v/>
      </c>
      <c r="V70" s="12" t="n"/>
      <c r="W70" s="127">
        <f>IF($D70="","",IFERROR(VLOOKUP($D70,DADOS!$BD$5:$BN$59,5,FALSE),""))</f>
        <v/>
      </c>
      <c r="X70" s="11" t="n"/>
      <c r="Y70" s="11" t="n"/>
      <c r="Z70" s="11" t="n"/>
      <c r="AA70" s="11" t="n"/>
      <c r="AB70" s="11" t="n"/>
      <c r="AC70" s="11" t="n"/>
      <c r="AD70" s="12" t="n"/>
      <c r="AE70" s="120">
        <f>IF($D70="","",IFERROR(VLOOKUP($D70,DADOS!$BD$5:$BN$59,6,FALSE),""))</f>
        <v/>
      </c>
      <c r="AF70" s="12" t="n"/>
      <c r="AG70" s="120">
        <f>IF($D70="","",IFERROR(IF($K70="",1,$K70)*VLOOKUP($D70,DADOS!$BD$5:$BN$59,7,FALSE),""))</f>
        <v/>
      </c>
      <c r="AH70" s="12" t="n"/>
      <c r="AI70" s="120" t="n"/>
      <c r="AJ70" s="12" t="n"/>
      <c r="AK70" s="127" t="n"/>
      <c r="AL70" s="11" t="n"/>
      <c r="AM70" s="11" t="n"/>
      <c r="AN70" s="11" t="n"/>
      <c r="AO70" s="11" t="n"/>
      <c r="AP70" s="12" t="n"/>
      <c r="AQ70" s="120" t="n"/>
      <c r="AR70" s="11" t="n"/>
      <c r="AS70" s="11" t="n"/>
      <c r="AT70" s="12" t="n"/>
      <c r="AU70" s="115" t="n"/>
      <c r="AV70" s="115" t="n"/>
      <c r="AW70" s="120">
        <f>IF(DADOS!$CZ$45=3,"▸ 3",3)</f>
        <v/>
      </c>
      <c r="AX70" s="120" t="inlineStr">
        <is>
          <t>300</t>
        </is>
      </c>
      <c r="AY70" s="12" t="n"/>
      <c r="AZ70" s="120" t="inlineStr">
        <is>
          <t>200</t>
        </is>
      </c>
      <c r="BA70" s="12" t="n"/>
      <c r="BB70" s="115" t="n"/>
      <c r="BC70" s="120">
        <f>IF(DADOS!$CZ$45=18,"▸ 18",18)</f>
        <v/>
      </c>
      <c r="BD70" s="120" t="inlineStr">
        <is>
          <t>1.300</t>
        </is>
      </c>
      <c r="BE70" s="12" t="n"/>
      <c r="BF70" s="120"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0" t="n"/>
      <c r="L71" s="12" t="n"/>
      <c r="M71" s="127">
        <f>IF($D71="","",IFERROR(VLOOKUP($D71,DADOS!$BD$5:$BN$59,2,FALSE),""))</f>
        <v/>
      </c>
      <c r="N71" s="11" t="n"/>
      <c r="O71" s="11" t="n"/>
      <c r="P71" s="11" t="n"/>
      <c r="Q71" s="11" t="n"/>
      <c r="R71" s="12" t="n"/>
      <c r="S71" s="120">
        <f>IF($D71="","",IFERROR(VLOOKUP($D71,DADOS!$BD$5:$BN$59,3,FALSE),""))</f>
        <v/>
      </c>
      <c r="T71" s="12" t="n"/>
      <c r="U71" s="120">
        <f>IF($D71="","",IFERROR(VLOOKUP($D71,DADOS!$BD$5:$BN$59,4,FALSE),""))</f>
        <v/>
      </c>
      <c r="V71" s="12" t="n"/>
      <c r="W71" s="127">
        <f>IF($D71="","",IFERROR(VLOOKUP($D71,DADOS!$BD$5:$BN$59,5,FALSE),""))</f>
        <v/>
      </c>
      <c r="X71" s="11" t="n"/>
      <c r="Y71" s="11" t="n"/>
      <c r="Z71" s="11" t="n"/>
      <c r="AA71" s="11" t="n"/>
      <c r="AB71" s="11" t="n"/>
      <c r="AC71" s="11" t="n"/>
      <c r="AD71" s="12" t="n"/>
      <c r="AE71" s="120">
        <f>IF($D71="","",IFERROR(VLOOKUP($D71,DADOS!$BD$5:$BN$59,6,FALSE),""))</f>
        <v/>
      </c>
      <c r="AF71" s="12" t="n"/>
      <c r="AG71" s="120">
        <f>IF($D71="","",IFERROR(IF($K71="",1,$K71)*VLOOKUP($D71,DADOS!$BD$5:$BN$59,7,FALSE),""))</f>
        <v/>
      </c>
      <c r="AH71" s="12" t="n"/>
      <c r="AI71" s="120" t="n"/>
      <c r="AJ71" s="12" t="n"/>
      <c r="AK71" s="127" t="n"/>
      <c r="AL71" s="11" t="n"/>
      <c r="AM71" s="11" t="n"/>
      <c r="AN71" s="11" t="n"/>
      <c r="AO71" s="11" t="n"/>
      <c r="AP71" s="12" t="n"/>
      <c r="AQ71" s="120" t="n"/>
      <c r="AR71" s="11" t="n"/>
      <c r="AS71" s="11" t="n"/>
      <c r="AT71" s="12" t="n"/>
      <c r="AU71" s="115" t="n"/>
      <c r="AV71" s="115" t="n"/>
      <c r="AW71" s="120">
        <f>IF(DADOS!$CZ$45=4,"▸ 4",4)</f>
        <v/>
      </c>
      <c r="AX71" s="120" t="inlineStr">
        <is>
          <t>300</t>
        </is>
      </c>
      <c r="AY71" s="12" t="n"/>
      <c r="AZ71" s="120" t="inlineStr">
        <is>
          <t>500</t>
        </is>
      </c>
      <c r="BA71" s="12" t="n"/>
      <c r="BB71" s="115" t="n"/>
      <c r="BC71" s="120">
        <f>IF(DADOS!$CZ$45=19,"▸ 19",19)</f>
        <v/>
      </c>
      <c r="BD71" s="120" t="inlineStr">
        <is>
          <t>1.300</t>
        </is>
      </c>
      <c r="BE71" s="12" t="n"/>
      <c r="BF71" s="120"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0" t="n"/>
      <c r="L72" s="12" t="n"/>
      <c r="M72" s="127">
        <f>IF($D72="","",IFERROR(VLOOKUP($D72,DADOS!$BD$5:$BN$59,2,FALSE),""))</f>
        <v/>
      </c>
      <c r="N72" s="11" t="n"/>
      <c r="O72" s="11" t="n"/>
      <c r="P72" s="11" t="n"/>
      <c r="Q72" s="11" t="n"/>
      <c r="R72" s="12" t="n"/>
      <c r="S72" s="120">
        <f>IF($D72="","",IFERROR(VLOOKUP($D72,DADOS!$BD$5:$BN$59,3,FALSE),""))</f>
        <v/>
      </c>
      <c r="T72" s="12" t="n"/>
      <c r="U72" s="120">
        <f>IF($D72="","",IFERROR(VLOOKUP($D72,DADOS!$BD$5:$BN$59,4,FALSE),""))</f>
        <v/>
      </c>
      <c r="V72" s="12" t="n"/>
      <c r="W72" s="127">
        <f>IF($D72="","",IFERROR(VLOOKUP($D72,DADOS!$BD$5:$BN$59,5,FALSE),""))</f>
        <v/>
      </c>
      <c r="X72" s="11" t="n"/>
      <c r="Y72" s="11" t="n"/>
      <c r="Z72" s="11" t="n"/>
      <c r="AA72" s="11" t="n"/>
      <c r="AB72" s="11" t="n"/>
      <c r="AC72" s="11" t="n"/>
      <c r="AD72" s="12" t="n"/>
      <c r="AE72" s="120">
        <f>IF($D72="","",IFERROR(VLOOKUP($D72,DADOS!$BD$5:$BN$59,6,FALSE),""))</f>
        <v/>
      </c>
      <c r="AF72" s="12" t="n"/>
      <c r="AG72" s="120">
        <f>IF($D72="","",IFERROR(IF($K72="",1,$K72)*VLOOKUP($D72,DADOS!$BD$5:$BN$59,7,FALSE),""))</f>
        <v/>
      </c>
      <c r="AH72" s="12" t="n"/>
      <c r="AI72" s="120" t="n"/>
      <c r="AJ72" s="12" t="n"/>
      <c r="AK72" s="127" t="n"/>
      <c r="AL72" s="11" t="n"/>
      <c r="AM72" s="11" t="n"/>
      <c r="AN72" s="11" t="n"/>
      <c r="AO72" s="11" t="n"/>
      <c r="AP72" s="12" t="n"/>
      <c r="AQ72" s="120" t="n"/>
      <c r="AR72" s="11" t="n"/>
      <c r="AS72" s="11" t="n"/>
      <c r="AT72" s="12" t="n"/>
      <c r="AU72" s="115" t="n"/>
      <c r="AV72" s="115" t="n"/>
      <c r="AW72" s="120">
        <f>IF(DADOS!$CZ$45=5,"▸ 5",5)</f>
        <v/>
      </c>
      <c r="AX72" s="120" t="inlineStr">
        <is>
          <t>500</t>
        </is>
      </c>
      <c r="AY72" s="12" t="n"/>
      <c r="AZ72" s="120" t="inlineStr">
        <is>
          <t>800</t>
        </is>
      </c>
      <c r="BA72" s="12" t="n"/>
      <c r="BB72" s="115" t="n"/>
      <c r="BC72" s="120">
        <f>IF(DADOS!$CZ$45=20,"▸ 20",20)</f>
        <v/>
      </c>
      <c r="BD72" s="120" t="inlineStr">
        <is>
          <t>1.500 e um feito</t>
        </is>
      </c>
      <c r="BE72" s="12" t="n"/>
      <c r="BF72" s="120"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0" t="n"/>
      <c r="L73" s="12" t="n"/>
      <c r="M73" s="127">
        <f>IF($D73="","",IFERROR(VLOOKUP($D73,DADOS!$BD$5:$BN$59,2,FALSE),""))</f>
        <v/>
      </c>
      <c r="N73" s="11" t="n"/>
      <c r="O73" s="11" t="n"/>
      <c r="P73" s="11" t="n"/>
      <c r="Q73" s="11" t="n"/>
      <c r="R73" s="12" t="n"/>
      <c r="S73" s="120">
        <f>IF($D73="","",IFERROR(VLOOKUP($D73,DADOS!$BD$5:$BN$59,3,FALSE),""))</f>
        <v/>
      </c>
      <c r="T73" s="12" t="n"/>
      <c r="U73" s="120">
        <f>IF($D73="","",IFERROR(VLOOKUP($D73,DADOS!$BD$5:$BN$59,4,FALSE),""))</f>
        <v/>
      </c>
      <c r="V73" s="12" t="n"/>
      <c r="W73" s="127">
        <f>IF($D73="","",IFERROR(VLOOKUP($D73,DADOS!$BD$5:$BN$59,5,FALSE),""))</f>
        <v/>
      </c>
      <c r="X73" s="11" t="n"/>
      <c r="Y73" s="11" t="n"/>
      <c r="Z73" s="11" t="n"/>
      <c r="AA73" s="11" t="n"/>
      <c r="AB73" s="11" t="n"/>
      <c r="AC73" s="11" t="n"/>
      <c r="AD73" s="12" t="n"/>
      <c r="AE73" s="120">
        <f>IF($D73="","",IFERROR(VLOOKUP($D73,DADOS!$BD$5:$BN$59,6,FALSE),""))</f>
        <v/>
      </c>
      <c r="AF73" s="12" t="n"/>
      <c r="AG73" s="120">
        <f>IF($D73="","",IFERROR(IF($K73="",1,$K73)*VLOOKUP($D73,DADOS!$BD$5:$BN$59,7,FALSE),""))</f>
        <v/>
      </c>
      <c r="AH73" s="12" t="n"/>
      <c r="AI73" s="120" t="n"/>
      <c r="AJ73" s="12" t="n"/>
      <c r="AK73" s="127" t="n"/>
      <c r="AL73" s="11" t="n"/>
      <c r="AM73" s="11" t="n"/>
      <c r="AN73" s="11" t="n"/>
      <c r="AO73" s="11" t="n"/>
      <c r="AP73" s="12" t="n"/>
      <c r="AQ73" s="120" t="n"/>
      <c r="AR73" s="11" t="n"/>
      <c r="AS73" s="11" t="n"/>
      <c r="AT73" s="12" t="n"/>
      <c r="AU73" s="115" t="n"/>
      <c r="AV73" s="115" t="n"/>
      <c r="AW73" s="120">
        <f>IF(DADOS!$CZ$45=6,"▸ 6",6)</f>
        <v/>
      </c>
      <c r="AX73" s="120" t="inlineStr">
        <is>
          <t>500</t>
        </is>
      </c>
      <c r="AY73" s="12" t="n"/>
      <c r="AZ73" s="120" t="inlineStr">
        <is>
          <t>1.300</t>
        </is>
      </c>
      <c r="BA73" s="12" t="n"/>
      <c r="BB73" s="115" t="n"/>
      <c r="BC73" s="120">
        <f>IF(DADOS!$CZ$45=21,"▸ 21",21)</f>
        <v/>
      </c>
      <c r="BD73" s="120" t="inlineStr">
        <is>
          <t>1.500</t>
        </is>
      </c>
      <c r="BE73" s="12" t="n"/>
      <c r="BF73" s="120"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0" t="n"/>
      <c r="L74" s="12" t="n"/>
      <c r="M74" s="127">
        <f>IF($D74="","",IFERROR(VLOOKUP($D74,DADOS!$BD$5:$BN$59,2,FALSE),""))</f>
        <v/>
      </c>
      <c r="N74" s="11" t="n"/>
      <c r="O74" s="11" t="n"/>
      <c r="P74" s="11" t="n"/>
      <c r="Q74" s="11" t="n"/>
      <c r="R74" s="12" t="n"/>
      <c r="S74" s="120">
        <f>IF($D74="","",IFERROR(VLOOKUP($D74,DADOS!$BD$5:$BN$59,3,FALSE),""))</f>
        <v/>
      </c>
      <c r="T74" s="12" t="n"/>
      <c r="U74" s="120">
        <f>IF($D74="","",IFERROR(VLOOKUP($D74,DADOS!$BD$5:$BN$59,4,FALSE),""))</f>
        <v/>
      </c>
      <c r="V74" s="12" t="n"/>
      <c r="W74" s="127">
        <f>IF($D74="","",IFERROR(VLOOKUP($D74,DADOS!$BD$5:$BN$59,5,FALSE),""))</f>
        <v/>
      </c>
      <c r="X74" s="11" t="n"/>
      <c r="Y74" s="11" t="n"/>
      <c r="Z74" s="11" t="n"/>
      <c r="AA74" s="11" t="n"/>
      <c r="AB74" s="11" t="n"/>
      <c r="AC74" s="11" t="n"/>
      <c r="AD74" s="12" t="n"/>
      <c r="AE74" s="120">
        <f>IF($D74="","",IFERROR(VLOOKUP($D74,DADOS!$BD$5:$BN$59,6,FALSE),""))</f>
        <v/>
      </c>
      <c r="AF74" s="12" t="n"/>
      <c r="AG74" s="120">
        <f>IF($D74="","",IFERROR(IF($K74="",1,$K74)*VLOOKUP($D74,DADOS!$BD$5:$BN$59,7,FALSE),""))</f>
        <v/>
      </c>
      <c r="AH74" s="12" t="n"/>
      <c r="AI74" s="120" t="n"/>
      <c r="AJ74" s="12" t="n"/>
      <c r="AK74" s="127" t="n"/>
      <c r="AL74" s="11" t="n"/>
      <c r="AM74" s="11" t="n"/>
      <c r="AN74" s="11" t="n"/>
      <c r="AO74" s="11" t="n"/>
      <c r="AP74" s="12" t="n"/>
      <c r="AQ74" s="120" t="n"/>
      <c r="AR74" s="11" t="n"/>
      <c r="AS74" s="11" t="n"/>
      <c r="AT74" s="12" t="n"/>
      <c r="AU74" s="115" t="n"/>
      <c r="AV74" s="115" t="n"/>
      <c r="AW74" s="120">
        <f>IF(DADOS!$CZ$45=7,"▸ 7",7)</f>
        <v/>
      </c>
      <c r="AX74" s="120" t="inlineStr">
        <is>
          <t>500</t>
        </is>
      </c>
      <c r="AY74" s="12" t="n"/>
      <c r="AZ74" s="120" t="inlineStr">
        <is>
          <t>1.800</t>
        </is>
      </c>
      <c r="BA74" s="12" t="n"/>
      <c r="BB74" s="115" t="n"/>
      <c r="BC74" s="120">
        <f>IF(DADOS!$CZ$45=22,"▸ 22",22)</f>
        <v/>
      </c>
      <c r="BD74" s="120" t="inlineStr">
        <is>
          <t>1.500</t>
        </is>
      </c>
      <c r="BE74" s="12" t="n"/>
      <c r="BF74" s="120"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0" t="n"/>
      <c r="L75" s="12" t="n"/>
      <c r="M75" s="127" t="n"/>
      <c r="N75" s="11" t="n"/>
      <c r="O75" s="11" t="n"/>
      <c r="P75" s="11" t="n"/>
      <c r="Q75" s="11" t="n"/>
      <c r="R75" s="12" t="n"/>
      <c r="S75" s="120" t="n"/>
      <c r="T75" s="12" t="n"/>
      <c r="U75" s="120" t="n"/>
      <c r="V75" s="12" t="n"/>
      <c r="W75" s="127" t="n"/>
      <c r="X75" s="11" t="n"/>
      <c r="Y75" s="11" t="n"/>
      <c r="Z75" s="11" t="n"/>
      <c r="AA75" s="11" t="n"/>
      <c r="AB75" s="11" t="n"/>
      <c r="AC75" s="11" t="n"/>
      <c r="AD75" s="12" t="n"/>
      <c r="AE75" s="120" t="n"/>
      <c r="AF75" s="12" t="n"/>
      <c r="AG75" s="120" t="n"/>
      <c r="AH75" s="12" t="n"/>
      <c r="AI75" s="120" t="n"/>
      <c r="AJ75" s="12" t="n"/>
      <c r="AK75" s="127" t="n"/>
      <c r="AL75" s="11" t="n"/>
      <c r="AM75" s="11" t="n"/>
      <c r="AN75" s="11" t="n"/>
      <c r="AO75" s="11" t="n"/>
      <c r="AP75" s="12" t="n"/>
      <c r="AQ75" s="120" t="n"/>
      <c r="AR75" s="11" t="n"/>
      <c r="AS75" s="11" t="n"/>
      <c r="AT75" s="12" t="n"/>
      <c r="AU75" s="115" t="n"/>
      <c r="AV75" s="115" t="n"/>
      <c r="AW75" s="120">
        <f>IF(DADOS!$CZ$45=8,"▸ 8",8)</f>
        <v/>
      </c>
      <c r="AX75" s="120" t="inlineStr">
        <is>
          <t>700</t>
        </is>
      </c>
      <c r="AY75" s="12" t="n"/>
      <c r="AZ75" s="120" t="inlineStr">
        <is>
          <t>2.300</t>
        </is>
      </c>
      <c r="BA75" s="12" t="n"/>
      <c r="BB75" s="115" t="n"/>
      <c r="BC75" s="120">
        <f>IF(DADOS!$CZ$45=23,"▸ 23",23)</f>
        <v/>
      </c>
      <c r="BD75" s="120" t="inlineStr">
        <is>
          <t>1.700</t>
        </is>
      </c>
      <c r="BE75" s="12" t="n"/>
      <c r="BF75" s="120"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0" t="n"/>
      <c r="L76" s="12" t="n"/>
      <c r="M76" s="127" t="n"/>
      <c r="N76" s="11" t="n"/>
      <c r="O76" s="11" t="n"/>
      <c r="P76" s="11" t="n"/>
      <c r="Q76" s="11" t="n"/>
      <c r="R76" s="12" t="n"/>
      <c r="S76" s="120" t="n"/>
      <c r="T76" s="12" t="n"/>
      <c r="U76" s="120" t="n"/>
      <c r="V76" s="12" t="n"/>
      <c r="W76" s="127" t="n"/>
      <c r="X76" s="11" t="n"/>
      <c r="Y76" s="11" t="n"/>
      <c r="Z76" s="11" t="n"/>
      <c r="AA76" s="11" t="n"/>
      <c r="AB76" s="11" t="n"/>
      <c r="AC76" s="11" t="n"/>
      <c r="AD76" s="12" t="n"/>
      <c r="AE76" s="120" t="n"/>
      <c r="AF76" s="12" t="n"/>
      <c r="AG76" s="120" t="n"/>
      <c r="AH76" s="12" t="n"/>
      <c r="AI76" s="120" t="n"/>
      <c r="AJ76" s="12" t="n"/>
      <c r="AK76" s="127" t="n"/>
      <c r="AL76" s="11" t="n"/>
      <c r="AM76" s="11" t="n"/>
      <c r="AN76" s="11" t="n"/>
      <c r="AO76" s="11" t="n"/>
      <c r="AP76" s="12" t="n"/>
      <c r="AQ76" s="120" t="n"/>
      <c r="AR76" s="11" t="n"/>
      <c r="AS76" s="11" t="n"/>
      <c r="AT76" s="12" t="n"/>
      <c r="AU76" s="115" t="n"/>
      <c r="AV76" s="115" t="n"/>
      <c r="AW76" s="120">
        <f>IF(DADOS!$CZ$45=9,"▸ 9",9)</f>
        <v/>
      </c>
      <c r="AX76" s="120" t="inlineStr">
        <is>
          <t>700</t>
        </is>
      </c>
      <c r="AY76" s="12" t="n"/>
      <c r="AZ76" s="120" t="inlineStr">
        <is>
          <t>3.000</t>
        </is>
      </c>
      <c r="BA76" s="12" t="n"/>
      <c r="BB76" s="115" t="n"/>
      <c r="BC76" s="120">
        <f>IF(DADOS!$CZ$45=24,"▸ 24",24)</f>
        <v/>
      </c>
      <c r="BD76" s="120" t="inlineStr">
        <is>
          <t>1.700</t>
        </is>
      </c>
      <c r="BE76" s="12" t="n"/>
      <c r="BF76" s="120"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0">
        <f>IF(DADOS!$CZ$45=10,"▸ 10",10)</f>
        <v/>
      </c>
      <c r="AX77" s="120" t="inlineStr">
        <is>
          <t>700</t>
        </is>
      </c>
      <c r="AY77" s="12" t="n"/>
      <c r="AZ77" s="120" t="inlineStr">
        <is>
          <t>3.700</t>
        </is>
      </c>
      <c r="BA77" s="12" t="n"/>
      <c r="BB77" s="115" t="n"/>
      <c r="BC77" s="120">
        <f>IF(DADOS!$CZ$45=25,"▸ 25",25)</f>
        <v/>
      </c>
      <c r="BD77" s="120" t="inlineStr">
        <is>
          <t>1.700</t>
        </is>
      </c>
      <c r="BE77" s="12" t="n"/>
      <c r="BF77" s="120"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0">
        <f>IF(DADOS!$CZ$45=11,"▸ 11",11)</f>
        <v/>
      </c>
      <c r="AX78" s="120" t="inlineStr">
        <is>
          <t>900</t>
        </is>
      </c>
      <c r="AY78" s="12" t="n"/>
      <c r="AZ78" s="120" t="inlineStr">
        <is>
          <t>4.400</t>
        </is>
      </c>
      <c r="BA78" s="12" t="n"/>
      <c r="BB78" s="115" t="n"/>
      <c r="BC78" s="120">
        <f>IF(DADOS!$CZ$45=26,"▸ 26",26)</f>
        <v/>
      </c>
      <c r="BD78" s="120" t="inlineStr">
        <is>
          <t>1.700</t>
        </is>
      </c>
      <c r="BE78" s="12" t="n"/>
      <c r="BF78" s="120"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0">
        <f>IF(DADOS!$CZ$45=12,"▸ 12",12)</f>
        <v/>
      </c>
      <c r="AX79" s="120" t="inlineStr">
        <is>
          <t>900</t>
        </is>
      </c>
      <c r="AY79" s="12" t="n"/>
      <c r="AZ79" s="120" t="inlineStr">
        <is>
          <t>5.300</t>
        </is>
      </c>
      <c r="BA79" s="12" t="n"/>
      <c r="BB79" s="115" t="n"/>
      <c r="BC79" s="120">
        <f>IF(DADOS!$CZ$45=27,"▸ 27",27)</f>
        <v/>
      </c>
      <c r="BD79" s="120" t="inlineStr">
        <is>
          <t>1.700</t>
        </is>
      </c>
      <c r="BE79" s="12" t="n"/>
      <c r="BF79" s="120"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0">
        <f>IF(DADOS!$CZ$45=13,"▸ 13",13)</f>
        <v/>
      </c>
      <c r="AX80" s="120" t="inlineStr">
        <is>
          <t>900</t>
        </is>
      </c>
      <c r="AY80" s="12" t="n"/>
      <c r="AZ80" s="120" t="inlineStr">
        <is>
          <t>6.200</t>
        </is>
      </c>
      <c r="BA80" s="12" t="n"/>
      <c r="BB80" s="115" t="n"/>
      <c r="BC80" s="120">
        <f>IF(DADOS!$CZ$45=28,"▸ 28",28)</f>
        <v/>
      </c>
      <c r="BD80" s="120" t="inlineStr">
        <is>
          <t>1.700</t>
        </is>
      </c>
      <c r="BE80" s="12" t="n"/>
      <c r="BF80" s="120"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0" t="n"/>
      <c r="U81" s="12" t="n"/>
      <c r="V81" s="120">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0" t="n"/>
      <c r="AQ81" s="12" t="n"/>
      <c r="AR81" s="120">
        <f>IF($Z81="","",IF($AP81="",1,$AP81)*0.1)</f>
        <v/>
      </c>
      <c r="AS81" s="11" t="n"/>
      <c r="AT81" s="12" t="n"/>
      <c r="AU81" s="115" t="n"/>
      <c r="AV81" s="115" t="n"/>
      <c r="AW81" s="120">
        <f>IF(DADOS!$CZ$45=14,"▸ 14",14)</f>
        <v/>
      </c>
      <c r="AX81" s="120" t="inlineStr">
        <is>
          <t>1.100</t>
        </is>
      </c>
      <c r="AY81" s="12" t="n"/>
      <c r="AZ81" s="120" t="inlineStr">
        <is>
          <t>7.100</t>
        </is>
      </c>
      <c r="BA81" s="12" t="n"/>
      <c r="BB81" s="115" t="n"/>
      <c r="BC81" s="120">
        <f>IF(DADOS!$CZ$45=29,"▸ 29",29)</f>
        <v/>
      </c>
      <c r="BD81" s="120" t="inlineStr">
        <is>
          <t>1.700</t>
        </is>
      </c>
      <c r="BE81" s="12" t="n"/>
      <c r="BF81" s="120"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0" t="n"/>
      <c r="U82" s="12" t="n"/>
      <c r="V82" s="120">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0" t="n"/>
      <c r="AQ82" s="12" t="n"/>
      <c r="AR82" s="120">
        <f>IF($Z82="","",IF($AP82="",1,$AP82)*0.1)</f>
        <v/>
      </c>
      <c r="AS82" s="11" t="n"/>
      <c r="AT82" s="12" t="n"/>
      <c r="AU82" s="115" t="n"/>
      <c r="AV82" s="115" t="n"/>
      <c r="AW82" s="120">
        <f>IF(DADOS!$CZ$45=15,"▸ 15",15)</f>
        <v/>
      </c>
      <c r="AX82" s="120" t="inlineStr">
        <is>
          <t>1.100</t>
        </is>
      </c>
      <c r="AY82" s="12" t="n"/>
      <c r="AZ82" s="120" t="inlineStr">
        <is>
          <t>8.200</t>
        </is>
      </c>
      <c r="BA82" s="12" t="n"/>
      <c r="BB82" s="115" t="n"/>
      <c r="BC82" s="120">
        <f>IF(DADOS!$CZ$45=30,"▸ 30",30)</f>
        <v/>
      </c>
      <c r="BD82" s="120" t="inlineStr">
        <is>
          <t>—</t>
        </is>
      </c>
      <c r="BE82" s="12" t="n"/>
      <c r="BF82" s="120"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0" t="n"/>
      <c r="U83" s="12" t="n"/>
      <c r="V83" s="120">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0" t="n"/>
      <c r="AQ83" s="12" t="n"/>
      <c r="AR83" s="120">
        <f>IF($Z83="","",IF($AP83="",1,$AP83)*0.1)</f>
        <v/>
      </c>
      <c r="AS83" s="11" t="n"/>
      <c r="AT83" s="12" t="n"/>
      <c r="AU83" s="115" t="n"/>
      <c r="AV83" s="115" t="n"/>
      <c r="AW83" s="120">
        <f>IF(DADOS!$CZ$45=16,"▸ 16",16)</f>
        <v/>
      </c>
      <c r="AX83" s="120" t="inlineStr">
        <is>
          <t>1.100</t>
        </is>
      </c>
      <c r="AY83" s="12" t="n"/>
      <c r="AZ83" s="120"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0" t="n"/>
      <c r="U84" s="12" t="n"/>
      <c r="V84" s="120">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0" t="n"/>
      <c r="AQ84" s="12" t="n"/>
      <c r="AR84" s="120">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0" t="n"/>
      <c r="U85" s="12" t="n"/>
      <c r="V85" s="120">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0" t="n"/>
      <c r="AQ85" s="12" t="n"/>
      <c r="AR85" s="120">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0" t="n"/>
      <c r="U86" s="12" t="n"/>
      <c r="V86" s="120">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0" t="n"/>
      <c r="AQ86" s="12" t="n"/>
      <c r="AR86" s="120">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7" t="inlineStr">
        <is>
          <t>VERSÃO DO CATÁLOGO</t>
        </is>
      </c>
      <c r="B1" s="138" t="inlineStr">
        <is>
          <t>0.258</t>
        </is>
      </c>
      <c r="C1" s="117" t="inlineStr">
        <is>
          <t>versão corrente (puxada da central)</t>
        </is>
      </c>
      <c r="D1" s="138"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9" t="inlineStr">
        <is>
          <t>Caminhos</t>
        </is>
      </c>
      <c r="B3" s="139" t="inlineStr">
        <is>
          <t>Perícias</t>
        </is>
      </c>
      <c r="C3" s="139" t="inlineStr">
        <is>
          <t>Ofícios</t>
        </is>
      </c>
      <c r="D3" s="139" t="inlineStr">
        <is>
          <t>Famílias</t>
        </is>
      </c>
      <c r="E3" s="139" t="inlineStr">
        <is>
          <t>Formas</t>
        </is>
      </c>
      <c r="F3" s="139" t="inlineStr">
        <is>
          <t>Melhorias</t>
        </is>
      </c>
      <c r="G3" s="139" t="inlineStr">
        <is>
          <t>Restrições</t>
        </is>
      </c>
      <c r="H3" s="139" t="inlineStr">
        <is>
          <t>Condições</t>
        </is>
      </c>
      <c r="I3" s="139" t="inlineStr">
        <is>
          <t>Origens</t>
        </is>
      </c>
      <c r="J3" s="139" t="inlineStr">
        <is>
          <t>Testes</t>
        </is>
      </c>
      <c r="K3" s="139" t="inlineStr">
        <is>
          <t>Atributos</t>
        </is>
      </c>
      <c r="L3" s="139" t="inlineStr">
        <is>
          <t>Trilhas</t>
        </is>
      </c>
      <c r="M3" s="38" t="n"/>
      <c r="N3" s="139"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40" t="inlineStr">
        <is>
          <t>Caminho</t>
        </is>
      </c>
      <c r="O4" s="140" t="inlineStr">
        <is>
          <t>dado</t>
        </is>
      </c>
      <c r="P4" s="140" t="inlineStr">
        <is>
          <t>vida inicial</t>
        </is>
      </c>
      <c r="Q4" s="140" t="inlineStr">
        <is>
          <t>vida por nível</t>
        </is>
      </c>
      <c r="R4" s="140" t="inlineStr">
        <is>
          <t>PE por nível</t>
        </is>
      </c>
      <c r="S4" s="140" t="inlineStr">
        <is>
          <t>perícia fixa 1</t>
        </is>
      </c>
      <c r="T4" s="140" t="inlineStr">
        <is>
          <t>perícia fixa 2</t>
        </is>
      </c>
      <c r="U4" s="140" t="n"/>
      <c r="V4" s="38" t="n"/>
      <c r="W4" s="140" t="inlineStr">
        <is>
          <t>marcos</t>
        </is>
      </c>
      <c r="X4" s="140" t="inlineStr">
        <is>
          <t>maestria</t>
        </is>
      </c>
      <c r="Y4" s="140" t="inlineStr">
        <is>
          <t>classe</t>
        </is>
      </c>
      <c r="Z4" s="140" t="inlineStr">
        <is>
          <t>classe 0</t>
        </is>
      </c>
      <c r="AA4" s="38" t="n"/>
      <c r="AB4" s="140" t="inlineStr">
        <is>
          <t>perícia</t>
        </is>
      </c>
      <c r="AC4" s="140" t="inlineStr">
        <is>
          <t>atributo</t>
        </is>
      </c>
      <c r="AD4" s="38" t="n"/>
      <c r="AE4" s="140" t="inlineStr">
        <is>
          <t>equipamento</t>
        </is>
      </c>
      <c r="AF4" s="140" t="inlineStr">
        <is>
          <t>proteção</t>
        </is>
      </c>
      <c r="AG4" s="140" t="inlineStr">
        <is>
          <t>teto de destreza</t>
        </is>
      </c>
      <c r="AH4" s="140" t="inlineStr">
        <is>
          <t>desliga a passiva</t>
        </is>
      </c>
      <c r="AI4" s="38" t="n"/>
      <c r="AJ4" s="140" t="inlineStr">
        <is>
          <t>contas da ficha</t>
        </is>
      </c>
      <c r="AK4" s="140" t="inlineStr">
        <is>
          <t>valor</t>
        </is>
      </c>
      <c r="AL4" s="38" t="n"/>
      <c r="AM4" s="140" t="inlineStr">
        <is>
          <t>menu de Caminho</t>
        </is>
      </c>
      <c r="AN4" s="140" t="inlineStr">
        <is>
          <t>Trilha</t>
        </is>
      </c>
      <c r="AO4" s="140" t="inlineStr">
        <is>
          <t>Caminho da Trilha</t>
        </is>
      </c>
      <c r="AP4" s="140" t="inlineStr">
        <is>
          <t>menu de Trilha</t>
        </is>
      </c>
      <c r="AQ4" s="140" t="inlineStr">
        <is>
          <t>nível</t>
        </is>
      </c>
      <c r="AR4" s="140" t="inlineStr">
        <is>
          <t>xp acumulado</t>
        </is>
      </c>
      <c r="AS4" s="38" t="n"/>
      <c r="AT4" s="38" t="n"/>
      <c r="AU4" s="38" t="n"/>
      <c r="AV4" s="38" t="n"/>
      <c r="AW4" s="38" t="n"/>
      <c r="AX4" s="38" t="n"/>
      <c r="AY4" s="38" t="n"/>
      <c r="AZ4" s="38" t="n"/>
      <c r="BA4" s="140" t="inlineStr">
        <is>
          <t>campo</t>
        </is>
      </c>
      <c r="BB4" s="140" t="inlineStr">
        <is>
          <t>célula</t>
        </is>
      </c>
      <c r="BD4" s="140" t="inlineStr">
        <is>
          <t>equipável</t>
        </is>
      </c>
      <c r="BE4" s="140" t="inlineStr">
        <is>
          <t>categoria do equipável</t>
        </is>
      </c>
      <c r="BF4" s="140" t="inlineStr">
        <is>
          <t>mão do equipável</t>
        </is>
      </c>
      <c r="BG4" s="140" t="inlineStr">
        <is>
          <t>dado do equipável</t>
        </is>
      </c>
      <c r="BH4" s="140" t="inlineStr">
        <is>
          <t>propriedades do equipável</t>
        </is>
      </c>
      <c r="BI4" s="140" t="inlineStr">
        <is>
          <t>força do equipável</t>
        </is>
      </c>
      <c r="BJ4" s="140" t="inlineStr">
        <is>
          <t>volume do equipável</t>
        </is>
      </c>
      <c r="BK4" s="140" t="inlineStr">
        <is>
          <t>alcance do equipável</t>
        </is>
      </c>
      <c r="BL4" s="140" t="inlineStr">
        <is>
          <t>recarga do equipável</t>
        </is>
      </c>
      <c r="BM4" s="140" t="inlineStr">
        <is>
          <t>treino marcado</t>
        </is>
      </c>
      <c r="BN4" s="140" t="inlineStr">
        <is>
          <t>caixa do treino</t>
        </is>
      </c>
      <c r="BP4" s="140" t="inlineStr">
        <is>
          <t>categoria de arma</t>
        </is>
      </c>
      <c r="BQ4" s="140" t="inlineStr">
        <is>
          <t>lista de treino</t>
        </is>
      </c>
      <c r="BR4" s="140" t="inlineStr">
        <is>
          <t>conjurador treina</t>
        </is>
      </c>
      <c r="BS4" s="140" t="inlineStr">
        <is>
          <t>grupo marcado</t>
        </is>
      </c>
      <c r="BT4" s="140" t="inlineStr">
        <is>
          <t>caixa do grupo</t>
        </is>
      </c>
      <c r="BV4" s="140" t="inlineStr">
        <is>
          <t>Caminho que treina todas as armas</t>
        </is>
      </c>
      <c r="BX4" s="140" t="inlineStr">
        <is>
          <t>uniforme</t>
        </is>
      </c>
      <c r="BY4" s="140" t="inlineStr">
        <is>
          <t>proteção do uniforme</t>
        </is>
      </c>
      <c r="BZ4" s="140" t="inlineStr">
        <is>
          <t>teto do uniforme</t>
        </is>
      </c>
      <c r="CA4" s="140" t="inlineStr">
        <is>
          <t>força do uniforme</t>
        </is>
      </c>
      <c r="CB4" s="140" t="inlineStr">
        <is>
          <t>volume do uniforme</t>
        </is>
      </c>
      <c r="CC4" s="140" t="inlineStr">
        <is>
          <t>ordem do grau mínimo</t>
        </is>
      </c>
      <c r="CD4" s="140" t="inlineStr">
        <is>
          <t>grau mínimo</t>
        </is>
      </c>
      <c r="CF4" s="140" t="inlineStr">
        <is>
          <t>patente</t>
        </is>
      </c>
      <c r="CG4" s="140" t="inlineStr">
        <is>
          <t>salário por mês</t>
        </is>
      </c>
      <c r="CH4" s="140" t="inlineStr">
        <is>
          <t>ordem da patente</t>
        </is>
      </c>
      <c r="CJ4" s="140" t="inlineStr">
        <is>
          <t>situação do traje</t>
        </is>
      </c>
      <c r="CL4" s="140" t="inlineStr">
        <is>
          <t>tipo de missão</t>
        </is>
      </c>
      <c r="CM4" s="140" t="inlineStr">
        <is>
          <t>xp do tipo</t>
        </is>
      </c>
      <c r="CO4" s="140" t="inlineStr">
        <is>
          <t>adicional da missão</t>
        </is>
      </c>
      <c r="CP4" s="140" t="inlineStr">
        <is>
          <t>multiplicador</t>
        </is>
      </c>
      <c r="CR4" s="140" t="inlineStr">
        <is>
          <t>desconto da missão</t>
        </is>
      </c>
      <c r="CS4" s="140" t="inlineStr">
        <is>
          <t>fração paga</t>
        </is>
      </c>
      <c r="CU4" s="140" t="inlineStr">
        <is>
          <t>grau da ferramenta</t>
        </is>
      </c>
      <c r="CW4" s="140" t="inlineStr">
        <is>
          <t>limiar do feito</t>
        </is>
      </c>
      <c r="CY4" s="140" t="inlineStr">
        <is>
          <t>contas da pessoal</t>
        </is>
      </c>
      <c r="CZ4" s="140" t="inlineStr">
        <is>
          <t>valor da pessoal</t>
        </is>
      </c>
      <c r="DB4" s="140" t="inlineStr">
        <is>
          <t>menu da mão principal</t>
        </is>
      </c>
      <c r="DD4" s="140" t="inlineStr">
        <is>
          <t>menu da mão secundária</t>
        </is>
      </c>
      <c r="DF4" s="140" t="inlineStr">
        <is>
          <t>menu do vestindo</t>
        </is>
      </c>
      <c r="DH4" s="140" t="inlineStr">
        <is>
          <t>propriedade de arma</t>
        </is>
      </c>
      <c r="DI4" s="140" t="inlineStr">
        <is>
          <t>o que a propriedade faz</t>
        </is>
      </c>
      <c r="DK4" s="140" t="inlineStr">
        <is>
          <t>nota viva</t>
        </is>
      </c>
      <c r="DL4" s="140" t="inlineStr">
        <is>
          <t>texto da nota</t>
        </is>
      </c>
      <c r="DM4" s="140" t="inlineStr">
        <is>
          <t>caixa da nota</t>
        </is>
      </c>
      <c r="DO4" s="140" t="inlineStr">
        <is>
          <t>campo pessoal</t>
        </is>
      </c>
      <c r="DP4" s="140"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41" t="n">
        <v>6</v>
      </c>
      <c r="X5" s="141" t="n">
        <v>10</v>
      </c>
      <c r="Y5" s="141" t="n">
        <v>1</v>
      </c>
      <c r="Z5" s="141" t="n">
        <v>5</v>
      </c>
      <c r="AA5" s="38" t="n"/>
      <c r="AB5" s="114" t="inlineStr">
        <is>
          <t>Atletismo</t>
        </is>
      </c>
      <c r="AC5" s="114" t="inlineStr">
        <is>
          <t>Força</t>
        </is>
      </c>
      <c r="AD5" s="38" t="n"/>
      <c r="AE5" s="114" t="inlineStr">
        <is>
          <t>Traje 1</t>
        </is>
      </c>
      <c r="AF5" s="141" t="n">
        <v>1</v>
      </c>
      <c r="AG5" s="141" t="inlineStr">
        <is>
          <t>—</t>
        </is>
      </c>
      <c r="AH5" s="141" t="inlineStr">
        <is>
          <t>sim</t>
        </is>
      </c>
      <c r="AI5" s="38" t="n"/>
      <c r="AJ5" s="114" t="inlineStr">
        <is>
          <t>marcos que já passou</t>
        </is>
      </c>
      <c r="AK5" s="141">
        <f>COUNTIF(DADOS!$W$5:$W$11,"&lt;="&amp;FICHA!$AH$11)</f>
        <v/>
      </c>
      <c r="AL5" s="38" t="n"/>
      <c r="AM5" s="114" t="inlineStr">
        <is>
          <t>Escolha seu Caminho</t>
        </is>
      </c>
      <c r="AN5" s="114">
        <f>$L$4</f>
        <v/>
      </c>
      <c r="AO5" s="114" t="inlineStr">
        <is>
          <t>Bastião</t>
        </is>
      </c>
      <c r="AP5" s="114" t="inlineStr">
        <is>
          <t>Escolha sua Trilha</t>
        </is>
      </c>
      <c r="AQ5" s="141" t="n">
        <v>2</v>
      </c>
      <c r="AR5" s="141"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41" t="n">
        <v>1</v>
      </c>
      <c r="BG5" s="114" t="inlineStr">
        <is>
          <t>d6</t>
        </is>
      </c>
      <c r="BH5" s="114" t="inlineStr">
        <is>
          <t>Versátil · Alcance · Rompe</t>
        </is>
      </c>
      <c r="BI5" s="114" t="inlineStr">
        <is>
          <t>—</t>
        </is>
      </c>
      <c r="BJ5" s="141" t="n">
        <v>1</v>
      </c>
      <c r="BM5" s="141">
        <f>'FICHA PESSOAL'!$V$49</f>
        <v/>
      </c>
      <c r="BN5" s="141">
        <f>ADDRESS(ROW('FICHA PESSOAL'!V49),COLUMN('FICHA PESSOAL'!V49),4)</f>
        <v/>
      </c>
      <c r="BP5" s="114" t="inlineStr">
        <is>
          <t>Lâmina Curta</t>
        </is>
      </c>
      <c r="BQ5" s="114" t="inlineStr">
        <is>
          <t>Simples</t>
        </is>
      </c>
      <c r="BR5" s="114" t="inlineStr">
        <is>
          <t>não</t>
        </is>
      </c>
      <c r="BS5" s="141">
        <f>'FICHA PESSOAL'!$AE$48</f>
        <v/>
      </c>
      <c r="BT5" s="141">
        <f>ADDRESS(ROW('FICHA PESSOAL'!AE48),COLUMN('FICHA PESSOAL'!AE48),4)</f>
        <v/>
      </c>
      <c r="BV5" s="114" t="inlineStr">
        <is>
          <t>Bastião</t>
        </is>
      </c>
      <c r="BX5" s="114" t="inlineStr">
        <is>
          <t>Traje 1</t>
        </is>
      </c>
      <c r="BY5" s="141" t="n">
        <v>1</v>
      </c>
      <c r="BZ5" s="114" t="inlineStr">
        <is>
          <t>—</t>
        </is>
      </c>
      <c r="CA5" s="141" t="n">
        <v>0</v>
      </c>
      <c r="CB5" s="141" t="n">
        <v>0.1</v>
      </c>
      <c r="CC5" s="141" t="n">
        <v>1</v>
      </c>
      <c r="CD5" s="114" t="inlineStr">
        <is>
          <t>Grau 4</t>
        </is>
      </c>
      <c r="CF5" s="114" t="inlineStr">
        <is>
          <t>Grau 4</t>
        </is>
      </c>
      <c r="CG5" s="114" t="inlineStr">
        <is>
          <t>¥ 150.000</t>
        </is>
      </c>
      <c r="CH5" s="141" t="n">
        <v>1</v>
      </c>
      <c r="CJ5" s="114" t="inlineStr">
        <is>
          <t>Vão apertado</t>
        </is>
      </c>
      <c r="CL5" s="114" t="inlineStr">
        <is>
          <t>Curta</t>
        </is>
      </c>
      <c r="CM5" s="141" t="n">
        <v>50</v>
      </c>
      <c r="CO5" s="114" t="inlineStr">
        <is>
          <t>1,25x</t>
        </is>
      </c>
      <c r="CP5" s="141" t="n">
        <v>1.25</v>
      </c>
      <c r="CR5" s="114" t="inlineStr">
        <is>
          <t>3ª · 50%</t>
        </is>
      </c>
      <c r="CS5" s="141" t="n">
        <v>0.5</v>
      </c>
      <c r="CU5" s="114" t="inlineStr">
        <is>
          <t>—</t>
        </is>
      </c>
      <c r="CW5" s="141" t="n">
        <v>20</v>
      </c>
      <c r="CY5" s="114" t="inlineStr">
        <is>
          <t>força</t>
        </is>
      </c>
      <c r="CZ5" s="141">
        <f>N(FICHA!$D$19)</f>
        <v/>
      </c>
      <c r="DB5" s="114" t="inlineStr">
        <is>
          <t>Soco</t>
        </is>
      </c>
      <c r="DD5" s="114" t="inlineStr">
        <is>
          <t>—</t>
        </is>
      </c>
      <c r="DF5" s="114" t="inlineStr">
        <is>
          <t>Sem uniforme</t>
        </is>
      </c>
      <c r="DH5" s="114" t="inlineStr">
        <is>
          <t>Alcance</t>
        </is>
      </c>
      <c r="DI5" s="114" t="inlineStr">
        <is>
          <t>Estica o corpo a corpo. O padrão de qualquer arma de mão é 1,5 m. As Armas Longas chegam a 3 m.</t>
        </is>
      </c>
      <c r="DK5" s="114" t="inlineStr">
        <is>
          <t>requisito de força</t>
        </is>
      </c>
      <c r="DL5" s="141">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1">
        <f>ADDRESS(ROW('FICHA PESSOAL'!AF63),COLUMN('FICHA PESSOAL'!AF63),4)</f>
        <v/>
      </c>
      <c r="DO5" s="114" t="inlineStr">
        <is>
          <t>principal</t>
        </is>
      </c>
      <c r="DP5" s="141">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41" t="n">
        <v>10</v>
      </c>
      <c r="X6" s="141" t="n">
        <v>18</v>
      </c>
      <c r="Y6" s="141" t="n">
        <v>5</v>
      </c>
      <c r="Z6" s="141" t="n">
        <v>11</v>
      </c>
      <c r="AA6" s="38" t="n"/>
      <c r="AB6" s="114" t="inlineStr">
        <is>
          <t>Acrobacia</t>
        </is>
      </c>
      <c r="AC6" s="114" t="inlineStr">
        <is>
          <t>Destreza</t>
        </is>
      </c>
      <c r="AD6" s="38" t="n"/>
      <c r="AE6" s="114" t="inlineStr">
        <is>
          <t>Traje 2</t>
        </is>
      </c>
      <c r="AF6" s="141" t="n">
        <v>2</v>
      </c>
      <c r="AG6" s="141" t="inlineStr">
        <is>
          <t>—</t>
        </is>
      </c>
      <c r="AH6" s="141" t="inlineStr">
        <is>
          <t>sim</t>
        </is>
      </c>
      <c r="AI6" s="38" t="n"/>
      <c r="AJ6" s="114" t="inlineStr">
        <is>
          <t>pontos de atributo</t>
        </is>
      </c>
      <c r="AK6" s="141">
        <f>9+DADOS!$AK$5</f>
        <v/>
      </c>
      <c r="AL6" s="38" t="n"/>
      <c r="AM6" s="114">
        <f>$A$4</f>
        <v/>
      </c>
      <c r="AN6" s="114">
        <f>$L$5</f>
        <v/>
      </c>
      <c r="AO6" s="114" t="inlineStr">
        <is>
          <t>Bastião</t>
        </is>
      </c>
      <c r="AP6" s="114">
        <f>IFERROR(FILTER($AN$5:$AN$19,$AO$5:$AO$19=FICHA!$D$11),"")</f>
        <v/>
      </c>
      <c r="AQ6" s="141" t="n">
        <v>3</v>
      </c>
      <c r="AR6" s="141"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41" t="n">
        <v>2</v>
      </c>
      <c r="BG6" s="114" t="inlineStr">
        <is>
          <t>2d8</t>
        </is>
      </c>
      <c r="BH6" s="114" t="inlineStr">
        <is>
          <t>Longo Alcance · Munição · Rompe</t>
        </is>
      </c>
      <c r="BI6" s="141" t="n">
        <v>3</v>
      </c>
      <c r="BJ6" s="141" t="n">
        <v>2</v>
      </c>
      <c r="BK6" s="114" t="inlineStr">
        <is>
          <t>30 m, longa 120 m</t>
        </is>
      </c>
      <c r="BL6" s="141" t="n">
        <v>1</v>
      </c>
      <c r="BM6" s="141">
        <f>'FICHA PESSOAL'!$V$59</f>
        <v/>
      </c>
      <c r="BN6" s="141">
        <f>ADDRESS(ROW('FICHA PESSOAL'!V59),COLUMN('FICHA PESSOAL'!V59),4)</f>
        <v/>
      </c>
      <c r="BP6" s="114" t="inlineStr">
        <is>
          <t>Porrete</t>
        </is>
      </c>
      <c r="BQ6" s="114" t="inlineStr">
        <is>
          <t>Simples</t>
        </is>
      </c>
      <c r="BR6" s="114" t="inlineStr">
        <is>
          <t>não</t>
        </is>
      </c>
      <c r="BS6" s="141">
        <f>'FICHA PESSOAL'!$V$48</f>
        <v/>
      </c>
      <c r="BT6" s="141">
        <f>ADDRESS(ROW('FICHA PESSOAL'!V48),COLUMN('FICHA PESSOAL'!V48),4)</f>
        <v/>
      </c>
      <c r="BV6" s="114" t="inlineStr">
        <is>
          <t>Vanguarda</t>
        </is>
      </c>
      <c r="BX6" s="114" t="inlineStr">
        <is>
          <t>Traje 2</t>
        </is>
      </c>
      <c r="BY6" s="141" t="n">
        <v>2</v>
      </c>
      <c r="BZ6" s="114" t="inlineStr">
        <is>
          <t>—</t>
        </is>
      </c>
      <c r="CA6" s="141" t="n">
        <v>0</v>
      </c>
      <c r="CB6" s="141" t="n">
        <v>1</v>
      </c>
      <c r="CC6" s="141" t="n">
        <v>1</v>
      </c>
      <c r="CD6" s="114" t="inlineStr">
        <is>
          <t>Grau 4</t>
        </is>
      </c>
      <c r="CF6" s="114" t="inlineStr">
        <is>
          <t>Grau 3</t>
        </is>
      </c>
      <c r="CG6" s="114" t="inlineStr">
        <is>
          <t>¥ 300.000</t>
        </is>
      </c>
      <c r="CH6" s="141" t="n">
        <v>2</v>
      </c>
      <c r="CJ6" s="114" t="inlineStr">
        <is>
          <t>Altura e beirada</t>
        </is>
      </c>
      <c r="CL6" s="114" t="inlineStr">
        <is>
          <t>Padrão</t>
        </is>
      </c>
      <c r="CM6" s="141" t="n">
        <v>100</v>
      </c>
      <c r="CO6" s="114" t="inlineStr">
        <is>
          <t>1,50x</t>
        </is>
      </c>
      <c r="CP6" s="141" t="n">
        <v>1.5</v>
      </c>
      <c r="CR6" s="114" t="inlineStr">
        <is>
          <t>4ª · 25%</t>
        </is>
      </c>
      <c r="CS6" s="141" t="n">
        <v>0.25</v>
      </c>
      <c r="CU6" s="114" t="inlineStr">
        <is>
          <t>Grau 4</t>
        </is>
      </c>
      <c r="CY6" s="114" t="inlineStr">
        <is>
          <t>soco na principal</t>
        </is>
      </c>
      <c r="CZ6" s="141">
        <f>IF(OR('FICHA PESSOAL'!$D$41="",'FICHA PESSOAL'!$D$41="Soco"),1,0)</f>
        <v/>
      </c>
      <c r="DB6" s="141">
        <f>IF(AND('FICHA PESSOAL'!$D$69&lt;&gt;"",'FICHA PESSOAL'!$M$69&lt;&gt;"Escudo"),'FICHA PESSOAL'!$D$69,"")</f>
        <v/>
      </c>
      <c r="DD6" s="141">
        <f>IF(AND(DADOS!$CZ$8&lt;&gt;2,ISNUMBER(SEARCH("Versátil",DADOS!$CZ$10))),"Nas duas mãos","")</f>
        <v/>
      </c>
      <c r="DF6" s="141">
        <f>IF(DADOS!$CZ$34&gt;=DADOS!$CC$5,DADOS!$BX$5,"")</f>
        <v/>
      </c>
      <c r="DH6" s="114" t="inlineStr">
        <is>
          <t>Longo Alcance</t>
        </is>
      </c>
      <c r="DI6" s="114"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14" t="inlineStr">
        <is>
          <t>carga</t>
        </is>
      </c>
      <c r="DL6" s="141">
        <f>IF(DADOS!$CZ$42=1,"Você passou do limite: o deslocamento cai pela metade e os Testes de Resistência Físicos saem com desvantagem. É a mesma punição do uniforme e do escudo sem a Força, e elas não se somam.","")</f>
        <v/>
      </c>
      <c r="DM6" s="141">
        <f>ADDRESS(ROW('FICHA PESSOAL'!D63),COLUMN('FICHA PESSOAL'!D63),4)</f>
        <v/>
      </c>
      <c r="DO6" s="114" t="inlineStr">
        <is>
          <t>secundária</t>
        </is>
      </c>
      <c r="DP6" s="141">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41" t="n">
        <v>14</v>
      </c>
      <c r="X7" s="141" t="n">
        <v>26</v>
      </c>
      <c r="Y7" s="141" t="n">
        <v>9</v>
      </c>
      <c r="Z7" s="141" t="n">
        <v>17</v>
      </c>
      <c r="AA7" s="38" t="n"/>
      <c r="AB7" s="114" t="inlineStr">
        <is>
          <t>Furtividade</t>
        </is>
      </c>
      <c r="AC7" s="114" t="inlineStr">
        <is>
          <t>Destreza</t>
        </is>
      </c>
      <c r="AD7" s="38" t="n"/>
      <c r="AE7" s="114" t="inlineStr">
        <is>
          <t>Traje 3</t>
        </is>
      </c>
      <c r="AF7" s="141" t="n">
        <v>3</v>
      </c>
      <c r="AG7" s="141" t="inlineStr">
        <is>
          <t>—</t>
        </is>
      </c>
      <c r="AH7" s="141" t="inlineStr">
        <is>
          <t>sim</t>
        </is>
      </c>
      <c r="AI7" s="38" t="n"/>
      <c r="AJ7" s="114" t="inlineStr">
        <is>
          <t>pontos distribuídos</t>
        </is>
      </c>
      <c r="AK7" s="141">
        <f>IFERROR(VALUE(FICHA!$D$21&amp;""),0)+IFERROR(VALUE(FICHA!$L$21&amp;""),0)+IFERROR(VALUE(FICHA!$T$21&amp;""),0)+IFERROR(VALUE(FICHA!$AB$21&amp;""),0)+IFERROR(VALUE(FICHA!$AJ$21&amp;""),0)</f>
        <v/>
      </c>
      <c r="AL7" s="38" t="n"/>
      <c r="AM7" s="114">
        <f>$A$5</f>
        <v/>
      </c>
      <c r="AN7" s="114">
        <f>$L$6</f>
        <v/>
      </c>
      <c r="AO7" s="114" t="inlineStr">
        <is>
          <t>Bastião</t>
        </is>
      </c>
      <c r="AP7" s="38" t="n"/>
      <c r="AQ7" s="141" t="n">
        <v>4</v>
      </c>
      <c r="AR7" s="141"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41" t="n">
        <v>1</v>
      </c>
      <c r="BG7" s="114" t="inlineStr">
        <is>
          <t>1d10</t>
        </is>
      </c>
      <c r="BH7" s="114" t="inlineStr">
        <is>
          <t>Longo Alcance · Munição · Oculta</t>
        </is>
      </c>
      <c r="BI7" s="114" t="inlineStr">
        <is>
          <t>—</t>
        </is>
      </c>
      <c r="BJ7" s="141" t="n">
        <v>0.1</v>
      </c>
      <c r="BK7" s="114" t="inlineStr">
        <is>
          <t>9 m, longa 36 m</t>
        </is>
      </c>
      <c r="BL7" s="141" t="n">
        <v>1</v>
      </c>
      <c r="BM7" s="141">
        <f>'FICHA PESSOAL'!$V$60</f>
        <v/>
      </c>
      <c r="BN7" s="141">
        <f>ADDRESS(ROW('FICHA PESSOAL'!V60),COLUMN('FICHA PESSOAL'!V60),4)</f>
        <v/>
      </c>
      <c r="BP7" s="114" t="inlineStr">
        <is>
          <t>Ceifa</t>
        </is>
      </c>
      <c r="BQ7" s="114" t="inlineStr">
        <is>
          <t>Simples</t>
        </is>
      </c>
      <c r="BR7" s="114" t="inlineStr">
        <is>
          <t>não</t>
        </is>
      </c>
      <c r="BS7" s="141">
        <f>'FICHA PESSOAL'!$V$54</f>
        <v/>
      </c>
      <c r="BT7" s="141">
        <f>ADDRESS(ROW('FICHA PESSOAL'!V54),COLUMN('FICHA PESSOAL'!V54),4)</f>
        <v/>
      </c>
      <c r="BX7" s="114" t="inlineStr">
        <is>
          <t>Traje 3</t>
        </is>
      </c>
      <c r="BY7" s="141" t="n">
        <v>3</v>
      </c>
      <c r="BZ7" s="114" t="inlineStr">
        <is>
          <t>—</t>
        </is>
      </c>
      <c r="CA7" s="141" t="n">
        <v>3</v>
      </c>
      <c r="CB7" s="141" t="n">
        <v>2</v>
      </c>
      <c r="CC7" s="141" t="n">
        <v>1</v>
      </c>
      <c r="CD7" s="114" t="inlineStr">
        <is>
          <t>Grau 4</t>
        </is>
      </c>
      <c r="CF7" s="114" t="inlineStr">
        <is>
          <t>Grau 2</t>
        </is>
      </c>
      <c r="CG7" s="114" t="inlineStr">
        <is>
          <t>¥ 600.000</t>
        </is>
      </c>
      <c r="CH7" s="141" t="n">
        <v>3</v>
      </c>
      <c r="CJ7" s="114" t="inlineStr">
        <is>
          <t>Escuro</t>
        </is>
      </c>
      <c r="CL7" s="114" t="inlineStr">
        <is>
          <t>Longa</t>
        </is>
      </c>
      <c r="CM7" s="141" t="n">
        <v>200</v>
      </c>
      <c r="CO7" s="114" t="inlineStr">
        <is>
          <t>2x</t>
        </is>
      </c>
      <c r="CP7" s="141" t="n">
        <v>2</v>
      </c>
      <c r="CR7" s="114" t="inlineStr">
        <is>
          <t>5ª · 12,5%</t>
        </is>
      </c>
      <c r="CS7" s="141" t="n">
        <v>0.125</v>
      </c>
      <c r="CU7" s="114" t="inlineStr">
        <is>
          <t>Grau 3</t>
        </is>
      </c>
      <c r="CY7" s="114" t="inlineStr">
        <is>
          <t>categoria da principal</t>
        </is>
      </c>
      <c r="CZ7" s="141">
        <f>IF(DADOS!$CZ$6=1,"Soco",IFERROR(VLOOKUP('FICHA PESSOAL'!$D$41,'FICHA PESSOAL'!$D$69:$AH$76,10,FALSE)&amp;"",""))</f>
        <v/>
      </c>
      <c r="DB7" s="141">
        <f>IF(AND('FICHA PESSOAL'!$D$70&lt;&gt;"",'FICHA PESSOAL'!$M$70&lt;&gt;"Escudo"),'FICHA PESSOAL'!$D$70,"")</f>
        <v/>
      </c>
      <c r="DD7" s="141">
        <f>IF(AND(DADOS!$CZ$8&lt;&gt;2,'FICHA PESSOAL'!$D$69&lt;&gt;"",OR('FICHA PESSOAL'!$M$69="Escudo",N('FICHA PESSOAL'!$S$69)=1)),'FICHA PESSOAL'!$D$69,"")</f>
        <v/>
      </c>
      <c r="DF7" s="141">
        <f>IF(DADOS!$CZ$34&gt;=DADOS!$CC$6,DADOS!$BX$6,"")</f>
        <v/>
      </c>
      <c r="DH7" s="114" t="inlineStr">
        <is>
          <t>Duas mãos</t>
        </is>
      </c>
      <c r="DI7" s="114" t="inlineStr">
        <is>
          <t>Ocupa as duas mãos, então não sobra mão para escudo.</t>
        </is>
      </c>
      <c r="DK7" s="114" t="inlineStr">
        <is>
          <t>situação do traje</t>
        </is>
      </c>
      <c r="DL7" s="141">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1">
        <f>ADDRESS(ROW('FICHA PESSOAL'!AN63),COLUMN('FICHA PESSOAL'!AN63),4)</f>
        <v/>
      </c>
      <c r="DO7" s="114" t="inlineStr">
        <is>
          <t>vestindo</t>
        </is>
      </c>
      <c r="DP7" s="141">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41" t="n">
        <v>18</v>
      </c>
      <c r="X8" s="38" t="n"/>
      <c r="Y8" s="141" t="n">
        <v>13</v>
      </c>
      <c r="Z8" s="38" t="n"/>
      <c r="AA8" s="38" t="n"/>
      <c r="AB8" s="114" t="inlineStr">
        <is>
          <t>Pontaria</t>
        </is>
      </c>
      <c r="AC8" s="114" t="inlineStr">
        <is>
          <t>Destreza</t>
        </is>
      </c>
      <c r="AD8" s="38" t="n"/>
      <c r="AE8" s="114" t="inlineStr">
        <is>
          <t>Revestimento 1</t>
        </is>
      </c>
      <c r="AF8" s="141" t="n">
        <v>4</v>
      </c>
      <c r="AG8" s="141" t="n">
        <v>0</v>
      </c>
      <c r="AH8" s="141" t="inlineStr">
        <is>
          <t>sim</t>
        </is>
      </c>
      <c r="AI8" s="38" t="n"/>
      <c r="AJ8" s="114" t="inlineStr">
        <is>
          <t>maior atributo</t>
        </is>
      </c>
      <c r="AK8" s="141">
        <f>MAX(FICHA!$D$19,FICHA!$L$19,FICHA!$T$19,FICHA!$AB$19,FICHA!$AJ$19)</f>
        <v/>
      </c>
      <c r="AL8" s="38" t="n"/>
      <c r="AM8" s="114">
        <f>$A$6</f>
        <v/>
      </c>
      <c r="AN8" s="114">
        <f>$L$7</f>
        <v/>
      </c>
      <c r="AO8" s="114" t="inlineStr">
        <is>
          <t>Vanguarda</t>
        </is>
      </c>
      <c r="AP8" s="38" t="n"/>
      <c r="AQ8" s="141" t="n">
        <v>5</v>
      </c>
      <c r="AR8" s="141"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41" t="n">
        <v>2</v>
      </c>
      <c r="BG8" s="114" t="inlineStr">
        <is>
          <t>d10</t>
        </is>
      </c>
      <c r="BH8" s="114" t="inlineStr">
        <is>
          <t>Alcance · Emaranha</t>
        </is>
      </c>
      <c r="BI8" s="141" t="n">
        <v>3</v>
      </c>
      <c r="BJ8" s="141" t="n">
        <v>2</v>
      </c>
      <c r="BM8" s="141">
        <f>'FICHA PESSOAL'!$V$50</f>
        <v/>
      </c>
      <c r="BN8" s="141">
        <f>ADDRESS(ROW('FICHA PESSOAL'!V50),COLUMN('FICHA PESSOAL'!V50),4)</f>
        <v/>
      </c>
      <c r="BP8" s="114" t="inlineStr">
        <is>
          <t>Arremesso</t>
        </is>
      </c>
      <c r="BQ8" s="114" t="inlineStr">
        <is>
          <t>Simples</t>
        </is>
      </c>
      <c r="BR8" s="114" t="inlineStr">
        <is>
          <t>não</t>
        </is>
      </c>
      <c r="BS8" s="141">
        <f>'FICHA PESSOAL'!$M$56</f>
        <v/>
      </c>
      <c r="BT8" s="141">
        <f>ADDRESS(ROW('FICHA PESSOAL'!M56),COLUMN('FICHA PESSOAL'!M56),4)</f>
        <v/>
      </c>
      <c r="BX8" s="114" t="inlineStr">
        <is>
          <t>Revestimento 1</t>
        </is>
      </c>
      <c r="BY8" s="141" t="n">
        <v>4</v>
      </c>
      <c r="BZ8" s="141" t="n">
        <v>0</v>
      </c>
      <c r="CA8" s="141" t="n">
        <v>3</v>
      </c>
      <c r="CB8" s="141" t="n">
        <v>2</v>
      </c>
      <c r="CC8" s="141" t="n">
        <v>1</v>
      </c>
      <c r="CD8" s="114" t="inlineStr">
        <is>
          <t>Grau 4</t>
        </is>
      </c>
      <c r="CF8" s="114" t="inlineStr">
        <is>
          <t>Grau 1</t>
        </is>
      </c>
      <c r="CG8" s="114" t="inlineStr">
        <is>
          <t>¥ 1.200.000</t>
        </is>
      </c>
      <c r="CH8" s="141" t="n">
        <v>4</v>
      </c>
      <c r="CJ8" s="114" t="inlineStr">
        <is>
          <t>Superfície ruim</t>
        </is>
      </c>
      <c r="CL8" s="114" t="inlineStr">
        <is>
          <t>Final de arco</t>
        </is>
      </c>
      <c r="CM8" s="141" t="n">
        <v>300</v>
      </c>
      <c r="CR8" s="114" t="inlineStr">
        <is>
          <t>6ª · 6,25%</t>
        </is>
      </c>
      <c r="CS8" s="141" t="n">
        <v>0.0625</v>
      </c>
      <c r="CU8" s="114" t="inlineStr">
        <is>
          <t>Grau 2</t>
        </is>
      </c>
      <c r="CY8" s="114" t="inlineStr">
        <is>
          <t>mão da principal</t>
        </is>
      </c>
      <c r="CZ8" s="141">
        <f>IF(DADOS!$CZ$6=1,1,IFERROR(VALUE(VLOOKUP('FICHA PESSOAL'!$D$41,'FICHA PESSOAL'!$D$69:$AH$76,16,FALSE)&amp;""),0))</f>
        <v/>
      </c>
      <c r="DB8" s="141">
        <f>IF(AND('FICHA PESSOAL'!$D$71&lt;&gt;"",'FICHA PESSOAL'!$M$71&lt;&gt;"Escudo"),'FICHA PESSOAL'!$D$71,"")</f>
        <v/>
      </c>
      <c r="DD8" s="141">
        <f>IF(AND(DADOS!$CZ$8&lt;&gt;2,'FICHA PESSOAL'!$D$70&lt;&gt;"",OR('FICHA PESSOAL'!$M$70="Escudo",N('FICHA PESSOAL'!$S$70)=1)),'FICHA PESSOAL'!$D$70,"")</f>
        <v/>
      </c>
      <c r="DF8" s="141">
        <f>IF(DADOS!$CZ$34&gt;=DADOS!$CC$7,DADOS!$BX$7,"")</f>
        <v/>
      </c>
      <c r="DH8" s="114" t="inlineStr">
        <is>
          <t>Fineza</t>
        </is>
      </c>
      <c r="DI8" s="114" t="inlineStr">
        <is>
          <t>No corpo a corpo, troca Força por Destreza no acerto e no dano.</t>
        </is>
      </c>
      <c r="DK8" s="114" t="inlineStr">
        <is>
          <t>arma da principal</t>
        </is>
      </c>
      <c r="DL8" s="141">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1">
        <f>ADDRESS(ROW('FICHA PESSOAL'!D43),COLUMN('FICHA PESSOAL'!D43),4)</f>
        <v/>
      </c>
      <c r="DO8" s="114" t="inlineStr">
        <is>
          <t>grau</t>
        </is>
      </c>
      <c r="DP8" s="141">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41" t="n">
        <v>22</v>
      </c>
      <c r="X9" s="38" t="n"/>
      <c r="Y9" s="141" t="n">
        <v>17</v>
      </c>
      <c r="Z9" s="38" t="n"/>
      <c r="AA9" s="38" t="n"/>
      <c r="AB9" s="114" t="inlineStr">
        <is>
          <t>Prestidigitação</t>
        </is>
      </c>
      <c r="AC9" s="114" t="inlineStr">
        <is>
          <t>Destreza</t>
        </is>
      </c>
      <c r="AD9" s="38" t="n"/>
      <c r="AE9" s="114" t="inlineStr">
        <is>
          <t>Revestimento 2</t>
        </is>
      </c>
      <c r="AF9" s="141" t="n">
        <v>5</v>
      </c>
      <c r="AG9" s="141" t="n">
        <v>0</v>
      </c>
      <c r="AH9" s="141" t="inlineStr">
        <is>
          <t>sim</t>
        </is>
      </c>
      <c r="AI9" s="38" t="n"/>
      <c r="AJ9" s="114" t="inlineStr">
        <is>
          <t>maior atributo pequeno</t>
        </is>
      </c>
      <c r="AK9" s="141">
        <f>MAX(IFERROR(VALUE(FICHA!$D$21&amp;""),0),IFERROR(VALUE(FICHA!$L$21&amp;""),0),IFERROR(VALUE(FICHA!$T$21&amp;""),0),IFERROR(VALUE(FICHA!$AB$21&amp;""),0),IFERROR(VALUE(FICHA!$AJ$21&amp;""),0))</f>
        <v/>
      </c>
      <c r="AL9" s="38" t="n"/>
      <c r="AM9" s="114">
        <f>$A$7</f>
        <v/>
      </c>
      <c r="AN9" s="114">
        <f>$L$8</f>
        <v/>
      </c>
      <c r="AO9" s="114" t="inlineStr">
        <is>
          <t>Vanguarda</t>
        </is>
      </c>
      <c r="AP9" s="38" t="n"/>
      <c r="AQ9" s="141" t="n">
        <v>6</v>
      </c>
      <c r="AR9" s="141"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41" t="n">
        <v>1</v>
      </c>
      <c r="BG9" s="114" t="inlineStr">
        <is>
          <t>—</t>
        </is>
      </c>
      <c r="BH9" s="114" t="inlineStr">
        <is>
          <t>Proteção +1 · teto de Destreza 5</t>
        </is>
      </c>
      <c r="BI9" s="114" t="inlineStr">
        <is>
          <t>—</t>
        </is>
      </c>
      <c r="BJ9" s="141" t="n">
        <v>0.1</v>
      </c>
      <c r="BM9" s="141">
        <f>TRUE</f>
        <v/>
      </c>
      <c r="BP9" s="114" t="inlineStr">
        <is>
          <t>Manopla</t>
        </is>
      </c>
      <c r="BQ9" s="114" t="inlineStr">
        <is>
          <t>Simples</t>
        </is>
      </c>
      <c r="BR9" s="114" t="inlineStr">
        <is>
          <t>não</t>
        </is>
      </c>
      <c r="BS9" s="141">
        <f>'FICHA PESSOAL'!$AE$58</f>
        <v/>
      </c>
      <c r="BT9" s="141">
        <f>ADDRESS(ROW('FICHA PESSOAL'!AE58),COLUMN('FICHA PESSOAL'!AE58),4)</f>
        <v/>
      </c>
      <c r="BX9" s="114" t="inlineStr">
        <is>
          <t>Revestimento 2</t>
        </is>
      </c>
      <c r="BY9" s="141" t="n">
        <v>5</v>
      </c>
      <c r="BZ9" s="141" t="n">
        <v>0</v>
      </c>
      <c r="CA9" s="141" t="n">
        <v>4</v>
      </c>
      <c r="CB9" s="141" t="n">
        <v>3</v>
      </c>
      <c r="CC9" s="141" t="n">
        <v>2</v>
      </c>
      <c r="CD9" s="114" t="inlineStr">
        <is>
          <t>Grau 3</t>
        </is>
      </c>
      <c r="CF9" s="114" t="inlineStr">
        <is>
          <t>Especial</t>
        </is>
      </c>
      <c r="CG9" s="114" t="inlineStr">
        <is>
          <t>¥ 2.400.000</t>
        </is>
      </c>
      <c r="CH9" s="141" t="n">
        <v>5</v>
      </c>
      <c r="CJ9" s="114" t="inlineStr">
        <is>
          <t>Água e chuva</t>
        </is>
      </c>
      <c r="CL9" s="114" t="inlineStr">
        <is>
          <t>Solo simples</t>
        </is>
      </c>
      <c r="CM9" s="141" t="n">
        <v>75</v>
      </c>
      <c r="CR9" s="114" t="inlineStr">
        <is>
          <t>Falha · 50%</t>
        </is>
      </c>
      <c r="CS9" s="141" t="n">
        <v>0.5</v>
      </c>
      <c r="CU9" s="114" t="inlineStr">
        <is>
          <t>Grau 1</t>
        </is>
      </c>
      <c r="CY9" s="114" t="inlineStr">
        <is>
          <t>dado da principal</t>
        </is>
      </c>
      <c r="CZ9" s="141">
        <f>IF(DADOS!$CZ$6=1,CHOOSE(MIN(4,MAX(1,N(FICHA!$D$51))),"d4","d6","d8","d10"),IFERROR(VLOOKUP('FICHA PESSOAL'!$D$41,'FICHA PESSOAL'!$D$69:$AH$76,18,FALSE)&amp;"",""))</f>
        <v/>
      </c>
      <c r="DB9" s="141">
        <f>IF(AND('FICHA PESSOAL'!$D$72&lt;&gt;"",'FICHA PESSOAL'!$M$72&lt;&gt;"Escudo"),'FICHA PESSOAL'!$D$72,"")</f>
        <v/>
      </c>
      <c r="DD9" s="141">
        <f>IF(AND(DADOS!$CZ$8&lt;&gt;2,'FICHA PESSOAL'!$D$71&lt;&gt;"",OR('FICHA PESSOAL'!$M$71="Escudo",N('FICHA PESSOAL'!$S$71)=1)),'FICHA PESSOAL'!$D$71,"")</f>
        <v/>
      </c>
      <c r="DF9" s="141">
        <f>IF(DADOS!$CZ$34&gt;=DADOS!$CC$8,DADOS!$BX$8,"")</f>
        <v/>
      </c>
      <c r="DH9" s="114" t="inlineStr">
        <is>
          <t>Par</t>
        </is>
      </c>
      <c r="DI9" s="114" t="inlineStr">
        <is>
          <t>Role dois dados de dano e fique com o melhor.</t>
        </is>
      </c>
      <c r="DK9" s="114" t="inlineStr">
        <is>
          <t>arma da secundária</t>
        </is>
      </c>
      <c r="DL9" s="141">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1">
        <f>ADDRESS(ROW('FICHA PESSOAL'!S43),COLUMN('FICHA PESSOAL'!S43),4)</f>
        <v/>
      </c>
      <c r="DO9" s="114" t="inlineStr">
        <is>
          <t>situação do traje</t>
        </is>
      </c>
      <c r="DP9" s="141">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41" t="n">
        <v>26</v>
      </c>
      <c r="X10" s="38" t="n"/>
      <c r="Y10" s="141" t="n">
        <v>21</v>
      </c>
      <c r="Z10" s="38" t="n"/>
      <c r="AA10" s="38" t="n"/>
      <c r="AB10" s="114" t="inlineStr">
        <is>
          <t>Investigação</t>
        </is>
      </c>
      <c r="AC10" s="114" t="inlineStr">
        <is>
          <t>Inteligência</t>
        </is>
      </c>
      <c r="AD10" s="38" t="n"/>
      <c r="AE10" s="114" t="inlineStr">
        <is>
          <t>Revestimento 3</t>
        </is>
      </c>
      <c r="AF10" s="141" t="n">
        <v>6</v>
      </c>
      <c r="AG10" s="141" t="n">
        <v>0</v>
      </c>
      <c r="AH10" s="141" t="inlineStr">
        <is>
          <t>sim</t>
        </is>
      </c>
      <c r="AI10" s="38" t="n"/>
      <c r="AJ10" s="114" t="inlineStr">
        <is>
          <t>marcos de Corpo</t>
        </is>
      </c>
      <c r="AK10" s="141">
        <f>IFERROR(VALUE(FICHA!$AQ$40&amp;""),0)</f>
        <v/>
      </c>
      <c r="AL10" s="38" t="n"/>
      <c r="AM10" s="114">
        <f>$A$8</f>
        <v/>
      </c>
      <c r="AN10" s="114">
        <f>$L$9</f>
        <v/>
      </c>
      <c r="AO10" s="114" t="inlineStr">
        <is>
          <t>Vanguarda</t>
        </is>
      </c>
      <c r="AP10" s="38" t="n"/>
      <c r="AQ10" s="141" t="n">
        <v>7</v>
      </c>
      <c r="AR10" s="141"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41" t="n">
        <v>1</v>
      </c>
      <c r="BG10" s="114" t="inlineStr">
        <is>
          <t>d4</t>
        </is>
      </c>
      <c r="BH10" s="114" t="inlineStr">
        <is>
          <t>Fineza · Oculta · Rompe</t>
        </is>
      </c>
      <c r="BI10" s="114" t="inlineStr">
        <is>
          <t>—</t>
        </is>
      </c>
      <c r="BJ10" s="141" t="n">
        <v>0.1</v>
      </c>
      <c r="BM10" s="141">
        <f>'FICHA PESSOAL'!$AE$49</f>
        <v/>
      </c>
      <c r="BN10" s="141">
        <f>ADDRESS(ROW('FICHA PESSOAL'!AE49),COLUMN('FICHA PESSOAL'!AE49),4)</f>
        <v/>
      </c>
      <c r="BP10" s="114" t="inlineStr">
        <is>
          <t>Massa</t>
        </is>
      </c>
      <c r="BQ10" s="114" t="inlineStr">
        <is>
          <t>Simples</t>
        </is>
      </c>
      <c r="BR10" s="114" t="inlineStr">
        <is>
          <t>não</t>
        </is>
      </c>
      <c r="BS10" s="141">
        <f>'FICHA PESSOAL'!$AM$48</f>
        <v/>
      </c>
      <c r="BT10" s="141">
        <f>ADDRESS(ROW('FICHA PESSOAL'!AM48),COLUMN('FICHA PESSOAL'!AM48),4)</f>
        <v/>
      </c>
      <c r="BX10" s="114" t="inlineStr">
        <is>
          <t>Revestimento 3</t>
        </is>
      </c>
      <c r="BY10" s="141" t="n">
        <v>6</v>
      </c>
      <c r="BZ10" s="141" t="n">
        <v>0</v>
      </c>
      <c r="CA10" s="141" t="n">
        <v>6</v>
      </c>
      <c r="CB10" s="141" t="n">
        <v>4</v>
      </c>
      <c r="CC10" s="141" t="n">
        <v>3</v>
      </c>
      <c r="CD10" s="114" t="inlineStr">
        <is>
          <t>Grau 2</t>
        </is>
      </c>
      <c r="CJ10" s="114" t="inlineStr">
        <is>
          <t>Multidão</t>
        </is>
      </c>
      <c r="CL10" s="114" t="inlineStr">
        <is>
          <t>Solo complexa</t>
        </is>
      </c>
      <c r="CM10" s="141" t="n">
        <v>150</v>
      </c>
      <c r="CU10" s="114" t="inlineStr">
        <is>
          <t>Especial</t>
        </is>
      </c>
      <c r="CY10" s="114" t="inlineStr">
        <is>
          <t>propriedades da principal</t>
        </is>
      </c>
      <c r="CZ10" s="141">
        <f>IF(DADOS!$CZ$6=1,"",IFERROR(VLOOKUP('FICHA PESSOAL'!$D$41,'FICHA PESSOAL'!$D$69:$AH$76,20,FALSE)&amp;"",""))</f>
        <v/>
      </c>
      <c r="DB10" s="141">
        <f>IF(AND('FICHA PESSOAL'!$D$73&lt;&gt;"",'FICHA PESSOAL'!$M$73&lt;&gt;"Escudo"),'FICHA PESSOAL'!$D$73,"")</f>
        <v/>
      </c>
      <c r="DD10" s="141">
        <f>IF(AND(DADOS!$CZ$8&lt;&gt;2,'FICHA PESSOAL'!$D$72&lt;&gt;"",OR('FICHA PESSOAL'!$M$72="Escudo",N('FICHA PESSOAL'!$S$72)=1)),'FICHA PESSOAL'!$D$72,"")</f>
        <v/>
      </c>
      <c r="DF10" s="141">
        <f>IF(DADOS!$CZ$34&gt;=DADOS!$CC$9,DADOS!$BX$9,"")</f>
        <v/>
      </c>
      <c r="DH10" s="114" t="inlineStr">
        <is>
          <t>Oculta</t>
        </is>
      </c>
      <c r="DI10" s="114" t="inlineStr">
        <is>
          <t>Você esconde a arma no corpo: arma com esta propriedade se esconde nas vestes ou no corpo sem precisar de teste, diferente das outras.</t>
        </is>
      </c>
      <c r="DO10" s="114" t="inlineStr">
        <is>
          <t>xp total</t>
        </is>
      </c>
      <c r="DP10" s="141">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41" t="n">
        <v>30</v>
      </c>
      <c r="X11" s="38" t="n"/>
      <c r="Y11" s="141" t="n">
        <v>26</v>
      </c>
      <c r="Z11" s="38" t="n"/>
      <c r="AA11" s="38" t="n"/>
      <c r="AB11" s="114" t="inlineStr">
        <is>
          <t>Intuição</t>
        </is>
      </c>
      <c r="AC11" s="114" t="inlineStr">
        <is>
          <t>Inteligência</t>
        </is>
      </c>
      <c r="AD11" s="38" t="n"/>
      <c r="AE11" s="114" t="inlineStr">
        <is>
          <t>Broquel</t>
        </is>
      </c>
      <c r="AF11" s="141" t="n">
        <v>1</v>
      </c>
      <c r="AG11" s="141" t="n">
        <v>5</v>
      </c>
      <c r="AH11" s="141" t="inlineStr">
        <is>
          <t>não</t>
        </is>
      </c>
      <c r="AI11" s="38" t="n"/>
      <c r="AJ11" s="114" t="inlineStr">
        <is>
          <t>pontos de Corpo usados</t>
        </is>
      </c>
      <c r="AK11" s="141">
        <f>IFERROR(VALUE(FICHA!$AK$15&amp;""),0)+IFERROR(VALUE(FICHA!$AM$15&amp;""),0)+IFERROR(VALUE(FICHA!$AO$15&amp;""),0)+IFERROR(VALUE(FICHA!$AQ$15&amp;""),0)+IFERROR(VALUE(FICHA!$AS$15&amp;""),0)</f>
        <v/>
      </c>
      <c r="AL11" s="38" t="n"/>
      <c r="AM11" s="38" t="n"/>
      <c r="AN11" s="114">
        <f>$L$10</f>
        <v/>
      </c>
      <c r="AO11" s="114" t="inlineStr">
        <is>
          <t>Guia</t>
        </is>
      </c>
      <c r="AP11" s="38" t="n"/>
      <c r="AQ11" s="141" t="n">
        <v>8</v>
      </c>
      <c r="AR11" s="141"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41" t="n">
        <v>1</v>
      </c>
      <c r="BG11" s="114" t="inlineStr">
        <is>
          <t>d6</t>
        </is>
      </c>
      <c r="BH11" s="114" t="inlineStr">
        <is>
          <t>Oculta · Vestida</t>
        </is>
      </c>
      <c r="BI11" s="114" t="inlineStr">
        <is>
          <t>—</t>
        </is>
      </c>
      <c r="BJ11" s="141" t="n">
        <v>0.1</v>
      </c>
      <c r="BM11" s="141">
        <f>'FICHA PESSOAL'!$V$51</f>
        <v/>
      </c>
      <c r="BN11" s="141">
        <f>ADDRESS(ROW('FICHA PESSOAL'!V51),COLUMN('FICHA PESSOAL'!V51),4)</f>
        <v/>
      </c>
      <c r="BP11" s="114" t="inlineStr">
        <is>
          <t>Balestra</t>
        </is>
      </c>
      <c r="BQ11" s="114" t="inlineStr">
        <is>
          <t>Simples</t>
        </is>
      </c>
      <c r="BR11" s="114" t="inlineStr">
        <is>
          <t>sim</t>
        </is>
      </c>
      <c r="BS11" s="141">
        <f>'FICHA PESSOAL'!$V$58</f>
        <v/>
      </c>
      <c r="BT11" s="141">
        <f>ADDRESS(ROW('FICHA PESSOAL'!V58),COLUMN('FICHA PESSOAL'!V58),4)</f>
        <v/>
      </c>
      <c r="CJ11" s="114" t="inlineStr">
        <is>
          <t>Terreno instável</t>
        </is>
      </c>
      <c r="CY11" s="114" t="inlineStr">
        <is>
          <t>força da principal</t>
        </is>
      </c>
      <c r="CZ11" s="141">
        <f>IF(DADOS!$CZ$6=1,0,IFERROR(VALUE(VLOOKUP('FICHA PESSOAL'!$D$41,'FICHA PESSOAL'!$D$69:$AH$76,28,FALSE)&amp;""),0))</f>
        <v/>
      </c>
      <c r="DB11" s="141">
        <f>IF(AND('FICHA PESSOAL'!$D$74&lt;&gt;"",'FICHA PESSOAL'!$M$74&lt;&gt;"Escudo"),'FICHA PESSOAL'!$D$74,"")</f>
        <v/>
      </c>
      <c r="DD11" s="141">
        <f>IF(AND(DADOS!$CZ$8&lt;&gt;2,'FICHA PESSOAL'!$D$73&lt;&gt;"",OR('FICHA PESSOAL'!$M$73="Escudo",N('FICHA PESSOAL'!$S$73)=1)),'FICHA PESSOAL'!$D$73,"")</f>
        <v/>
      </c>
      <c r="DF11" s="141">
        <f>IF(DADOS!$CZ$34&gt;=DADOS!$CC$10,DADOS!$BX$10,"")</f>
        <v/>
      </c>
      <c r="DH11" s="114" t="inlineStr">
        <is>
          <t>Versátil</t>
        </is>
      </c>
      <c r="DI11" s="114" t="inlineStr">
        <is>
          <t>Nas duas mãos, o dado sobe um passo: d6→d8, d8→d10, d10→d12.</t>
        </is>
      </c>
      <c r="DO11" s="114" t="inlineStr">
        <is>
          <t>treino</t>
        </is>
      </c>
      <c r="DP11" s="141">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41" t="n">
        <v>2</v>
      </c>
      <c r="AG12" s="141" t="n">
        <v>3</v>
      </c>
      <c r="AH12" s="141" t="inlineStr">
        <is>
          <t>não</t>
        </is>
      </c>
      <c r="AI12" s="38" t="n"/>
      <c r="AJ12" s="114" t="inlineStr">
        <is>
          <t>marcos escolhidos</t>
        </is>
      </c>
      <c r="AK12" s="141">
        <f>IFERROR(VALUE(FICHA!$AO$40&amp;""),0)+IFERROR(VALUE(FICHA!$AQ$40&amp;""),0)+IFERROR(VALUE(FICHA!$AS$40&amp;""),0)</f>
        <v/>
      </c>
      <c r="AL12" s="38" t="n"/>
      <c r="AM12" s="38" t="n"/>
      <c r="AN12" s="114">
        <f>$L$11</f>
        <v/>
      </c>
      <c r="AO12" s="114" t="inlineStr">
        <is>
          <t>Guia</t>
        </is>
      </c>
      <c r="AP12" s="38" t="n"/>
      <c r="AQ12" s="141" t="n">
        <v>9</v>
      </c>
      <c r="AR12" s="141"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41" t="n">
        <v>1</v>
      </c>
      <c r="BG12" s="114" t="inlineStr">
        <is>
          <t>d4</t>
        </is>
      </c>
      <c r="BH12" s="114" t="inlineStr">
        <is>
          <t>Longo Alcance · Fineza · Oculta</t>
        </is>
      </c>
      <c r="BI12" s="114" t="inlineStr">
        <is>
          <t>—</t>
        </is>
      </c>
      <c r="BJ12" s="141" t="n">
        <v>0.1</v>
      </c>
      <c r="BK12" s="114" t="inlineStr">
        <is>
          <t>6 m, longa 18 m</t>
        </is>
      </c>
      <c r="BM12" s="141">
        <f>'FICHA PESSOAL'!$M$57</f>
        <v/>
      </c>
      <c r="BN12" s="141">
        <f>ADDRESS(ROW('FICHA PESSOAL'!M57),COLUMN('FICHA PESSOAL'!M57),4)</f>
        <v/>
      </c>
      <c r="BP12" s="114" t="inlineStr">
        <is>
          <t>Lâmina Longa</t>
        </is>
      </c>
      <c r="BQ12" s="114" t="inlineStr">
        <is>
          <t>Marciais</t>
        </is>
      </c>
      <c r="BR12" s="114" t="inlineStr">
        <is>
          <t>não</t>
        </is>
      </c>
      <c r="BS12" s="141">
        <f>'FICHA PESSOAL'!$D$48</f>
        <v/>
      </c>
      <c r="BT12" s="141">
        <f>ADDRESS(ROW('FICHA PESSOAL'!D48),COLUMN('FICHA PESSOAL'!D48),4)</f>
        <v/>
      </c>
      <c r="CJ12" s="114" t="inlineStr">
        <is>
          <t>Calor e fogo</t>
        </is>
      </c>
      <c r="CY12" s="114" t="inlineStr">
        <is>
          <t>nas duas mãos</t>
        </is>
      </c>
      <c r="CZ12" s="141">
        <f>IF(AND(ISNUMBER(SEARCH("Versátil",DADOS!$CZ$10)),'FICHA PESSOAL'!$S$41="Nas duas mãos"),1,0)</f>
        <v/>
      </c>
      <c r="DB12" s="141">
        <f>IF(AND('FICHA PESSOAL'!$D$75&lt;&gt;"",'FICHA PESSOAL'!$M$75&lt;&gt;"Escudo"),'FICHA PESSOAL'!$D$75,"")</f>
        <v/>
      </c>
      <c r="DD12" s="141">
        <f>IF(AND(DADOS!$CZ$8&lt;&gt;2,'FICHA PESSOAL'!$D$74&lt;&gt;"",OR('FICHA PESSOAL'!$M$74="Escudo",N('FICHA PESSOAL'!$S$74)=1)),'FICHA PESSOAL'!$D$74,"")</f>
        <v/>
      </c>
      <c r="DH12" s="114" t="inlineStr">
        <is>
          <t>Munição</t>
        </is>
      </c>
      <c r="DI12" s="114" t="inlineStr">
        <is>
          <t>Recarregar custa Ação Bônus. Você recarrega quando tirar 1 ou 2 natural no ataque, ou depois de X ataques, o que vier primeiro.</t>
        </is>
      </c>
      <c r="DO12" s="114" t="inlineStr">
        <is>
          <t>missões 1</t>
        </is>
      </c>
      <c r="DP12" s="141">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41" t="n">
        <v>3</v>
      </c>
      <c r="AG13" s="141" t="n">
        <v>1</v>
      </c>
      <c r="AH13" s="141" t="inlineStr">
        <is>
          <t>não</t>
        </is>
      </c>
      <c r="AI13" s="38" t="n"/>
      <c r="AJ13" s="114" t="inlineStr">
        <is>
          <t>perícias treinadas</t>
        </is>
      </c>
      <c r="AK13" s="141">
        <f>COUNTIF(FICHA!$D$64:$D$74,TRUE)+COUNTIF(FICHA!$T$63:$T$74,TRUE)</f>
        <v/>
      </c>
      <c r="AL13" s="38" t="n"/>
      <c r="AM13" s="38" t="n"/>
      <c r="AN13" s="114">
        <f>$L$12</f>
        <v/>
      </c>
      <c r="AO13" s="114" t="inlineStr">
        <is>
          <t>Guia</t>
        </is>
      </c>
      <c r="AP13" s="38" t="n"/>
      <c r="AQ13" s="141" t="n">
        <v>10</v>
      </c>
      <c r="AR13" s="141"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41" t="n">
        <v>1</v>
      </c>
      <c r="BG13" s="114" t="inlineStr">
        <is>
          <t>d4</t>
        </is>
      </c>
      <c r="BH13" s="114" t="inlineStr">
        <is>
          <t>Alcance · Emaranha · Oculta</t>
        </is>
      </c>
      <c r="BI13" s="114" t="inlineStr">
        <is>
          <t>—</t>
        </is>
      </c>
      <c r="BJ13" s="141" t="n">
        <v>0.1</v>
      </c>
      <c r="BM13" s="141">
        <f>'FICHA PESSOAL'!$AE$55</f>
        <v/>
      </c>
      <c r="BN13" s="141">
        <f>ADDRESS(ROW('FICHA PESSOAL'!AE55),COLUMN('FICHA PESSOAL'!AE55),4)</f>
        <v/>
      </c>
      <c r="BP13" s="114" t="inlineStr">
        <is>
          <t>Machado</t>
        </is>
      </c>
      <c r="BQ13" s="114" t="inlineStr">
        <is>
          <t>Marciais</t>
        </is>
      </c>
      <c r="BR13" s="114" t="inlineStr">
        <is>
          <t>não</t>
        </is>
      </c>
      <c r="BS13" s="141">
        <f>'FICHA PESSOAL'!$D$57</f>
        <v/>
      </c>
      <c r="BT13" s="141">
        <f>ADDRESS(ROW('FICHA PESSOAL'!D57),COLUMN('FICHA PESSOAL'!D57),4)</f>
        <v/>
      </c>
      <c r="CJ13" s="114" t="inlineStr">
        <is>
          <t>Outra Situação</t>
        </is>
      </c>
      <c r="CY13" s="114" t="inlineStr">
        <is>
          <t>dado em uso</t>
        </is>
      </c>
      <c r="CZ13" s="141">
        <f>IF(DADOS!$CZ$12=1,IF(DADOS!$CZ$9="d6","d8",IF(DADOS!$CZ$9="d8","d10",IF(DADOS!$CZ$9="d10","d12",DADOS!$CZ$9))),DADOS!$CZ$9)</f>
        <v/>
      </c>
      <c r="DB13" s="141">
        <f>IF(AND('FICHA PESSOAL'!$D$76&lt;&gt;"",'FICHA PESSOAL'!$M$76&lt;&gt;"Escudo"),'FICHA PESSOAL'!$D$76,"")</f>
        <v/>
      </c>
      <c r="DD13" s="141">
        <f>IF(AND(DADOS!$CZ$8&lt;&gt;2,'FICHA PESSOAL'!$D$75&lt;&gt;"",OR('FICHA PESSOAL'!$M$75="Escudo",N('FICHA PESSOAL'!$S$75)=1)),'FICHA PESSOAL'!$D$75,"")</f>
        <v/>
      </c>
      <c r="DH13" s="114" t="inlineStr">
        <is>
          <t>Rompe</t>
        </is>
      </c>
      <c r="DI13" s="114" t="inlineStr">
        <is>
          <t>Vantagem contra objeto e estrutura.</t>
        </is>
      </c>
      <c r="DO13" s="114" t="inlineStr">
        <is>
          <t>missões 2</t>
        </is>
      </c>
      <c r="DP13" s="141">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41" t="n">
        <v>2</v>
      </c>
      <c r="AG14" s="141" t="n">
        <v>5</v>
      </c>
      <c r="AH14" s="141" t="inlineStr">
        <is>
          <t>sim</t>
        </is>
      </c>
      <c r="AI14" s="38" t="n"/>
      <c r="AJ14" s="114" t="inlineStr">
        <is>
          <t>ofícios treinados</t>
        </is>
      </c>
      <c r="AK14" s="141">
        <f>COUNTIF(FICHA!$D$79:$D$84,TRUE)+COUNTIF(FICHA!$Q$79:$Q$83,TRUE)</f>
        <v/>
      </c>
      <c r="AL14" s="38" t="n"/>
      <c r="AM14" s="38" t="n"/>
      <c r="AN14" s="114">
        <f>$L$13</f>
        <v/>
      </c>
      <c r="AO14" s="114" t="inlineStr">
        <is>
          <t>Emanador</t>
        </is>
      </c>
      <c r="AP14" s="38" t="n"/>
      <c r="AQ14" s="141" t="n">
        <v>11</v>
      </c>
      <c r="AR14" s="141"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41" t="n">
        <v>2</v>
      </c>
      <c r="BG14" s="114" t="inlineStr">
        <is>
          <t>d8</t>
        </is>
      </c>
      <c r="BH14" s="114" t="inlineStr">
        <is>
          <t>Alcance · Emaranha · Rompe</t>
        </is>
      </c>
      <c r="BI14" s="114" t="inlineStr">
        <is>
          <t>—</t>
        </is>
      </c>
      <c r="BJ14" s="141" t="n">
        <v>2</v>
      </c>
      <c r="BM14" s="141">
        <f>'FICHA PESSOAL'!$AE$56</f>
        <v/>
      </c>
      <c r="BN14" s="141">
        <f>ADDRESS(ROW('FICHA PESSOAL'!AE56),COLUMN('FICHA PESSOAL'!AE56),4)</f>
        <v/>
      </c>
      <c r="BP14" s="114" t="inlineStr">
        <is>
          <t>Armas Longas</t>
        </is>
      </c>
      <c r="BQ14" s="114" t="inlineStr">
        <is>
          <t>Marciais</t>
        </is>
      </c>
      <c r="BR14" s="114" t="inlineStr">
        <is>
          <t>não</t>
        </is>
      </c>
      <c r="BS14" s="141">
        <f>'FICHA PESSOAL'!$AM$54</f>
        <v/>
      </c>
      <c r="BT14" s="141">
        <f>ADDRESS(ROW('FICHA PESSOAL'!AM54),COLUMN('FICHA PESSOAL'!AM54),4)</f>
        <v/>
      </c>
      <c r="CY14" s="114" t="inlineStr">
        <is>
          <t>alcance da principal</t>
        </is>
      </c>
      <c r="CZ14" s="141">
        <f>IFERROR(VLOOKUP('FICHA PESSOAL'!$D$41,DADOS!$BD$5:$BN$59,8,FALSE)&amp;"","")</f>
        <v/>
      </c>
      <c r="DD14" s="141">
        <f>IF(AND(DADOS!$CZ$8&lt;&gt;2,'FICHA PESSOAL'!$D$76&lt;&gt;"",OR('FICHA PESSOAL'!$M$76="Escudo",N('FICHA PESSOAL'!$S$76)=1)),'FICHA PESSOAL'!$D$76,"")</f>
        <v/>
      </c>
      <c r="DH14" s="114" t="inlineStr">
        <is>
          <t>Emaranha</t>
        </is>
      </c>
      <c r="DI14" s="114" t="inlineStr">
        <is>
          <t>Você pode Agarrar sem largar a arma.</t>
        </is>
      </c>
      <c r="DO14" s="114" t="inlineStr">
        <is>
          <t>missões 3</t>
        </is>
      </c>
      <c r="DP14" s="141">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41" t="n">
        <v>3</v>
      </c>
      <c r="AG15" s="141" t="n">
        <v>3</v>
      </c>
      <c r="AH15" s="141" t="inlineStr">
        <is>
          <t>sim</t>
        </is>
      </c>
      <c r="AI15" s="38" t="n"/>
      <c r="AJ15" s="114" t="inlineStr">
        <is>
          <t>especializações</t>
        </is>
      </c>
      <c r="AK15" s="141">
        <f>COUNTIF(FICHA!$E$64:$E$74,TRUE)+COUNTIF(FICHA!$E$79:$E$84,TRUE)+COUNTIF(FICHA!$R$79:$R$83,TRUE)+COUNTIF(FICHA!$U$63:$U$74,TRUE)</f>
        <v/>
      </c>
      <c r="AL15" s="38" t="n"/>
      <c r="AM15" s="38" t="n"/>
      <c r="AN15" s="114">
        <f>$L$14</f>
        <v/>
      </c>
      <c r="AO15" s="114" t="inlineStr">
        <is>
          <t>Emanador</t>
        </is>
      </c>
      <c r="AP15" s="38" t="n"/>
      <c r="AQ15" s="141" t="n">
        <v>12</v>
      </c>
      <c r="AR15" s="141"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41" t="n">
        <v>2</v>
      </c>
      <c r="BG15" s="114" t="inlineStr">
        <is>
          <t>1d10</t>
        </is>
      </c>
      <c r="BH15" s="114" t="inlineStr">
        <is>
          <t>Longo Alcance</t>
        </is>
      </c>
      <c r="BI15" s="114" t="inlineStr">
        <is>
          <t>—</t>
        </is>
      </c>
      <c r="BJ15" s="141" t="n">
        <v>2</v>
      </c>
      <c r="BK15" s="114" t="inlineStr">
        <is>
          <t>45 m, longa 180 m</t>
        </is>
      </c>
      <c r="BM15" s="141">
        <f>'FICHA PESSOAL'!$AM$59</f>
        <v/>
      </c>
      <c r="BN15" s="141">
        <f>ADDRESS(ROW('FICHA PESSOAL'!AM59),COLUMN('FICHA PESSOAL'!AM59),4)</f>
        <v/>
      </c>
      <c r="BP15" s="114" t="inlineStr">
        <is>
          <t>Flexível</t>
        </is>
      </c>
      <c r="BQ15" s="114" t="inlineStr">
        <is>
          <t>Marciais</t>
        </is>
      </c>
      <c r="BR15" s="114" t="inlineStr">
        <is>
          <t>não</t>
        </is>
      </c>
      <c r="BS15" s="141">
        <f>'FICHA PESSOAL'!$AE$54</f>
        <v/>
      </c>
      <c r="BT15" s="141">
        <f>ADDRESS(ROW('FICHA PESSOAL'!AE54),COLUMN('FICHA PESSOAL'!AE54),4)</f>
        <v/>
      </c>
      <c r="CY15" s="114" t="inlineStr">
        <is>
          <t>recarga da principal</t>
        </is>
      </c>
      <c r="CZ15" s="141">
        <f>IFERROR(VLOOKUP('FICHA PESSOAL'!$D$41,DADOS!$BD$5:$BN$59,9,FALSE)&amp;"","")</f>
        <v/>
      </c>
      <c r="DH15" s="114" t="inlineStr">
        <is>
          <t>Vestida</t>
        </is>
      </c>
      <c r="DI15" s="114" t="inlineStr">
        <is>
          <t>Não ocupa a mão.</t>
        </is>
      </c>
      <c r="DO15" s="114" t="inlineStr">
        <is>
          <t>missões 4</t>
        </is>
      </c>
      <c r="DP15" s="141">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41" t="n">
        <v>4</v>
      </c>
      <c r="AG16" s="141" t="n">
        <v>1</v>
      </c>
      <c r="AH16" s="141" t="inlineStr">
        <is>
          <t>sim</t>
        </is>
      </c>
      <c r="AI16" s="38" t="n"/>
      <c r="AJ16" s="114" t="inlineStr">
        <is>
          <t>Corpo que sobra</t>
        </is>
      </c>
      <c r="AK16" s="141">
        <f>DADOS!$AK$10-DADOS!$AK$15</f>
        <v/>
      </c>
      <c r="AL16" s="38" t="n"/>
      <c r="AM16" s="38" t="n"/>
      <c r="AN16" s="114">
        <f>$L$15</f>
        <v/>
      </c>
      <c r="AO16" s="114" t="inlineStr">
        <is>
          <t>Emanador</t>
        </is>
      </c>
      <c r="AP16" s="38" t="n"/>
      <c r="AQ16" s="141" t="n">
        <v>13</v>
      </c>
      <c r="AR16" s="141"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41" t="n">
        <v>1</v>
      </c>
      <c r="BG16" s="114" t="inlineStr">
        <is>
          <t>d8</t>
        </is>
      </c>
      <c r="BH16" s="114" t="inlineStr">
        <is>
          <t>Versátil · Rompe</t>
        </is>
      </c>
      <c r="BI16" s="114" t="inlineStr">
        <is>
          <t>—</t>
        </is>
      </c>
      <c r="BJ16" s="141" t="n">
        <v>1</v>
      </c>
      <c r="BM16" s="141">
        <f>'FICHA PESSOAL'!$D$49</f>
        <v/>
      </c>
      <c r="BN16" s="141">
        <f>ADDRESS(ROW('FICHA PESSOAL'!D49),COLUMN('FICHA PESSOAL'!D49),4)</f>
        <v/>
      </c>
      <c r="BP16" s="114" t="inlineStr">
        <is>
          <t>Yumi</t>
        </is>
      </c>
      <c r="BQ16" s="114" t="inlineStr">
        <is>
          <t>Marciais</t>
        </is>
      </c>
      <c r="BR16" s="114" t="inlineStr">
        <is>
          <t>não</t>
        </is>
      </c>
      <c r="BS16" s="141">
        <f>'FICHA PESSOAL'!$AM$58</f>
        <v/>
      </c>
      <c r="BT16" s="141">
        <f>ADDRESS(ROW('FICHA PESSOAL'!AM58),COLUMN('FICHA PESSOAL'!AM58),4)</f>
        <v/>
      </c>
      <c r="CY16" s="114" t="inlineStr">
        <is>
          <t>treino da principal</t>
        </is>
      </c>
      <c r="CZ16" s="141">
        <f>IF(DADOS!$CZ$6=1,1,IF(IFERROR(VLOOKUP('FICHA PESSOAL'!$D$41,DADOS!$BD$5:$BN$59,10,FALSE),IFERROR(VLOOKUP(DADOS!$CZ$7,DADOS!$BP$5:$BT$17,4,FALSE),FALSE))=TRUE,1,0))</f>
        <v/>
      </c>
      <c r="DH16" s="114" t="inlineStr">
        <is>
          <t>Talha</t>
        </is>
      </c>
      <c r="DI16" s="114" t="inlineStr">
        <is>
          <t>A arma é ruim de aparar: −1 no Bloquear de quem se defende dela.</t>
        </is>
      </c>
      <c r="DO16" s="114" t="inlineStr">
        <is>
          <t>equipáveis</t>
        </is>
      </c>
      <c r="DP16" s="141">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41" t="n">
        <v>3</v>
      </c>
      <c r="AG17" s="141" t="n">
        <v>5</v>
      </c>
      <c r="AH17" s="141" t="inlineStr">
        <is>
          <t>sim</t>
        </is>
      </c>
      <c r="AI17" s="38" t="n"/>
      <c r="AJ17" s="114" t="inlineStr">
        <is>
          <t>rota do ofício</t>
        </is>
      </c>
      <c r="AK17" s="141">
        <f>IF((MAX(0,DADOS!$AK$13-9)+MAX(0,DADOS!$AK$14-2))&lt;=DADOS!$AK$16,1,IF((MAX(0,DADOS!$AK$13-10)+MAX(0,DADOS!$AK$14-0))&lt;=DADOS!$AK$16,2,IF((MAX(0,DADOS!$AK$13-9)+MAX(0,DADOS!$AK$14-2))&lt;=(MAX(0,DADOS!$AK$13-10)+MAX(0,DADOS!$AK$14-0)),1,2)))</f>
        <v/>
      </c>
      <c r="AL17" s="38" t="n"/>
      <c r="AM17" s="38" t="n"/>
      <c r="AN17" s="114">
        <f>$L$16</f>
        <v/>
      </c>
      <c r="AO17" s="114" t="inlineStr">
        <is>
          <t>Evocador</t>
        </is>
      </c>
      <c r="AP17" s="38" t="n"/>
      <c r="AQ17" s="141" t="n">
        <v>14</v>
      </c>
      <c r="AR17" s="141"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41" t="n">
        <v>2</v>
      </c>
      <c r="BG17" s="114" t="inlineStr">
        <is>
          <t>d12</t>
        </is>
      </c>
      <c r="BH17" s="114" t="inlineStr">
        <is>
          <t>Alcance</t>
        </is>
      </c>
      <c r="BI17" s="141" t="n">
        <v>3</v>
      </c>
      <c r="BJ17" s="141" t="n">
        <v>2</v>
      </c>
      <c r="BM17" s="141">
        <f>'FICHA PESSOAL'!$D$50</f>
        <v/>
      </c>
      <c r="BN17" s="141">
        <f>ADDRESS(ROW('FICHA PESSOAL'!D50),COLUMN('FICHA PESSOAL'!D50),4)</f>
        <v/>
      </c>
      <c r="BP17" s="114" t="inlineStr">
        <is>
          <t>Arma de Fogo</t>
        </is>
      </c>
      <c r="BQ17" s="114" t="inlineStr">
        <is>
          <t>Arma de Fogo</t>
        </is>
      </c>
      <c r="BR17" s="114" t="inlineStr">
        <is>
          <t>sim</t>
        </is>
      </c>
      <c r="BS17" s="141">
        <f>'FICHA PESSOAL'!$M$48</f>
        <v/>
      </c>
      <c r="BT17" s="141">
        <f>ADDRESS(ROW('FICHA PESSOAL'!M48),COLUMN('FICHA PESSOAL'!M48),4)</f>
        <v/>
      </c>
      <c r="CY17" s="114" t="inlineStr">
        <is>
          <t>secundária vale</t>
        </is>
      </c>
      <c r="CZ17" s="141">
        <f>IF(AND(DADOS!$CZ$8&lt;&gt;2,'FICHA PESSOAL'!$S$41&lt;&gt;"",'FICHA PESSOAL'!$S$41&lt;&gt;"—",'FICHA PESSOAL'!$S$41&lt;&gt;"Nas duas mãos"),1,0)</f>
        <v/>
      </c>
      <c r="DH17" s="114" t="inlineStr">
        <is>
          <t>Volumosa</t>
        </is>
      </c>
      <c r="DI17" s="114" t="inlineStr">
        <is>
          <t>Não dá para esconder, e atrapalha em espaço apertado.</t>
        </is>
      </c>
      <c r="DO17" s="114" t="inlineStr">
        <is>
          <t>itens</t>
        </is>
      </c>
      <c r="DP17" s="141">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41" t="n">
        <v>4</v>
      </c>
      <c r="AG18" s="141" t="n">
        <v>3</v>
      </c>
      <c r="AH18" s="141" t="inlineStr">
        <is>
          <t>sim</t>
        </is>
      </c>
      <c r="AI18" s="38" t="n"/>
      <c r="AJ18" s="114" t="inlineStr">
        <is>
          <t>perícias por arma</t>
        </is>
      </c>
      <c r="AK18" s="141">
        <f>IF(OR(FICHA!$D$11="Guia",FICHA!$D$11="Emanador",FICHA!$D$11="Evocador"),IF(FICHA!$AK$65="2 armas (-4 pericias)",4,IF(FICHA!$AK$65="1 arma (-2 pericias)",2,0)),0)</f>
        <v/>
      </c>
      <c r="AL18" s="38" t="n"/>
      <c r="AM18" s="38" t="n"/>
      <c r="AN18" s="114">
        <f>$L$17</f>
        <v/>
      </c>
      <c r="AO18" s="114" t="inlineStr">
        <is>
          <t>Evocador</t>
        </is>
      </c>
      <c r="AP18" s="38" t="n"/>
      <c r="AQ18" s="141" t="n">
        <v>15</v>
      </c>
      <c r="AR18" s="141"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41" t="n">
        <v>2</v>
      </c>
      <c r="BG18" s="114" t="inlineStr">
        <is>
          <t>2d8</t>
        </is>
      </c>
      <c r="BH18" s="114" t="inlineStr">
        <is>
          <t>Longo Alcance · Munição · Rompe</t>
        </is>
      </c>
      <c r="BI18" s="141" t="n">
        <v>1</v>
      </c>
      <c r="BJ18" s="141" t="n">
        <v>2</v>
      </c>
      <c r="BK18" s="114" t="inlineStr">
        <is>
          <t>9 m, longa 27 m</t>
        </is>
      </c>
      <c r="BL18" s="141" t="n">
        <v>2</v>
      </c>
      <c r="BM18" s="141">
        <f>'FICHA PESSOAL'!$M$49</f>
        <v/>
      </c>
      <c r="BN18" s="141">
        <f>ADDRESS(ROW('FICHA PESSOAL'!M49),COLUMN('FICHA PESSOAL'!M49),4)</f>
        <v/>
      </c>
      <c r="CY18" s="114" t="inlineStr">
        <is>
          <t>categoria da secundária</t>
        </is>
      </c>
      <c r="CZ18" s="141">
        <f>IF(DADOS!$CZ$17=1,IFERROR(VLOOKUP('FICHA PESSOAL'!$S$41,'FICHA PESSOAL'!$D$69:$AH$76,10,FALSE)&amp;"",""),"")</f>
        <v/>
      </c>
      <c r="DH18" s="114" t="inlineStr">
        <is>
          <t>Embainhada</t>
        </is>
      </c>
      <c r="DI18" s="114" t="inlineStr">
        <is>
          <t>Não se saca sozinha: precisa de tempo, ou de outra pessoa.</t>
        </is>
      </c>
      <c r="DO18" s="114" t="inlineStr">
        <is>
          <t>volume dos itens 1</t>
        </is>
      </c>
      <c r="DP18" s="141">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41" t="n">
        <v>5</v>
      </c>
      <c r="AG19" s="141" t="n">
        <v>1</v>
      </c>
      <c r="AH19" s="141" t="inlineStr">
        <is>
          <t>sim</t>
        </is>
      </c>
      <c r="AI19" s="38" t="n"/>
      <c r="AJ19" s="114" t="inlineStr">
        <is>
          <t>perícias da rota</t>
        </is>
      </c>
      <c r="AK19" s="141">
        <f>IF(DADOS!$AK$17=1,9,10)-DADOS!$AK$18</f>
        <v/>
      </c>
      <c r="AL19" s="38" t="n"/>
      <c r="AM19" s="38" t="n"/>
      <c r="AN19" s="114">
        <f>$L$18</f>
        <v/>
      </c>
      <c r="AO19" s="114" t="inlineStr">
        <is>
          <t>Evocador</t>
        </is>
      </c>
      <c r="AP19" s="38" t="n"/>
      <c r="AQ19" s="141" t="n">
        <v>16</v>
      </c>
      <c r="AR19" s="141"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41" t="n">
        <v>1</v>
      </c>
      <c r="BG19" s="114" t="inlineStr">
        <is>
          <t>d6</t>
        </is>
      </c>
      <c r="BH19" s="114" t="inlineStr">
        <is>
          <t>Fineza · Rompe</t>
        </is>
      </c>
      <c r="BI19" s="114" t="inlineStr">
        <is>
          <t>—</t>
        </is>
      </c>
      <c r="BJ19" s="141" t="n">
        <v>1</v>
      </c>
      <c r="BM19" s="141">
        <f>'FICHA PESSOAL'!$AE$50</f>
        <v/>
      </c>
      <c r="BN19" s="141">
        <f>ADDRESS(ROW('FICHA PESSOAL'!AE50),COLUMN('FICHA PESSOAL'!AE50),4)</f>
        <v/>
      </c>
      <c r="CY19" s="114" t="inlineStr">
        <is>
          <t>escudo na secundária</t>
        </is>
      </c>
      <c r="CZ19" s="141">
        <f>IF(AND(DADOS!$CZ$17=1,DADOS!$CZ$18="Escudo"),1,0)</f>
        <v/>
      </c>
      <c r="DH19" s="114" t="inlineStr">
        <is>
          <t>Comprida</t>
        </is>
      </c>
      <c r="DI19" s="114" t="inlineStr">
        <is>
          <t>Perde no corpo a corpo colado.</t>
        </is>
      </c>
      <c r="DO19" s="114" t="inlineStr">
        <is>
          <t>volume dos itens 2</t>
        </is>
      </c>
      <c r="DP19" s="141">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41" t="n">
        <v>4</v>
      </c>
      <c r="AG20" s="141" t="n">
        <v>5</v>
      </c>
      <c r="AH20" s="141" t="inlineStr">
        <is>
          <t>sim</t>
        </is>
      </c>
      <c r="AI20" s="38" t="n"/>
      <c r="AJ20" s="114" t="inlineStr">
        <is>
          <t>ofícios da rota</t>
        </is>
      </c>
      <c r="AK20" s="141">
        <f>IF(DADOS!$AK$17=1,2,0)</f>
        <v/>
      </c>
      <c r="AL20" s="38" t="n"/>
      <c r="AM20" s="38" t="n"/>
      <c r="AN20" s="38" t="n"/>
      <c r="AO20" s="38" t="n"/>
      <c r="AP20" s="38" t="n"/>
      <c r="AQ20" s="141" t="n">
        <v>17</v>
      </c>
      <c r="AR20" s="141"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41" t="n">
        <v>2</v>
      </c>
      <c r="BG20" s="114" t="inlineStr">
        <is>
          <t>d10</t>
        </is>
      </c>
      <c r="BH20" s="114" t="inlineStr">
        <is>
          <t>Emaranha · Talha</t>
        </is>
      </c>
      <c r="BI20" s="141" t="n">
        <v>3</v>
      </c>
      <c r="BJ20" s="141" t="n">
        <v>2</v>
      </c>
      <c r="BM20" s="141">
        <f>'FICHA PESSOAL'!$V$55</f>
        <v/>
      </c>
      <c r="BN20" s="141">
        <f>ADDRESS(ROW('FICHA PESSOAL'!V55),COLUMN('FICHA PESSOAL'!V55),4)</f>
        <v/>
      </c>
      <c r="CY20" s="114" t="inlineStr">
        <is>
          <t>dado da secundária</t>
        </is>
      </c>
      <c r="CZ20" s="141">
        <f>IF(DADOS!$CZ$17=1,IFERROR(VLOOKUP('FICHA PESSOAL'!$S$41,'FICHA PESSOAL'!$D$69:$AH$76,18,FALSE)&amp;"",""),"")</f>
        <v/>
      </c>
      <c r="DO20" s="114" t="inlineStr">
        <is>
          <t>em uso</t>
        </is>
      </c>
      <c r="DP20" s="141">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41" t="n">
        <v>5</v>
      </c>
      <c r="AG21" s="141" t="n">
        <v>3</v>
      </c>
      <c r="AH21" s="141" t="inlineStr">
        <is>
          <t>sim</t>
        </is>
      </c>
      <c r="AI21" s="38" t="n"/>
      <c r="AJ21" s="114" t="inlineStr">
        <is>
          <t>Corpo nas perícias</t>
        </is>
      </c>
      <c r="AK21" s="141">
        <f>MAX(0,DADOS!$AK$13-DADOS!$AK$19)</f>
        <v/>
      </c>
      <c r="AL21" s="38" t="n"/>
      <c r="AM21" s="38" t="n"/>
      <c r="AN21" s="38" t="n"/>
      <c r="AO21" s="38" t="n"/>
      <c r="AP21" s="38" t="n"/>
      <c r="AQ21" s="141" t="n">
        <v>18</v>
      </c>
      <c r="AR21" s="141"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41" t="n">
        <v>2</v>
      </c>
      <c r="BG21" s="114" t="inlineStr">
        <is>
          <t>1d8</t>
        </is>
      </c>
      <c r="BH21" s="114" t="inlineStr">
        <is>
          <t>Longo Alcance · Oculta</t>
        </is>
      </c>
      <c r="BI21" s="114" t="inlineStr">
        <is>
          <t>—</t>
        </is>
      </c>
      <c r="BJ21" s="141" t="n">
        <v>2</v>
      </c>
      <c r="BK21" s="114" t="inlineStr">
        <is>
          <t>24 m, longa 96 m</t>
        </is>
      </c>
      <c r="BM21" s="141">
        <f>'FICHA PESSOAL'!$AM$60</f>
        <v/>
      </c>
      <c r="BN21" s="141">
        <f>ADDRESS(ROW('FICHA PESSOAL'!AM60),COLUMN('FICHA PESSOAL'!AM60),4)</f>
        <v/>
      </c>
      <c r="CY21" s="114" t="inlineStr">
        <is>
          <t>propriedades da secundária</t>
        </is>
      </c>
      <c r="CZ21" s="141">
        <f>IF(DADOS!$CZ$17=1,IFERROR(VLOOKUP('FICHA PESSOAL'!$S$41,'FICHA PESSOAL'!$D$69:$AH$76,20,FALSE)&amp;"",""),"")</f>
        <v/>
      </c>
      <c r="DO21" s="114" t="inlineStr">
        <is>
          <t>fileira</t>
        </is>
      </c>
      <c r="DP21" s="141">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41" t="n">
        <v>6</v>
      </c>
      <c r="AG22" s="141" t="n">
        <v>1</v>
      </c>
      <c r="AH22" s="141" t="inlineStr">
        <is>
          <t>sim</t>
        </is>
      </c>
      <c r="AI22" s="38" t="n"/>
      <c r="AJ22" s="114" t="inlineStr">
        <is>
          <t>Corpo nos ofícios</t>
        </is>
      </c>
      <c r="AK22" s="141">
        <f>MAX(0,DADOS!$AK$14-DADOS!$AK$20)</f>
        <v/>
      </c>
      <c r="AL22" s="38" t="n"/>
      <c r="AM22" s="38" t="n"/>
      <c r="AN22" s="38" t="n"/>
      <c r="AO22" s="38" t="n"/>
      <c r="AP22" s="38" t="n"/>
      <c r="AQ22" s="141" t="n">
        <v>19</v>
      </c>
      <c r="AR22" s="141"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41" t="n">
        <v>1</v>
      </c>
      <c r="BG22" s="114" t="inlineStr">
        <is>
          <t>d6</t>
        </is>
      </c>
      <c r="BH22" s="114" t="inlineStr">
        <is>
          <t>Par · Rompe</t>
        </is>
      </c>
      <c r="BI22" s="114" t="inlineStr">
        <is>
          <t>—</t>
        </is>
      </c>
      <c r="BJ22" s="141" t="n">
        <v>1</v>
      </c>
      <c r="BM22" s="141">
        <f>'FICHA PESSOAL'!$V$56</f>
        <v/>
      </c>
      <c r="BN22" s="141">
        <f>ADDRESS(ROW('FICHA PESSOAL'!V56),COLUMN('FICHA PESSOAL'!V56),4)</f>
        <v/>
      </c>
      <c r="CY22" s="114" t="inlineStr">
        <is>
          <t>força da secundária</t>
        </is>
      </c>
      <c r="CZ22" s="141">
        <f>IF(DADOS!$CZ$17=1,IFERROR(VALUE(VLOOKUP('FICHA PESSOAL'!$S$41,'FICHA PESSOAL'!$D$69:$AH$76,28,FALSE)&amp;""),0),0)</f>
        <v/>
      </c>
      <c r="DO22" s="114" t="inlineStr">
        <is>
          <t>cor da barra cheia</t>
        </is>
      </c>
      <c r="DP22" s="141">
        <f>ADDRESS(ROW(DADOS!CZ48),COLUMN(DADOS!CZ48),4)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41" t="n">
        <v>5</v>
      </c>
      <c r="AG23" s="141" t="n">
        <v>0</v>
      </c>
      <c r="AH23" s="141" t="inlineStr">
        <is>
          <t>sim</t>
        </is>
      </c>
      <c r="AI23" s="38" t="n"/>
      <c r="AJ23" s="114" t="inlineStr">
        <is>
          <t>Corpo por escolher</t>
        </is>
      </c>
      <c r="AK23" s="141">
        <f>DADOS!$AK$16-DADOS!$AK$21-DADOS!$AK$22</f>
        <v/>
      </c>
      <c r="AL23" s="38" t="n"/>
      <c r="AM23" s="38" t="n"/>
      <c r="AN23" s="38" t="n"/>
      <c r="AO23" s="38" t="n"/>
      <c r="AP23" s="38" t="n"/>
      <c r="AQ23" s="141" t="n">
        <v>20</v>
      </c>
      <c r="AR23" s="141"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41" t="n">
        <v>2</v>
      </c>
      <c r="BG23" s="114" t="inlineStr">
        <is>
          <t>d12</t>
        </is>
      </c>
      <c r="BH23" s="114" t="inlineStr">
        <is>
          <t>Talha</t>
        </is>
      </c>
      <c r="BI23" s="141" t="n">
        <v>3</v>
      </c>
      <c r="BJ23" s="141" t="n">
        <v>2</v>
      </c>
      <c r="BM23" s="141">
        <f>'FICHA PESSOAL'!$AM$49</f>
        <v/>
      </c>
      <c r="BN23" s="141">
        <f>ADDRESS(ROW('FICHA PESSOAL'!AM49),COLUMN('FICHA PESSOAL'!AM49),4)</f>
        <v/>
      </c>
      <c r="CY23" s="114" t="inlineStr">
        <is>
          <t>alcance da secundária</t>
        </is>
      </c>
      <c r="CZ23" s="141">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41" t="n">
        <v>6</v>
      </c>
      <c r="AG24" s="141" t="n">
        <v>0</v>
      </c>
      <c r="AH24" s="141" t="inlineStr">
        <is>
          <t>sim</t>
        </is>
      </c>
      <c r="AI24" s="38" t="n"/>
      <c r="AJ24" s="114" t="inlineStr">
        <is>
          <t>treinos a mais</t>
        </is>
      </c>
      <c r="AK24" s="141">
        <f>MAX(0,-DADOS!$AK$23)</f>
        <v/>
      </c>
      <c r="AL24" s="38" t="n"/>
      <c r="AM24" s="38" t="n"/>
      <c r="AN24" s="38" t="n"/>
      <c r="AO24" s="38" t="n"/>
      <c r="AP24" s="38" t="n"/>
      <c r="AQ24" s="141" t="n">
        <v>21</v>
      </c>
      <c r="AR24" s="141"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41" t="n">
        <v>1</v>
      </c>
      <c r="BG24" s="114" t="inlineStr">
        <is>
          <t>d8</t>
        </is>
      </c>
      <c r="BH24" s="114" t="inlineStr">
        <is>
          <t>Versátil · Fineza</t>
        </is>
      </c>
      <c r="BI24" s="114" t="inlineStr">
        <is>
          <t>—</t>
        </is>
      </c>
      <c r="BJ24" s="141" t="n">
        <v>1</v>
      </c>
      <c r="BM24" s="141">
        <f>'FICHA PESSOAL'!$D$51</f>
        <v/>
      </c>
      <c r="BN24" s="141">
        <f>ADDRESS(ROW('FICHA PESSOAL'!D51),COLUMN('FICHA PESSOAL'!D51),4)</f>
        <v/>
      </c>
      <c r="CY24" s="114" t="inlineStr">
        <is>
          <t>recarga da secundária</t>
        </is>
      </c>
      <c r="CZ24" s="141">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41" t="n">
        <v>7</v>
      </c>
      <c r="AG25" s="141" t="n">
        <v>0</v>
      </c>
      <c r="AH25" s="141" t="inlineStr">
        <is>
          <t>sim</t>
        </is>
      </c>
      <c r="AI25" s="38" t="n"/>
      <c r="AJ25" s="114" t="inlineStr">
        <is>
          <t>perícias que faltam</t>
        </is>
      </c>
      <c r="AK25" s="141">
        <f>MAX(0,DADOS!$AK$19-DADOS!$AK$13)</f>
        <v/>
      </c>
      <c r="AL25" s="38" t="n"/>
      <c r="AM25" s="38" t="n"/>
      <c r="AN25" s="38" t="n"/>
      <c r="AO25" s="38" t="n"/>
      <c r="AP25" s="38" t="n"/>
      <c r="AQ25" s="141" t="n">
        <v>22</v>
      </c>
      <c r="AR25" s="141"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41" t="n">
        <v>1</v>
      </c>
      <c r="BG25" s="114" t="inlineStr">
        <is>
          <t>d6</t>
        </is>
      </c>
      <c r="BH25" s="114" t="inlineStr">
        <is>
          <t>Longo Alcance · Oculta</t>
        </is>
      </c>
      <c r="BI25" s="114" t="inlineStr">
        <is>
          <t>—</t>
        </is>
      </c>
      <c r="BJ25" s="141" t="n">
        <v>0.1</v>
      </c>
      <c r="BK25" s="114" t="inlineStr">
        <is>
          <t>6 m, longa 18 m</t>
        </is>
      </c>
      <c r="BM25" s="141">
        <f>'FICHA PESSOAL'!$M$58</f>
        <v/>
      </c>
      <c r="BN25" s="141">
        <f>ADDRESS(ROW('FICHA PESSOAL'!M58),COLUMN('FICHA PESSOAL'!M58),4)</f>
        <v/>
      </c>
      <c r="CY25" s="114" t="inlineStr">
        <is>
          <t>guardados para a principal</t>
        </is>
      </c>
      <c r="CZ25" s="141">
        <f>SUMPRODUCT(--('FICHA PESSOAL'!$D$69:$D$76&lt;&gt;""),--('FICHA PESSOAL'!$M$69:$M$76&lt;&gt;"Escudo"))</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41" t="n">
        <v>6</v>
      </c>
      <c r="AG26" s="141" t="n">
        <v>0</v>
      </c>
      <c r="AH26" s="141" t="inlineStr">
        <is>
          <t>sim</t>
        </is>
      </c>
      <c r="AI26" s="38" t="n"/>
      <c r="AJ26" s="114" t="inlineStr">
        <is>
          <t>ofícios que faltam</t>
        </is>
      </c>
      <c r="AK26" s="141">
        <f>MAX(0,DADOS!$AK$20-DADOS!$AK$14)</f>
        <v/>
      </c>
      <c r="AL26" s="38" t="n"/>
      <c r="AM26" s="38" t="n"/>
      <c r="AN26" s="38" t="n"/>
      <c r="AO26" s="38" t="n"/>
      <c r="AP26" s="38" t="n"/>
      <c r="AQ26" s="141" t="n">
        <v>23</v>
      </c>
      <c r="AR26" s="141"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41" t="n">
        <v>2</v>
      </c>
      <c r="BG26" s="114" t="inlineStr">
        <is>
          <t>d8</t>
        </is>
      </c>
      <c r="BH26" s="114" t="inlineStr">
        <is>
          <t>Alcance · Emaranha · Longo Alcance</t>
        </is>
      </c>
      <c r="BI26" s="114" t="inlineStr">
        <is>
          <t>—</t>
        </is>
      </c>
      <c r="BJ26" s="141" t="n">
        <v>2</v>
      </c>
      <c r="BK26" s="114" t="inlineStr">
        <is>
          <t>6 m, longa 18 m</t>
        </is>
      </c>
      <c r="BM26" s="141">
        <f>'FICHA PESSOAL'!$V$57</f>
        <v/>
      </c>
      <c r="BN26" s="141">
        <f>ADDRESS(ROW('FICHA PESSOAL'!V57),COLUMN('FICHA PESSOAL'!V57),4)</f>
        <v/>
      </c>
      <c r="CY26" s="114" t="inlineStr">
        <is>
          <t>guardados para a secundária</t>
        </is>
      </c>
      <c r="CZ26" s="141">
        <f>SUMPRODUCT(--('FICHA PESSOAL'!$D$69:$D$76&lt;&gt;""),--((('FICHA PESSOAL'!$M$69:$M$76="Escudo")+('FICHA PESSOAL'!$S$69:$S$76=1))&gt;0))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41" t="n">
        <v>7</v>
      </c>
      <c r="AG27" s="141" t="n">
        <v>0</v>
      </c>
      <c r="AH27" s="141" t="inlineStr">
        <is>
          <t>sim</t>
        </is>
      </c>
      <c r="AI27" s="38" t="n"/>
      <c r="AJ27" s="114" t="inlineStr">
        <is>
          <t>perícias que faltam sem ofício</t>
        </is>
      </c>
      <c r="AK27" s="141">
        <f>MAX(0,10-DADOS!$AK$13)</f>
        <v/>
      </c>
      <c r="AL27" s="38" t="n"/>
      <c r="AM27" s="38" t="n"/>
      <c r="AN27" s="38" t="n"/>
      <c r="AO27" s="38" t="n"/>
      <c r="AP27" s="38" t="n"/>
      <c r="AQ27" s="141" t="n">
        <v>24</v>
      </c>
      <c r="AR27" s="141"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41" t="n">
        <v>1</v>
      </c>
      <c r="BG27" s="114" t="inlineStr">
        <is>
          <t>d6</t>
        </is>
      </c>
      <c r="BH27" s="114" t="inlineStr">
        <is>
          <t>Alcance · Longo Alcance</t>
        </is>
      </c>
      <c r="BI27" s="114" t="inlineStr">
        <is>
          <t>—</t>
        </is>
      </c>
      <c r="BJ27" s="141" t="n">
        <v>1</v>
      </c>
      <c r="BK27" s="114" t="inlineStr">
        <is>
          <t>6 m, longa 18 m</t>
        </is>
      </c>
      <c r="BM27" s="141">
        <f>'FICHA PESSOAL'!$AM$55</f>
        <v/>
      </c>
      <c r="BN27" s="141">
        <f>ADDRESS(ROW('FICHA PESSOAL'!AM55),COLUMN('FICHA PESSOAL'!AM55),4)</f>
        <v/>
      </c>
      <c r="CY27" s="114" t="inlineStr">
        <is>
          <t>uniforme vale</t>
        </is>
      </c>
      <c r="CZ27" s="141">
        <f>IF(ISNUMBER(MATCH('FICHA PESSOAL'!$AH$41,DADOS!$BX$5:$BX$10,0)),1,0)</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41" t="n">
        <v>8</v>
      </c>
      <c r="AG28" s="141" t="n">
        <v>0</v>
      </c>
      <c r="AH28" s="141" t="inlineStr">
        <is>
          <t>sim</t>
        </is>
      </c>
      <c r="AI28" s="38" t="n"/>
      <c r="AJ28" s="114" t="inlineStr">
        <is>
          <t>Corpo por escolher sem ofício</t>
        </is>
      </c>
      <c r="AK28" s="141">
        <f>DADOS!$AK$16-MAX(0,DADOS!$AK$13-10)-MAX(0,DADOS!$AK$14-0)</f>
        <v/>
      </c>
      <c r="AL28" s="38" t="n"/>
      <c r="AM28" s="38" t="n"/>
      <c r="AN28" s="38" t="n"/>
      <c r="AO28" s="38" t="n"/>
      <c r="AP28" s="38" t="n"/>
      <c r="AQ28" s="141" t="n">
        <v>25</v>
      </c>
      <c r="AR28" s="141"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41" t="n">
        <v>1</v>
      </c>
      <c r="BG28" s="114" t="inlineStr">
        <is>
          <t>d8</t>
        </is>
      </c>
      <c r="BH28" s="114" t="inlineStr">
        <is>
          <t>Talha</t>
        </is>
      </c>
      <c r="BI28" s="114" t="inlineStr">
        <is>
          <t>—</t>
        </is>
      </c>
      <c r="BJ28" s="141" t="n">
        <v>1</v>
      </c>
      <c r="BM28" s="141">
        <f>'FICHA PESSOAL'!$AM$50</f>
        <v/>
      </c>
      <c r="BN28" s="141">
        <f>ADDRESS(ROW('FICHA PESSOAL'!AM50),COLUMN('FICHA PESSOAL'!AM50),4)</f>
        <v/>
      </c>
      <c r="CY28" s="114" t="inlineStr">
        <is>
          <t>proteção do uniforme</t>
        </is>
      </c>
      <c r="CZ28" s="141">
        <f>IF(DADOS!$CZ$27=1,VLOOKUP('FICHA PESSOAL'!$AH$41,DADOS!$BX$5:$CD$10,2,FALSE),0)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41" t="n">
        <v>7</v>
      </c>
      <c r="AG29" s="141" t="n">
        <v>0</v>
      </c>
      <c r="AH29" s="141" t="inlineStr">
        <is>
          <t>sim</t>
        </is>
      </c>
      <c r="AI29" s="38" t="n"/>
      <c r="AJ29" s="114" t="inlineStr">
        <is>
          <t>testes treinados</t>
        </is>
      </c>
      <c r="AK29" s="141">
        <f>COUNTIF(FICHA!$AF$79:$AF$82,TRUE)</f>
        <v/>
      </c>
      <c r="AL29" s="38" t="n"/>
      <c r="AM29" s="38" t="n"/>
      <c r="AN29" s="38" t="n"/>
      <c r="AO29" s="38" t="n"/>
      <c r="AP29" s="38" t="n"/>
      <c r="AQ29" s="141" t="n">
        <v>26</v>
      </c>
      <c r="AR29" s="141"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41" t="n">
        <v>1</v>
      </c>
      <c r="BG29" s="114" t="inlineStr">
        <is>
          <t>d6</t>
        </is>
      </c>
      <c r="BH29" s="114" t="inlineStr">
        <is>
          <t>Longo Alcance · Rompe</t>
        </is>
      </c>
      <c r="BI29" s="114" t="inlineStr">
        <is>
          <t>—</t>
        </is>
      </c>
      <c r="BJ29" s="141" t="n">
        <v>1</v>
      </c>
      <c r="BK29" s="114" t="inlineStr">
        <is>
          <t>6 m, longa 18 m</t>
        </is>
      </c>
      <c r="BM29" s="141">
        <f>'FICHA PESSOAL'!$D$58</f>
        <v/>
      </c>
      <c r="BN29" s="141">
        <f>ADDRESS(ROW('FICHA PESSOAL'!D58),COLUMN('FICHA PESSOAL'!D58),4)</f>
        <v/>
      </c>
      <c r="CY29" s="114" t="inlineStr">
        <is>
          <t>teto do uniforme</t>
        </is>
      </c>
      <c r="CZ29" s="141">
        <f>IF(DADOS!$CZ$27=1,VLOOKUP('FICHA PESSOAL'!$AH$41,DADOS!$BX$5:$CD$10,3,FALSE),"")</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41" t="n">
        <v>8</v>
      </c>
      <c r="AG30" s="141" t="n">
        <v>0</v>
      </c>
      <c r="AH30" s="141" t="inlineStr">
        <is>
          <t>sim</t>
        </is>
      </c>
      <c r="AI30" s="38" t="n"/>
      <c r="AJ30" s="114" t="inlineStr">
        <is>
          <t>sem energia</t>
        </is>
      </c>
      <c r="AK30" s="141">
        <f>IF(FICHA!$X$11="Restrição Celestial · sem energia",1,0)</f>
        <v/>
      </c>
      <c r="AL30" s="38" t="n"/>
      <c r="AM30" s="38" t="n"/>
      <c r="AN30" s="38" t="n"/>
      <c r="AO30" s="38" t="n"/>
      <c r="AP30" s="38" t="n"/>
      <c r="AQ30" s="141" t="n">
        <v>27</v>
      </c>
      <c r="AR30" s="141"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41" t="n">
        <v>1</v>
      </c>
      <c r="BG30" s="114" t="inlineStr">
        <is>
          <t>d8</t>
        </is>
      </c>
      <c r="BH30" s="114" t="inlineStr">
        <is>
          <t>Rompe</t>
        </is>
      </c>
      <c r="BI30" s="114" t="inlineStr">
        <is>
          <t>—</t>
        </is>
      </c>
      <c r="BJ30" s="141" t="n">
        <v>1</v>
      </c>
      <c r="BM30" s="141">
        <f>'FICHA PESSOAL'!$D$59</f>
        <v/>
      </c>
      <c r="BN30" s="141">
        <f>ADDRESS(ROW('FICHA PESSOAL'!D59),COLUMN('FICHA PESSOAL'!D59),4)</f>
        <v/>
      </c>
      <c r="CY30" s="114" t="inlineStr">
        <is>
          <t>força do uniforme</t>
        </is>
      </c>
      <c r="CZ30" s="141">
        <f>IF(DADOS!$CZ$27=1,VLOOKUP('FICHA PESSOAL'!$AH$41,DADOS!$BX$5:$CD$10,4,FALSE),0)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41" t="n">
        <v>9</v>
      </c>
      <c r="AG31" s="141" t="n">
        <v>0</v>
      </c>
      <c r="AH31" s="141" t="inlineStr">
        <is>
          <t>sim</t>
        </is>
      </c>
      <c r="AI31" s="38" t="n"/>
      <c r="AJ31" s="114" t="inlineStr">
        <is>
          <t>sem técnica</t>
        </is>
      </c>
      <c r="AK31" s="141">
        <f>IF(ISNUMBER(SEARCH(" · Sem Técnica",FICHA!$X$11)),1,0)</f>
        <v/>
      </c>
      <c r="AL31" s="38" t="n"/>
      <c r="AM31" s="38" t="n"/>
      <c r="AN31" s="38" t="n"/>
      <c r="AO31" s="38" t="n"/>
      <c r="AP31" s="38" t="n"/>
      <c r="AQ31" s="141" t="n">
        <v>28</v>
      </c>
      <c r="AR31" s="141"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41" t="n">
        <v>2</v>
      </c>
      <c r="BG31" s="114" t="inlineStr">
        <is>
          <t>d12</t>
        </is>
      </c>
      <c r="BH31" s="114" t="inlineStr">
        <is>
          <t>Rompe · Talha · Volumosa</t>
        </is>
      </c>
      <c r="BI31" s="141" t="n">
        <v>3</v>
      </c>
      <c r="BJ31" s="141" t="n">
        <v>2</v>
      </c>
      <c r="BM31" s="141">
        <f>'FICHA PESSOAL'!$D$60</f>
        <v/>
      </c>
      <c r="BN31" s="141">
        <f>ADDRESS(ROW('FICHA PESSOAL'!D60),COLUMN('FICHA PESSOAL'!D60),4)</f>
        <v/>
      </c>
      <c r="CY31" s="114" t="inlineStr">
        <is>
          <t>volume do uniforme</t>
        </is>
      </c>
      <c r="CZ31" s="141">
        <f>IF(DADOS!$CZ$27=1,VLOOKUP('FICHA PESSOAL'!$AH$41,DADOS!$BX$5:$CD$10,5,FALSE),0)</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41">
        <f>IF(OR(FICHA!$X$11="Corpo Amaldiçoado",FICHA!$X$11="Restrição Celestial · sem energia"),1,0)</f>
        <v/>
      </c>
      <c r="AL32" s="38" t="n"/>
      <c r="AM32" s="38" t="n"/>
      <c r="AN32" s="38" t="n"/>
      <c r="AO32" s="38" t="n"/>
      <c r="AP32" s="38" t="n"/>
      <c r="AQ32" s="141" t="n">
        <v>29</v>
      </c>
      <c r="AR32" s="141"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41" t="n">
        <v>1</v>
      </c>
      <c r="BG32" s="114" t="inlineStr">
        <is>
          <t>d8</t>
        </is>
      </c>
      <c r="BH32" s="114" t="inlineStr">
        <is>
          <t>Rompe</t>
        </is>
      </c>
      <c r="BI32" s="114" t="inlineStr">
        <is>
          <t>—</t>
        </is>
      </c>
      <c r="BJ32" s="141" t="n">
        <v>1</v>
      </c>
      <c r="BM32" s="141">
        <f>'FICHA PESSOAL'!$D$52</f>
        <v/>
      </c>
      <c r="BN32" s="141">
        <f>ADDRESS(ROW('FICHA PESSOAL'!D52),COLUMN('FICHA PESSOAL'!D52),4)</f>
        <v/>
      </c>
      <c r="CY32" s="114" t="inlineStr">
        <is>
          <t>ordem do grau mínimo</t>
        </is>
      </c>
      <c r="CZ32" s="141">
        <f>IF(DADOS!$CZ$27=1,VLOOKUP('FICHA PESSOAL'!$AH$41,DADOS!$BX$5:$CD$10,6,FALSE),0)</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41">
        <f>MIN(IFERROR(VALUE(FICHA!$AO$40&amp;""),0),DADOS!$AK$5)</f>
        <v/>
      </c>
      <c r="AL33" s="38" t="n"/>
      <c r="AM33" s="38" t="n"/>
      <c r="AN33" s="38" t="n"/>
      <c r="AO33" s="38" t="n"/>
      <c r="AP33" s="38" t="n"/>
      <c r="AQ33" s="141" t="n">
        <v>30</v>
      </c>
      <c r="AR33" s="141"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41" t="n">
        <v>1</v>
      </c>
      <c r="BG33" s="114" t="inlineStr">
        <is>
          <t>d6</t>
        </is>
      </c>
      <c r="BH33" s="114" t="inlineStr">
        <is>
          <t>Emaranha · Oculta</t>
        </is>
      </c>
      <c r="BI33" s="114" t="inlineStr">
        <is>
          <t>—</t>
        </is>
      </c>
      <c r="BJ33" s="141" t="n">
        <v>0.1</v>
      </c>
      <c r="BM33" s="141">
        <f>'FICHA PESSOAL'!$AE$57</f>
        <v/>
      </c>
      <c r="BN33" s="141">
        <f>ADDRESS(ROW('FICHA PESSOAL'!AE57),COLUMN('FICHA PESSOAL'!AE57),4)</f>
        <v/>
      </c>
      <c r="CY33" s="114" t="inlineStr">
        <is>
          <t>grau mínimo</t>
        </is>
      </c>
      <c r="CZ33" s="141">
        <f>IF(DADOS!$CZ$27=1,VLOOKUP('FICHA PESSOAL'!$AH$41,DADOS!$BX$5:$CD$10,7,FALSE),"")</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41">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41" t="n">
        <v>2</v>
      </c>
      <c r="BG34" s="114" t="inlineStr">
        <is>
          <t>d10</t>
        </is>
      </c>
      <c r="BH34" s="114" t="inlineStr">
        <is>
          <t>Rompe · Talha</t>
        </is>
      </c>
      <c r="BI34" s="141" t="n">
        <v>3</v>
      </c>
      <c r="BJ34" s="141" t="n">
        <v>2</v>
      </c>
      <c r="BM34" s="141">
        <f>'FICHA PESSOAL'!$AM$51</f>
        <v/>
      </c>
      <c r="BN34" s="141">
        <f>ADDRESS(ROW('FICHA PESSOAL'!AM51),COLUMN('FICHA PESSOAL'!AM51),4)</f>
        <v/>
      </c>
      <c r="CY34" s="114" t="inlineStr">
        <is>
          <t>ordem do grau</t>
        </is>
      </c>
      <c r="CZ34" s="141">
        <f>IFERROR(VLOOKUP('FICHA PESSOAL'!$AB$11,DADOS!$CF$5:$CH$9,3,FALSE),1)</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41">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41" t="n">
        <v>2</v>
      </c>
      <c r="BG35" s="114" t="inlineStr">
        <is>
          <t>d12</t>
        </is>
      </c>
      <c r="BH35" s="114" t="inlineStr">
        <is>
          <t>Rompe</t>
        </is>
      </c>
      <c r="BI35" s="141" t="n">
        <v>3</v>
      </c>
      <c r="BJ35" s="141" t="n">
        <v>2</v>
      </c>
      <c r="BM35" s="141">
        <f>'FICHA PESSOAL'!$AM$52</f>
        <v/>
      </c>
      <c r="BN35" s="141">
        <f>ADDRESS(ROW('FICHA PESSOAL'!AM52),COLUMN('FICHA PESSOAL'!AM52),4)</f>
        <v/>
      </c>
      <c r="CY35" s="114" t="inlineStr">
        <is>
          <t>uniforme liberado</t>
        </is>
      </c>
      <c r="CZ35" s="141">
        <f>IF(OR(DADOS!$CZ$27=0,DADOS!$CZ$34&gt;=DADOS!$CZ$32),1,0)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41">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41" t="n">
        <v>1</v>
      </c>
      <c r="BG36" s="114" t="inlineStr">
        <is>
          <t>—</t>
        </is>
      </c>
      <c r="BH36" s="114" t="inlineStr">
        <is>
          <t>Proteção +2 · teto de Destreza 3</t>
        </is>
      </c>
      <c r="BI36" s="141" t="n">
        <v>3</v>
      </c>
      <c r="BJ36" s="141" t="n">
        <v>1</v>
      </c>
      <c r="BM36" s="141">
        <f>TRUE</f>
        <v/>
      </c>
      <c r="CY36" s="114" t="inlineStr">
        <is>
          <t>falta força na principal</t>
        </is>
      </c>
      <c r="CZ36" s="141">
        <f>IF(DADOS!$CZ$11&gt;DADOS!$CZ$5,1,0)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41">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41" t="n">
        <v>2</v>
      </c>
      <c r="BG37" s="114" t="inlineStr">
        <is>
          <t>2d10</t>
        </is>
      </c>
      <c r="BH37" s="114" t="inlineStr">
        <is>
          <t>Longo Alcance · Munição · Rompe · Volumosa</t>
        </is>
      </c>
      <c r="BI37" s="141" t="n">
        <v>3</v>
      </c>
      <c r="BJ37" s="141" t="n">
        <v>2</v>
      </c>
      <c r="BK37" s="114" t="inlineStr">
        <is>
          <t>24 m, longa 72 m</t>
        </is>
      </c>
      <c r="BL37" s="141" t="n">
        <v>4</v>
      </c>
      <c r="BM37" s="141">
        <f>'FICHA PESSOAL'!$M$50</f>
        <v/>
      </c>
      <c r="BN37" s="141">
        <f>ADDRESS(ROW('FICHA PESSOAL'!M50),COLUMN('FICHA PESSOAL'!M50),4)</f>
        <v/>
      </c>
      <c r="CY37" s="114" t="inlineStr">
        <is>
          <t>falta força na secundária</t>
        </is>
      </c>
      <c r="CZ37" s="141">
        <f>IF(AND(DADOS!$CZ$17=1,DADOS!$CZ$22&gt;DADOS!$CZ$5),1,0)</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41">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41" t="n">
        <v>2</v>
      </c>
      <c r="BG38" s="114" t="inlineStr">
        <is>
          <t>d10</t>
        </is>
      </c>
      <c r="BH38" s="114" t="inlineStr">
        <is>
          <t>Alcance · Rompe</t>
        </is>
      </c>
      <c r="BI38" s="141" t="n">
        <v>3</v>
      </c>
      <c r="BJ38" s="141" t="n">
        <v>2</v>
      </c>
      <c r="BM38" s="141">
        <f>'FICHA PESSOAL'!$AM$56</f>
        <v/>
      </c>
      <c r="BN38" s="141">
        <f>ADDRESS(ROW('FICHA PESSOAL'!AM56),COLUMN('FICHA PESSOAL'!AM56),4)</f>
        <v/>
      </c>
      <c r="CY38" s="114" t="inlineStr">
        <is>
          <t>falta força no uniforme</t>
        </is>
      </c>
      <c r="CZ38" s="141">
        <f>IF(AND(DADOS!$CZ$27=1,DADOS!$CZ$30&gt;DADOS!$CZ$5),1,0)</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41">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41" t="n">
        <v>2</v>
      </c>
      <c r="BG39" s="114" t="inlineStr">
        <is>
          <t>d12</t>
        </is>
      </c>
      <c r="BH39" s="114" t="inlineStr">
        <is>
          <t>Alcance · Rompe · Volumosa</t>
        </is>
      </c>
      <c r="BI39" s="141" t="n">
        <v>3</v>
      </c>
      <c r="BJ39" s="141" t="n">
        <v>2</v>
      </c>
      <c r="BM39" s="141">
        <f>'FICHA PESSOAL'!$D$53</f>
        <v/>
      </c>
      <c r="BN39" s="141">
        <f>ADDRESS(ROW('FICHA PESSOAL'!D53),COLUMN('FICHA PESSOAL'!D53),4)</f>
        <v/>
      </c>
      <c r="CY39" s="114" t="inlineStr">
        <is>
          <t>volume guardado</t>
        </is>
      </c>
      <c r="CZ39" s="141">
        <f>SUM('FICHA PESSOAL'!$AG$69:$AG$76)+SUM('FICHA PESSOAL'!$V$81:$V$86)+SUM('FICHA PESSOAL'!$AR$81:$AR$86)</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41" t="n">
        <v>1</v>
      </c>
      <c r="BG40" s="114" t="inlineStr">
        <is>
          <t>d6</t>
        </is>
      </c>
      <c r="BH40" s="114" t="inlineStr">
        <is>
          <t>Par · Emaranha</t>
        </is>
      </c>
      <c r="BI40" s="114" t="inlineStr">
        <is>
          <t>—</t>
        </is>
      </c>
      <c r="BJ40" s="141" t="n">
        <v>1</v>
      </c>
      <c r="BM40" s="141">
        <f>'FICHA PESSOAL'!$V$52</f>
        <v/>
      </c>
      <c r="BN40" s="141">
        <f>ADDRESS(ROW('FICHA PESSOAL'!V52),COLUMN('FICHA PESSOAL'!V52),4)</f>
        <v/>
      </c>
      <c r="CY40" s="114" t="inlineStr">
        <is>
          <t>carga</t>
        </is>
      </c>
      <c r="CZ40" s="141">
        <f>ROUND(DADOS!$CZ$39+DADOS!$CZ$31,1)</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41" t="n">
        <v>2</v>
      </c>
      <c r="BG41" s="114" t="inlineStr">
        <is>
          <t>d12</t>
        </is>
      </c>
      <c r="BH41" s="114" t="inlineStr">
        <is>
          <t>Alcance · Talha · Embainhada</t>
        </is>
      </c>
      <c r="BI41" s="141" t="n">
        <v>3</v>
      </c>
      <c r="BJ41" s="141" t="n">
        <v>2</v>
      </c>
      <c r="BM41" s="141">
        <f>'FICHA PESSOAL'!$D$54</f>
        <v/>
      </c>
      <c r="BN41" s="141">
        <f>ADDRESS(ROW('FICHA PESSOAL'!D54),COLUMN('FICHA PESSOAL'!D54),4)</f>
        <v/>
      </c>
      <c r="CY41" s="114" t="inlineStr">
        <is>
          <t>limite de carga</t>
        </is>
      </c>
      <c r="CZ41" s="141">
        <f>5+DADOS!$CZ$5</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41" t="n">
        <v>1</v>
      </c>
      <c r="BG42" s="114" t="inlineStr">
        <is>
          <t>1d10</t>
        </is>
      </c>
      <c r="BH42" s="114" t="inlineStr">
        <is>
          <t>Longo Alcance · Munição · Oculta</t>
        </is>
      </c>
      <c r="BI42" s="114" t="inlineStr">
        <is>
          <t>—</t>
        </is>
      </c>
      <c r="BJ42" s="141" t="n">
        <v>0.1</v>
      </c>
      <c r="BK42" s="114" t="inlineStr">
        <is>
          <t>9 m, longa 27 m</t>
        </is>
      </c>
      <c r="BL42" s="141" t="n">
        <v>2</v>
      </c>
      <c r="BM42" s="141">
        <f>'FICHA PESSOAL'!$M$51</f>
        <v/>
      </c>
      <c r="BN42" s="141">
        <f>ADDRESS(ROW('FICHA PESSOAL'!M51),COLUMN('FICHA PESSOAL'!M51),4)</f>
        <v/>
      </c>
      <c r="CY42" s="114" t="inlineStr">
        <is>
          <t>carga acima</t>
        </is>
      </c>
      <c r="CZ42" s="141">
        <f>IF(DADOS!$CZ$40&gt;DADOS!$CZ$41,1,0)</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41" t="n">
        <v>1</v>
      </c>
      <c r="BG43" s="114" t="inlineStr">
        <is>
          <t>d6</t>
        </is>
      </c>
      <c r="BH43" s="114" t="inlineStr">
        <is>
          <t>Fineza · Longo Alcance</t>
        </is>
      </c>
      <c r="BI43" s="114" t="inlineStr">
        <is>
          <t>—</t>
        </is>
      </c>
      <c r="BJ43" s="141" t="n">
        <v>1</v>
      </c>
      <c r="BK43" s="114" t="inlineStr">
        <is>
          <t>6 m, longa 18 m</t>
        </is>
      </c>
      <c r="BM43" s="141">
        <f>'FICHA PESSOAL'!$AE$51</f>
        <v/>
      </c>
      <c r="BN43" s="141">
        <f>ADDRESS(ROW('FICHA PESSOAL'!AE51),COLUMN('FICHA PESSOAL'!AE51),4)</f>
        <v/>
      </c>
      <c r="CY43" s="114" t="inlineStr">
        <is>
          <t>meia marcha</t>
        </is>
      </c>
      <c r="CZ43" s="141">
        <f>IF(OR(DADOS!$CZ$38=1,AND(DADOS!$CZ$37=1,DADOS!$CZ$19=1),DADOS!$CZ$42=1),1,0)</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41" t="n">
        <v>1</v>
      </c>
      <c r="BG44" s="114" t="inlineStr">
        <is>
          <t>d6</t>
        </is>
      </c>
      <c r="BH44" s="114" t="inlineStr">
        <is>
          <t>Fineza · Talha</t>
        </is>
      </c>
      <c r="BI44" s="114" t="inlineStr">
        <is>
          <t>—</t>
        </is>
      </c>
      <c r="BJ44" s="141" t="n">
        <v>1</v>
      </c>
      <c r="BM44" s="141">
        <f>'FICHA PESSOAL'!$D$55</f>
        <v/>
      </c>
      <c r="BN44" s="141">
        <f>ADDRESS(ROW('FICHA PESSOAL'!D55),COLUMN('FICHA PESSOAL'!D55),4)</f>
        <v/>
      </c>
      <c r="CY44" s="114" t="inlineStr">
        <is>
          <t>xp total</t>
        </is>
      </c>
      <c r="CZ44" s="141">
        <f>SUM('FICHA PESSOAL'!$BA$15:$BA$64)+SUM('FICHA PESSOAL'!$BG$15:$BG$64)+SUM('FICHA PESSOAL'!$BM$15:$BM$64)+SUM('FICHA PESSOAL'!$BS$15:$BS$64)</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41" t="n">
        <v>1</v>
      </c>
      <c r="BG45" s="114" t="inlineStr">
        <is>
          <t>1d10</t>
        </is>
      </c>
      <c r="BH45" s="114" t="inlineStr">
        <is>
          <t>Longo Alcance · Munição · Oculta</t>
        </is>
      </c>
      <c r="BI45" s="114" t="inlineStr">
        <is>
          <t>—</t>
        </is>
      </c>
      <c r="BJ45" s="141" t="n">
        <v>0.1</v>
      </c>
      <c r="BK45" s="114" t="inlineStr">
        <is>
          <t>12 m, longa 36 m</t>
        </is>
      </c>
      <c r="BL45" s="141" t="n">
        <v>2</v>
      </c>
      <c r="BM45" s="141">
        <f>'FICHA PESSOAL'!$M$52</f>
        <v/>
      </c>
      <c r="BN45" s="141">
        <f>ADDRESS(ROW('FICHA PESSOAL'!M52),COLUMN('FICHA PESSOAL'!M52),4)</f>
        <v/>
      </c>
      <c r="CY45" s="114" t="inlineStr">
        <is>
          <t>nível</t>
        </is>
      </c>
      <c r="CZ45" s="141">
        <f>N(FICHA!$AH$11)</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41" t="n">
        <v>2</v>
      </c>
      <c r="BG46" s="114" t="inlineStr">
        <is>
          <t>2d8</t>
        </is>
      </c>
      <c r="BH46" s="114" t="inlineStr">
        <is>
          <t>Longo Alcance · Munição · Talha</t>
        </is>
      </c>
      <c r="BI46" s="141" t="n">
        <v>1</v>
      </c>
      <c r="BJ46" s="141" t="n">
        <v>2</v>
      </c>
      <c r="BK46" s="114" t="inlineStr">
        <is>
          <t>24 m, longa 72 m</t>
        </is>
      </c>
      <c r="BL46" s="141" t="n">
        <v>3</v>
      </c>
      <c r="BM46" s="141">
        <f>'FICHA PESSOAL'!$M$53</f>
        <v/>
      </c>
      <c r="BN46" s="141">
        <f>ADDRESS(ROW('FICHA PESSOAL'!M53),COLUMN('FICHA PESSOAL'!M53),4)</f>
        <v/>
      </c>
      <c r="CY46" s="114" t="inlineStr">
        <is>
          <t>xp do próximo nível</t>
        </is>
      </c>
      <c r="CZ46" s="141">
        <f>IFERROR(VLOOKUP(DADOS!$CZ$45+1,DADOS!$AQ$5:$AR$33,2,FALSE),"")</f>
        <v/>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41" t="n">
        <v>2</v>
      </c>
      <c r="BG47" s="114" t="inlineStr">
        <is>
          <t>2d10</t>
        </is>
      </c>
      <c r="BH47" s="114" t="inlineStr">
        <is>
          <t>Longo Alcance · Munição</t>
        </is>
      </c>
      <c r="BI47" s="141" t="n">
        <v>3</v>
      </c>
      <c r="BJ47" s="141" t="n">
        <v>2</v>
      </c>
      <c r="BK47" s="114" t="inlineStr">
        <is>
          <t>24 m, longa 72 m</t>
        </is>
      </c>
      <c r="BL47" s="141" t="n">
        <v>2</v>
      </c>
      <c r="BM47" s="141">
        <f>'FICHA PESSOAL'!$M$54</f>
        <v/>
      </c>
      <c r="BN47" s="141">
        <f>ADDRESS(ROW('FICHA PESSOAL'!M54),COLUMN('FICHA PESSOAL'!M54),4)</f>
        <v/>
      </c>
      <c r="CY47" s="114" t="inlineStr">
        <is>
          <t>xp deste nível</t>
        </is>
      </c>
      <c r="CZ47" s="141">
        <f>IFERROR(VLOOKUP(DADOS!$CZ$45,DADOS!$AQ$5:$AR$33,2,FALSE),0)</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41" t="n">
        <v>1</v>
      </c>
      <c r="BG48" s="114" t="inlineStr">
        <is>
          <t>d6</t>
        </is>
      </c>
      <c r="BH48" s="114" t="inlineStr">
        <is>
          <t>Fineza · Par</t>
        </is>
      </c>
      <c r="BI48" s="114" t="inlineStr">
        <is>
          <t>—</t>
        </is>
      </c>
      <c r="BJ48" s="141" t="n">
        <v>1</v>
      </c>
      <c r="BM48" s="141">
        <f>'FICHA PESSOAL'!$AE$52</f>
        <v/>
      </c>
      <c r="BN48" s="141">
        <f>ADDRESS(ROW('FICHA PESSOAL'!AE52),COLUMN('FICHA PESSOAL'!AE52),4)</f>
        <v/>
      </c>
      <c r="CY48" s="114" t="inlineStr">
        <is>
          <t>cor da barra cheia</t>
        </is>
      </c>
      <c r="CZ48" s="141" t="inlineStr">
        <is>
          <t>#E8DCD4</t>
        </is>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41" t="n">
        <v>1</v>
      </c>
      <c r="BG49" s="114" t="inlineStr">
        <is>
          <t>d4</t>
        </is>
      </c>
      <c r="BH49" s="114" t="inlineStr">
        <is>
          <t>Longo Alcance · Oculta · Par</t>
        </is>
      </c>
      <c r="BI49" s="114" t="inlineStr">
        <is>
          <t>—</t>
        </is>
      </c>
      <c r="BJ49" s="141" t="n">
        <v>0.1</v>
      </c>
      <c r="BK49" s="114" t="inlineStr">
        <is>
          <t>6 m, longa 18 m</t>
        </is>
      </c>
      <c r="BM49" s="141">
        <f>'FICHA PESSOAL'!$M$59</f>
        <v/>
      </c>
      <c r="BN49" s="141">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41" t="n">
        <v>1</v>
      </c>
      <c r="BG50" s="114" t="inlineStr">
        <is>
          <t>d4</t>
        </is>
      </c>
      <c r="BH50" s="114" t="inlineStr">
        <is>
          <t>Vestida · Oculta · Par</t>
        </is>
      </c>
      <c r="BI50" s="114" t="inlineStr">
        <is>
          <t>—</t>
        </is>
      </c>
      <c r="BJ50" s="141" t="n">
        <v>0.1</v>
      </c>
      <c r="BM50" s="141">
        <f>'FICHA PESSOAL'!$AE$59</f>
        <v/>
      </c>
      <c r="BN50" s="141">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41" t="n">
        <v>2</v>
      </c>
      <c r="BG51" s="114" t="inlineStr">
        <is>
          <t>2d6</t>
        </is>
      </c>
      <c r="BH51" s="114" t="inlineStr">
        <is>
          <t>Longo Alcance · Munição · Par · Oculta</t>
        </is>
      </c>
      <c r="BI51" s="114" t="inlineStr">
        <is>
          <t>—</t>
        </is>
      </c>
      <c r="BJ51" s="141" t="n">
        <v>2</v>
      </c>
      <c r="BK51" s="114" t="inlineStr">
        <is>
          <t>15 m, longa 45 m</t>
        </is>
      </c>
      <c r="BL51" s="141" t="n">
        <v>3</v>
      </c>
      <c r="BM51" s="141">
        <f>'FICHA PESSOAL'!$M$55</f>
        <v/>
      </c>
      <c r="BN51" s="141">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41" t="n">
        <v>1</v>
      </c>
      <c r="BG52" s="114" t="inlineStr">
        <is>
          <t>d8</t>
        </is>
      </c>
      <c r="BH52" s="114" t="inlineStr">
        <is>
          <t>Versátil · Oculta</t>
        </is>
      </c>
      <c r="BI52" s="114" t="inlineStr">
        <is>
          <t>—</t>
        </is>
      </c>
      <c r="BJ52" s="141" t="n">
        <v>0.1</v>
      </c>
      <c r="BM52" s="141">
        <f>'FICHA PESSOAL'!$AM$53</f>
        <v/>
      </c>
      <c r="BN52" s="141">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41" t="n">
        <v>1</v>
      </c>
      <c r="BG53" s="114" t="inlineStr">
        <is>
          <t>d6</t>
        </is>
      </c>
      <c r="BH53" s="114" t="inlineStr">
        <is>
          <t>Fineza · Oculta</t>
        </is>
      </c>
      <c r="BI53" s="114" t="inlineStr">
        <is>
          <t>—</t>
        </is>
      </c>
      <c r="BJ53" s="141" t="n">
        <v>0.1</v>
      </c>
      <c r="BM53" s="141">
        <f>'FICHA PESSOAL'!$AE$53</f>
        <v/>
      </c>
      <c r="BN53" s="141">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41" t="n">
        <v>1</v>
      </c>
      <c r="BG54" s="114" t="inlineStr">
        <is>
          <t>d4</t>
        </is>
      </c>
      <c r="BH54" s="114" t="inlineStr">
        <is>
          <t>Vestida · Par · Oculta</t>
        </is>
      </c>
      <c r="BI54" s="114" t="inlineStr">
        <is>
          <t>—</t>
        </is>
      </c>
      <c r="BJ54" s="141" t="n">
        <v>0.1</v>
      </c>
      <c r="BM54" s="141">
        <f>'FICHA PESSOAL'!$AE$60</f>
        <v/>
      </c>
      <c r="BN54" s="141">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41" t="n">
        <v>1</v>
      </c>
      <c r="BG55" s="114" t="inlineStr">
        <is>
          <t>d4</t>
        </is>
      </c>
      <c r="BH55" s="114" t="inlineStr">
        <is>
          <t>Longo Alcance · Oculta · Vestida</t>
        </is>
      </c>
      <c r="BI55" s="114" t="inlineStr">
        <is>
          <t>—</t>
        </is>
      </c>
      <c r="BJ55" s="141" t="n">
        <v>0.1</v>
      </c>
      <c r="BK55" s="114" t="inlineStr">
        <is>
          <t>6 m, longa 18 m</t>
        </is>
      </c>
      <c r="BM55" s="141">
        <f>'FICHA PESSOAL'!$M$60</f>
        <v/>
      </c>
      <c r="BN55" s="141">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41" t="n">
        <v>1</v>
      </c>
      <c r="BG56" s="114" t="inlineStr">
        <is>
          <t>d6</t>
        </is>
      </c>
      <c r="BH56" s="114" t="inlineStr">
        <is>
          <t>Par · Vestida</t>
        </is>
      </c>
      <c r="BI56" s="114" t="inlineStr">
        <is>
          <t>—</t>
        </is>
      </c>
      <c r="BJ56" s="141" t="n">
        <v>0.1</v>
      </c>
      <c r="BM56" s="141">
        <f>'FICHA PESSOAL'!$V$53</f>
        <v/>
      </c>
      <c r="BN56" s="141">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41" t="n">
        <v>1</v>
      </c>
      <c r="BG57" s="114" t="inlineStr">
        <is>
          <t>—</t>
        </is>
      </c>
      <c r="BH57" s="114" t="inlineStr">
        <is>
          <t>Proteção +3 · teto de Destreza 1</t>
        </is>
      </c>
      <c r="BI57" s="141" t="n">
        <v>5</v>
      </c>
      <c r="BJ57" s="141" t="n">
        <v>2</v>
      </c>
      <c r="BM57" s="141">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41" t="n">
        <v>1</v>
      </c>
      <c r="BG58" s="114" t="inlineStr">
        <is>
          <t>d8</t>
        </is>
      </c>
      <c r="BH58" s="114" t="inlineStr">
        <is>
          <t>Oculta</t>
        </is>
      </c>
      <c r="BI58" s="114" t="inlineStr">
        <is>
          <t>—</t>
        </is>
      </c>
      <c r="BJ58" s="141" t="n">
        <v>0.1</v>
      </c>
      <c r="BM58" s="141">
        <f>'FICHA PESSOAL'!$D$56</f>
        <v/>
      </c>
      <c r="BN58" s="141">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41" t="n">
        <v>2</v>
      </c>
      <c r="BG59" s="114" t="inlineStr">
        <is>
          <t>d10</t>
        </is>
      </c>
      <c r="BH59" s="114" t="inlineStr">
        <is>
          <t>Alcance · Talha</t>
        </is>
      </c>
      <c r="BI59" s="141" t="n">
        <v>3</v>
      </c>
      <c r="BJ59" s="141" t="n">
        <v>2</v>
      </c>
      <c r="BM59" s="141">
        <f>'FICHA PESSOAL'!$AM$57</f>
        <v/>
      </c>
      <c r="BN59" s="141">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K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s>
  <sheetData>
    <row r="1">
      <c r="A1" s="140" t="inlineStr">
        <is>
          <t>família da técnica</t>
        </is>
      </c>
      <c r="B1" s="140" t="inlineStr">
        <is>
          <t>estado da família</t>
        </is>
      </c>
      <c r="C1" s="140" t="inlineStr">
        <is>
          <t>família livre</t>
        </is>
      </c>
      <c r="D1" s="140" t="inlineStr">
        <is>
          <t>família fechada</t>
        </is>
      </c>
      <c r="F1" s="140" t="inlineStr">
        <is>
          <t>estado de família</t>
        </is>
      </c>
      <c r="H1" s="140" t="inlineStr">
        <is>
          <t>classe do feitiço</t>
        </is>
      </c>
      <c r="I1" s="140" t="inlineStr">
        <is>
          <t>leve</t>
        </is>
      </c>
      <c r="J1" s="140" t="inlineStr">
        <is>
          <t>média</t>
        </is>
      </c>
      <c r="K1" s="140" t="inlineStr">
        <is>
          <t>pesada</t>
        </is>
      </c>
      <c r="L1" s="140" t="inlineStr">
        <is>
          <t>leve livre</t>
        </is>
      </c>
      <c r="M1" s="140" t="inlineStr">
        <is>
          <t>média livre</t>
        </is>
      </c>
      <c r="N1" s="140" t="inlineStr">
        <is>
          <t>pesada livre</t>
        </is>
      </c>
      <c r="O1" s="140" t="inlineStr">
        <is>
          <t>limite de melhorias</t>
        </is>
      </c>
      <c r="Q1" s="140" t="inlineStr">
        <is>
          <t>forma</t>
        </is>
      </c>
      <c r="R1" s="140" t="inlineStr">
        <is>
          <t>família da forma</t>
        </is>
      </c>
      <c r="S1" s="140" t="inlineStr">
        <is>
          <t>peso da forma</t>
        </is>
      </c>
      <c r="T1" s="140" t="inlineStr">
        <is>
          <t>código de preço da forma</t>
        </is>
      </c>
      <c r="U1" s="140" t="inlineStr">
        <is>
          <t>forma fechada</t>
        </is>
      </c>
      <c r="V1" s="140" t="inlineStr">
        <is>
          <t>restrição embutida</t>
        </is>
      </c>
      <c r="W1" s="140" t="inlineStr">
        <is>
          <t>tipo de dano</t>
        </is>
      </c>
      <c r="X1" s="140" t="inlineStr">
        <is>
          <t>como resolve</t>
        </is>
      </c>
      <c r="Y1" s="140" t="inlineStr">
        <is>
          <t>resolve por teste</t>
        </is>
      </c>
      <c r="Z1" s="140" t="inlineStr">
        <is>
          <t>degrau da primeira parte</t>
        </is>
      </c>
      <c r="AA1" s="140" t="inlineStr">
        <is>
          <t>degrau da segunda parte</t>
        </is>
      </c>
      <c r="AB1" s="140" t="inlineStr">
        <is>
          <t>mostra mais alvos</t>
        </is>
      </c>
      <c r="AC1" s="140" t="inlineStr">
        <is>
          <t>existe na classe 0</t>
        </is>
      </c>
      <c r="AD1" s="140" t="inlineStr">
        <is>
          <t>menu de forma</t>
        </is>
      </c>
      <c r="AE1" s="140" t="inlineStr">
        <is>
          <t>menu de forma da classe 0</t>
        </is>
      </c>
      <c r="AG1" s="140" t="inlineStr">
        <is>
          <t>alcance de</t>
        </is>
      </c>
      <c r="AH1" s="140" t="inlineStr">
        <is>
          <t>primeira parte +0</t>
        </is>
      </c>
      <c r="AI1" s="140" t="inlineStr">
        <is>
          <t>primeira parte +1</t>
        </is>
      </c>
      <c r="AJ1" s="140" t="inlineStr">
        <is>
          <t>primeira parte +2</t>
        </is>
      </c>
      <c r="AK1" s="140" t="inlineStr">
        <is>
          <t>primeira parte +3</t>
        </is>
      </c>
      <c r="AL1" s="140" t="inlineStr">
        <is>
          <t>primeira parte +4</t>
        </is>
      </c>
      <c r="AM1" s="140" t="inlineStr">
        <is>
          <t>primeira parte +5</t>
        </is>
      </c>
      <c r="AN1" s="140" t="inlineStr">
        <is>
          <t>segunda parte +0</t>
        </is>
      </c>
      <c r="AO1" s="140" t="inlineStr">
        <is>
          <t>segunda parte +1</t>
        </is>
      </c>
      <c r="AP1" s="140" t="inlineStr">
        <is>
          <t>segunda parte +2</t>
        </is>
      </c>
      <c r="AQ1" s="140" t="inlineStr">
        <is>
          <t>segunda parte +3</t>
        </is>
      </c>
      <c r="AR1" s="140" t="inlineStr">
        <is>
          <t>segunda parte +4</t>
        </is>
      </c>
      <c r="AS1" s="140" t="inlineStr">
        <is>
          <t>segunda parte +5</t>
        </is>
      </c>
      <c r="AU1" s="140" t="inlineStr">
        <is>
          <t>peça</t>
        </is>
      </c>
      <c r="AV1" s="140" t="inlineStr">
        <is>
          <t>família da peça</t>
        </is>
      </c>
      <c r="AW1" s="140" t="inlineStr">
        <is>
          <t>peso da peça</t>
        </is>
      </c>
      <c r="AX1" s="140" t="inlineStr">
        <is>
          <t>código de preço</t>
        </is>
      </c>
      <c r="AY1" s="140" t="inlineStr">
        <is>
          <t>peça fechada</t>
        </is>
      </c>
      <c r="AZ1" s="140" t="inlineStr">
        <is>
          <t>peça de controle</t>
        </is>
      </c>
      <c r="BA1" s="140" t="inlineStr">
        <is>
          <t>menu de melhoria</t>
        </is>
      </c>
      <c r="BB1" s="140" t="inlineStr">
        <is>
          <t>menu de melhoria leve</t>
        </is>
      </c>
      <c r="BD1" s="140" t="inlineStr">
        <is>
          <t>menu de restrição</t>
        </is>
      </c>
      <c r="BE1" s="140" t="inlineStr">
        <is>
          <t>restrição</t>
        </is>
      </c>
      <c r="BF1" s="140" t="inlineStr">
        <is>
          <t>o que devolve</t>
        </is>
      </c>
      <c r="BG1" s="140" t="inlineStr">
        <is>
          <t>é de frequência</t>
        </is>
      </c>
      <c r="BH1" s="140" t="inlineStr">
        <is>
          <t>menu de restrição leve</t>
        </is>
      </c>
      <c r="BJ1" s="140" t="inlineStr">
        <is>
          <t>passiva</t>
        </is>
      </c>
      <c r="BK1" s="140" t="inlineStr">
        <is>
          <t>classe passiva</t>
        </is>
      </c>
      <c r="BL1" s="140" t="inlineStr">
        <is>
          <t>o que a passiva faz</t>
        </is>
      </c>
      <c r="BN1" s="140" t="inlineStr">
        <is>
          <t>classe passiva liberada</t>
        </is>
      </c>
      <c r="BO1" s="140" t="inlineStr">
        <is>
          <t>libera no nível</t>
        </is>
      </c>
      <c r="BQ1" s="140" t="inlineStr">
        <is>
          <t>aptidão</t>
        </is>
      </c>
      <c r="BR1" s="140" t="inlineStr">
        <is>
          <t>requisito da aptidão</t>
        </is>
      </c>
      <c r="BS1" s="140" t="inlineStr">
        <is>
          <t>classe passiva da aptidão</t>
        </is>
      </c>
      <c r="BT1" s="140" t="inlineStr">
        <is>
          <t>o que o refino escala</t>
        </is>
      </c>
      <c r="BU1" s="140" t="inlineStr">
        <is>
          <t>o que a aptidão faz</t>
        </is>
      </c>
      <c r="BV1" s="140" t="inlineStr">
        <is>
          <t>menu de aptidão</t>
        </is>
      </c>
      <c r="BX1" s="140" t="inlineStr">
        <is>
          <t>nível da classe 0</t>
        </is>
      </c>
      <c r="BY1" s="140" t="inlineStr">
        <is>
          <t>quantos de classe 0</t>
        </is>
      </c>
      <c r="BZ1" s="140" t="inlineStr">
        <is>
          <t>dados da classe 0</t>
        </is>
      </c>
      <c r="CB1" s="140" t="inlineStr">
        <is>
          <t>nível da liberação</t>
        </is>
      </c>
      <c r="CD1" s="140" t="inlineStr">
        <is>
          <t>classe da liberação</t>
        </is>
      </c>
      <c r="CF1" s="140" t="inlineStr">
        <is>
          <t>nível da técnica máxima</t>
        </is>
      </c>
      <c r="CG1" s="140" t="inlineStr">
        <is>
          <t>dados da técnica máxima</t>
        </is>
      </c>
      <c r="CH1" s="140" t="inlineStr">
        <is>
          <t>pontos de montagem</t>
        </is>
      </c>
      <c r="CJ1" s="140" t="inlineStr">
        <is>
          <t>degrau do domínio</t>
        </is>
      </c>
      <c r="CK1" s="140" t="inlineStr">
        <is>
          <t>espaços do degrau</t>
        </is>
      </c>
      <c r="CL1" s="140" t="inlineStr">
        <is>
          <t>nível do degrau</t>
        </is>
      </c>
      <c r="CM1" s="140" t="inlineStr">
        <is>
          <t>refino do degrau</t>
        </is>
      </c>
      <c r="CN1" s="140" t="inlineStr">
        <is>
          <t>o degrau abre em</t>
        </is>
      </c>
      <c r="CP1" s="140" t="inlineStr">
        <is>
          <t>forma do pacto</t>
        </is>
      </c>
      <c r="CQ1" s="140" t="inlineStr">
        <is>
          <t>quando se fecha</t>
        </is>
      </c>
      <c r="CS1" s="140" t="inlineStr">
        <is>
          <t>o pacto concede</t>
        </is>
      </c>
      <c r="CU1" s="140" t="inlineStr">
        <is>
          <t>conta de feitiço</t>
        </is>
      </c>
      <c r="CV1" s="140" t="inlineStr">
        <is>
          <t>liberação</t>
        </is>
      </c>
      <c r="CW1" s="140" t="inlineStr">
        <is>
          <t>vaga</t>
        </is>
      </c>
      <c r="CX1" s="140" t="inlineStr">
        <is>
          <t>classe</t>
        </is>
      </c>
      <c r="CY1" s="140" t="inlineStr">
        <is>
          <t>nome</t>
        </is>
      </c>
      <c r="CZ1" s="140" t="inlineStr">
        <is>
          <t>forma</t>
        </is>
      </c>
      <c r="DA1" s="140" t="inlineStr">
        <is>
          <t>m1</t>
        </is>
      </c>
      <c r="DB1" s="140" t="inlineStr">
        <is>
          <t>m2</t>
        </is>
      </c>
      <c r="DC1" s="140" t="inlineStr">
        <is>
          <t>m3</t>
        </is>
      </c>
      <c r="DD1" s="140" t="inlineStr">
        <is>
          <t>m4</t>
        </is>
      </c>
      <c r="DE1" s="140" t="inlineStr">
        <is>
          <t>r1</t>
        </is>
      </c>
      <c r="DF1" s="140" t="inlineStr">
        <is>
          <t>r2</t>
        </is>
      </c>
      <c r="DG1" s="140" t="inlineStr">
        <is>
          <t>tem</t>
        </is>
      </c>
      <c r="DH1" s="140" t="inlineStr">
        <is>
          <t>lf</t>
        </is>
      </c>
      <c r="DI1" s="140" t="inlineStr">
        <is>
          <t>k0</t>
        </is>
      </c>
      <c r="DJ1" s="140" t="inlineStr">
        <is>
          <t>k1</t>
        </is>
      </c>
      <c r="DK1" s="140" t="inlineStr">
        <is>
          <t>k2</t>
        </is>
      </c>
      <c r="DL1" s="140" t="inlineStr">
        <is>
          <t>k3</t>
        </is>
      </c>
      <c r="DM1" s="140" t="inlineStr">
        <is>
          <t>k4</t>
        </is>
      </c>
      <c r="DN1" s="140" t="inlineStr">
        <is>
          <t>x0</t>
        </is>
      </c>
      <c r="DO1" s="140" t="inlineStr">
        <is>
          <t>x1</t>
        </is>
      </c>
      <c r="DP1" s="140" t="inlineStr">
        <is>
          <t>x2</t>
        </is>
      </c>
      <c r="DQ1" s="140" t="inlineStr">
        <is>
          <t>x3</t>
        </is>
      </c>
      <c r="DR1" s="140" t="inlineStr">
        <is>
          <t>x4</t>
        </is>
      </c>
      <c r="DS1" s="140" t="inlineStr">
        <is>
          <t>ct</t>
        </is>
      </c>
      <c r="DT1" s="140" t="inlineStr">
        <is>
          <t>emb</t>
        </is>
      </c>
      <c r="DU1" s="140" t="inlineStr">
        <is>
          <t>tp</t>
        </is>
      </c>
      <c r="DV1" s="140" t="inlineStr">
        <is>
          <t>tr</t>
        </is>
      </c>
      <c r="DW1" s="140" t="inlineStr">
        <is>
          <t>c1</t>
        </is>
      </c>
      <c r="DX1" s="140" t="inlineStr">
        <is>
          <t>c2</t>
        </is>
      </c>
      <c r="DY1" s="140" t="inlineStr">
        <is>
          <t>b1</t>
        </is>
      </c>
      <c r="DZ1" s="140" t="inlineStr">
        <is>
          <t>b2</t>
        </is>
      </c>
      <c r="EA1" s="140" t="inlineStr">
        <is>
          <t>n1</t>
        </is>
      </c>
      <c r="EB1" s="140" t="inlineStr">
        <is>
          <t>n2</t>
        </is>
      </c>
      <c r="EC1" s="140" t="inlineStr">
        <is>
          <t>n3</t>
        </is>
      </c>
      <c r="ED1" s="140" t="inlineStr">
        <is>
          <t>n4</t>
        </is>
      </c>
      <c r="EE1" s="140" t="inlineStr">
        <is>
          <t>n5</t>
        </is>
      </c>
      <c r="EF1" s="140" t="inlineStr">
        <is>
          <t>n6</t>
        </is>
      </c>
      <c r="EG1" s="140" t="inlineStr">
        <is>
          <t>dL</t>
        </is>
      </c>
      <c r="EH1" s="140" t="inlineStr">
        <is>
          <t>dM</t>
        </is>
      </c>
      <c r="EI1" s="140" t="inlineStr">
        <is>
          <t>nm</t>
        </is>
      </c>
      <c r="EJ1" s="140" t="inlineStr">
        <is>
          <t>nr</t>
        </is>
      </c>
      <c r="EK1" s="140" t="inlineStr">
        <is>
          <t>g</t>
        </is>
      </c>
      <c r="EL1" s="140" t="inlineStr">
        <is>
          <t>dv0</t>
        </is>
      </c>
      <c r="EM1" s="140" t="inlineStr">
        <is>
          <t>dv</t>
        </is>
      </c>
      <c r="EN1" s="140" t="inlineStr">
        <is>
          <t>usa</t>
        </is>
      </c>
      <c r="EO1" s="140" t="inlineStr">
        <is>
          <t>perde</t>
        </is>
      </c>
      <c r="EP1" s="140" t="inlineStr">
        <is>
          <t>s</t>
        </is>
      </c>
      <c r="EQ1" s="140" t="inlineStr">
        <is>
          <t>d</t>
        </is>
      </c>
      <c r="ER1" s="140" t="inlineStr">
        <is>
          <t>dep</t>
        </is>
      </c>
      <c r="ES1" s="140" t="inlineStr">
        <is>
          <t>d1</t>
        </is>
      </c>
      <c r="ET1" s="140" t="inlineStr">
        <is>
          <t>d2</t>
        </is>
      </c>
      <c r="EU1" s="140" t="inlineStr">
        <is>
          <t>d3</t>
        </is>
      </c>
      <c r="EV1" s="140" t="inlineStr">
        <is>
          <t>d4</t>
        </is>
      </c>
      <c r="EW1" s="140" t="inlineStr">
        <is>
          <t>d5</t>
        </is>
      </c>
      <c r="EX1" s="140" t="inlineStr">
        <is>
          <t>d6</t>
        </is>
      </c>
      <c r="EY1" s="140" t="inlineStr">
        <is>
          <t>d7</t>
        </is>
      </c>
      <c r="EZ1" s="140" t="inlineStr">
        <is>
          <t>t1</t>
        </is>
      </c>
      <c r="FA1" s="140" t="inlineStr">
        <is>
          <t>t2</t>
        </is>
      </c>
      <c r="FB1" s="140" t="inlineStr">
        <is>
          <t>t3</t>
        </is>
      </c>
      <c r="FC1" s="140" t="inlineStr">
        <is>
          <t>t4</t>
        </is>
      </c>
      <c r="FD1" s="140" t="inlineStr">
        <is>
          <t>t5</t>
        </is>
      </c>
      <c r="FE1" s="140" t="inlineStr">
        <is>
          <t>t6</t>
        </is>
      </c>
      <c r="FF1" s="140" t="inlineStr">
        <is>
          <t>t7</t>
        </is>
      </c>
      <c r="FG1" s="140" t="inlineStr">
        <is>
          <t>erros</t>
        </is>
      </c>
      <c r="FH1" s="140" t="inlineStr">
        <is>
          <t>ne</t>
        </is>
      </c>
      <c r="FI1" s="140" t="inlineStr">
        <is>
          <t>avisos</t>
        </is>
      </c>
      <c r="FJ1" s="140" t="inlineStr">
        <is>
          <t>na</t>
        </is>
      </c>
      <c r="FK1" s="140" t="inlineStr">
        <is>
          <t>estado</t>
        </is>
      </c>
      <c r="FL1" s="140" t="inlineStr">
        <is>
          <t>linha</t>
        </is>
      </c>
      <c r="FM1" s="140" t="inlineStr">
        <is>
          <t>pe</t>
        </is>
      </c>
      <c r="FN1" s="140" t="inlineStr">
        <is>
          <t>acao</t>
        </is>
      </c>
      <c r="FO1" s="140" t="inlineStr">
        <is>
          <t>resolve</t>
        </is>
      </c>
      <c r="FP1" s="140" t="inlineStr">
        <is>
          <t>dano</t>
        </is>
      </c>
      <c r="FQ1" s="140" t="inlineStr">
        <is>
          <t>lg</t>
        </is>
      </c>
      <c r="FR1" s="140" t="inlineStr">
        <is>
          <t>mr</t>
        </is>
      </c>
      <c r="FS1" s="140" t="inlineStr">
        <is>
          <t>q1</t>
        </is>
      </c>
      <c r="FT1" s="140" t="inlineStr">
        <is>
          <t>q2</t>
        </is>
      </c>
      <c r="FU1" s="140" t="inlineStr">
        <is>
          <t>alcance</t>
        </is>
      </c>
      <c r="FV1" s="140" t="inlineStr">
        <is>
          <t>conta</t>
        </is>
      </c>
      <c r="FW1" s="140" t="inlineStr">
        <is>
          <t>ampliar</t>
        </is>
      </c>
      <c r="FX1" s="140" t="inlineStr">
        <is>
          <t>pt1</t>
        </is>
      </c>
      <c r="FY1" s="140" t="inlineStr">
        <is>
          <t>pt2</t>
        </is>
      </c>
      <c r="FZ1" s="140" t="inlineStr">
        <is>
          <t>pt3</t>
        </is>
      </c>
      <c r="GA1" s="140" t="inlineStr">
        <is>
          <t>pt4</t>
        </is>
      </c>
      <c r="GB1" s="140" t="inlineStr">
        <is>
          <t>dt1</t>
        </is>
      </c>
      <c r="GC1" s="140" t="inlineStr">
        <is>
          <t>dt2</t>
        </is>
      </c>
      <c r="GE1" s="140" t="inlineStr">
        <is>
          <t>contas da amaldiçoada</t>
        </is>
      </c>
      <c r="GF1" s="140" t="inlineStr">
        <is>
          <t>valor da amaldiçoada</t>
        </is>
      </c>
      <c r="GH1" s="140" t="inlineStr">
        <is>
          <t>carta de passiva</t>
        </is>
      </c>
      <c r="GI1" s="140" t="inlineStr">
        <is>
          <t>passiva anotada</t>
        </is>
      </c>
      <c r="GJ1" s="140" t="inlineStr">
        <is>
          <t>classe passiva anotada</t>
        </is>
      </c>
      <c r="GK1" s="140" t="inlineStr">
        <is>
          <t>nível que libera</t>
        </is>
      </c>
      <c r="GL1" s="140" t="inlineStr">
        <is>
          <t>o que ela faz</t>
        </is>
      </c>
      <c r="GM1" s="140" t="inlineStr">
        <is>
          <t>classe passiva na carta</t>
        </is>
      </c>
      <c r="GN1" s="140" t="inlineStr">
        <is>
          <t>custo na carta</t>
        </is>
      </c>
      <c r="GP1" s="140" t="inlineStr">
        <is>
          <t>carta de aptidão</t>
        </is>
      </c>
      <c r="GQ1" s="140" t="inlineStr">
        <is>
          <t>aptidão anotada</t>
        </is>
      </c>
      <c r="GR1" s="140" t="inlineStr">
        <is>
          <t>requisito na carta</t>
        </is>
      </c>
      <c r="GS1" s="140" t="inlineStr">
        <is>
          <t>classe passiva na carta de aptidão</t>
        </is>
      </c>
      <c r="GT1" s="140" t="inlineStr">
        <is>
          <t>o refino escala na carta</t>
        </is>
      </c>
      <c r="GU1" s="140" t="inlineStr">
        <is>
          <t>o que a aptidão anotada faz</t>
        </is>
      </c>
      <c r="GW1" s="140" t="inlineStr">
        <is>
          <t>classe 0 anotada</t>
        </is>
      </c>
      <c r="GX1" s="140" t="inlineStr">
        <is>
          <t>forma da classe 0</t>
        </is>
      </c>
      <c r="GY1" s="140" t="inlineStr">
        <is>
          <t>melhoria da classe 0</t>
        </is>
      </c>
      <c r="GZ1" s="140" t="inlineStr">
        <is>
          <t>restrição da classe 0</t>
        </is>
      </c>
      <c r="HA1" s="140" t="inlineStr">
        <is>
          <t>linha da forma</t>
        </is>
      </c>
      <c r="HB1" s="140" t="inlineStr">
        <is>
          <t>dados dela</t>
        </is>
      </c>
      <c r="HC1" s="140" t="inlineStr">
        <is>
          <t>dano na carta</t>
        </is>
      </c>
      <c r="HD1" s="140" t="inlineStr">
        <is>
          <t>alcance na carta</t>
        </is>
      </c>
      <c r="HF1" s="140" t="inlineStr">
        <is>
          <t>salto</t>
        </is>
      </c>
      <c r="HG1" s="140" t="inlineStr">
        <is>
          <t>caixa do salto</t>
        </is>
      </c>
      <c r="HH1" s="140" t="inlineStr">
        <is>
          <t>alvo do salto</t>
        </is>
      </c>
      <c r="HJ1" s="140" t="inlineStr">
        <is>
          <t>caixa calculada</t>
        </is>
      </c>
      <c r="HK1" s="140" t="inlineStr">
        <is>
          <t>o que a caixa mostra</t>
        </is>
      </c>
    </row>
    <row r="2">
      <c r="A2" s="114" t="inlineStr">
        <is>
          <t>Alcance</t>
        </is>
      </c>
      <c r="B2" s="141">
        <f>'FICHA AMALDIÇOADA'!$D$31&amp;""</f>
        <v/>
      </c>
      <c r="C2" s="141">
        <f>IF($B2="Livre",1,0)</f>
        <v/>
      </c>
      <c r="D2" s="141">
        <f>IF($B2="Fechada",1,0)</f>
        <v/>
      </c>
      <c r="F2" s="114" t="inlineStr">
        <is>
          <t>Livre</t>
        </is>
      </c>
      <c r="H2" s="141" t="n">
        <v>1</v>
      </c>
      <c r="I2" s="141" t="n">
        <v>1</v>
      </c>
      <c r="J2" s="141" t="n">
        <v>1</v>
      </c>
      <c r="K2" s="141" t="n">
        <v>2</v>
      </c>
      <c r="L2" s="141" t="n">
        <v>1</v>
      </c>
      <c r="M2" s="141" t="n">
        <v>1</v>
      </c>
      <c r="N2" s="141" t="n">
        <v>1</v>
      </c>
      <c r="O2" s="141" t="n">
        <v>2</v>
      </c>
      <c r="Q2" s="114" t="inlineStr">
        <is>
          <t>Projétil</t>
        </is>
      </c>
      <c r="R2" s="114" t="inlineStr"/>
      <c r="S2" s="141" t="n">
        <v>0</v>
      </c>
      <c r="T2" s="141">
        <f>IF($S2=0,0,$S2+3*IFERROR(VLOOKUP($R2,$A$2:$D$10,3,FALSE),0))</f>
        <v/>
      </c>
      <c r="U2" s="141">
        <f>IFERROR(VLOOKUP($R2,$A$2:$D$10,4,FALSE),0)</f>
        <v/>
      </c>
      <c r="V2" s="141" t="n">
        <v>0</v>
      </c>
      <c r="W2" s="141" t="n">
        <v>0</v>
      </c>
      <c r="X2" s="114" t="inlineStr">
        <is>
          <t>Acerto</t>
        </is>
      </c>
      <c r="Y2" s="141" t="n">
        <v>0</v>
      </c>
      <c r="Z2" s="141" t="n">
        <v>1</v>
      </c>
      <c r="AA2" s="141" t="n">
        <v>0</v>
      </c>
      <c r="AB2" s="141" t="n">
        <v>1</v>
      </c>
      <c r="AC2" s="141" t="n">
        <v>1</v>
      </c>
      <c r="AD2" s="141">
        <f>IF($U2=1,"",$Q2)</f>
        <v/>
      </c>
      <c r="AE2" s="141">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41" t="n">
        <v>1</v>
      </c>
      <c r="AX2" s="141">
        <f>$AW2+3*IFERROR(VLOOKUP($AV2,$A$2:$D$10,3,FALSE),0)</f>
        <v/>
      </c>
      <c r="AY2" s="141">
        <f>IFERROR(VLOOKUP($AV2,$A$2:$D$10,4,FALSE),0)</f>
        <v/>
      </c>
      <c r="AZ2" s="141" t="n">
        <v>0</v>
      </c>
      <c r="BA2" s="141">
        <f>IF($AY2=1,"",$AU2)</f>
        <v/>
      </c>
      <c r="BB2" s="141">
        <f>IF(AND($AW2=1,$AY2=0),$AU2,"")</f>
        <v/>
      </c>
      <c r="BD2" s="114" t="inlineStr">
        <is>
          <t>Corpo a Corpo</t>
        </is>
      </c>
      <c r="BE2" s="114" t="inlineStr">
        <is>
          <t>Corpo a Corpo</t>
        </is>
      </c>
      <c r="BF2" s="141" t="n">
        <v>2</v>
      </c>
      <c r="BG2" s="141" t="n">
        <v>0</v>
      </c>
      <c r="BH2" s="114" t="inlineStr"/>
      <c r="BJ2" s="114" t="inlineStr">
        <is>
          <t>Leitura</t>
        </is>
      </c>
      <c r="BK2" s="141" t="n">
        <v>1</v>
      </c>
      <c r="BL2" s="114" t="inlineStr">
        <is>
          <t>Você identifica a Classe e a Forma de qualquer feitiço conjurado a até 18 m.</t>
        </is>
      </c>
      <c r="BN2" s="141" t="n">
        <v>1</v>
      </c>
      <c r="BO2" s="141"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41" t="n">
        <v>1</v>
      </c>
      <c r="BY2" s="141" t="n">
        <v>2</v>
      </c>
      <c r="BZ2" s="141" t="n">
        <v>2</v>
      </c>
      <c r="CB2" s="141" t="n">
        <v>10</v>
      </c>
      <c r="CD2" s="141" t="n">
        <v>3</v>
      </c>
      <c r="CF2" s="141" t="n">
        <v>17</v>
      </c>
      <c r="CG2" s="141" t="n">
        <v>24</v>
      </c>
      <c r="CH2" s="141" t="n">
        <v>8</v>
      </c>
      <c r="CJ2" s="114" t="inlineStr">
        <is>
          <t>Incompleta</t>
        </is>
      </c>
      <c r="CK2" s="141" t="n">
        <v>2</v>
      </c>
      <c r="CL2" s="141" t="n">
        <v>10</v>
      </c>
      <c r="CM2" s="141" t="n">
        <v>4</v>
      </c>
      <c r="CN2" s="114" t="inlineStr">
        <is>
          <t>Nível 10 e refino 4</t>
        </is>
      </c>
      <c r="CP2" s="114" t="inlineStr">
        <is>
          <t>Permanente</t>
        </is>
      </c>
      <c r="CQ2" s="114" t="inlineStr">
        <is>
          <t>fora de cena, com o mestre lendo</t>
        </is>
      </c>
      <c r="CS2" s="114" t="inlineStr">
        <is>
          <t>Pontos de energia</t>
        </is>
      </c>
      <c r="CU2" s="114" t="inlineStr">
        <is>
          <t>Feitiço 1</t>
        </is>
      </c>
      <c r="CV2" s="141" t="n">
        <v>0</v>
      </c>
      <c r="CW2" s="141" t="n">
        <v>1</v>
      </c>
      <c r="CX2" s="141">
        <f>MAX(1,MIN(7,N('FICHA AMALDIÇOADA'!$D$45)))</f>
        <v/>
      </c>
      <c r="CY2" s="141">
        <f>'FICHA AMALDIÇOADA'!$E$45&amp;""</f>
        <v/>
      </c>
      <c r="CZ2" s="141">
        <f>'FICHA AMALDIÇOADA'!$D$52&amp;""</f>
        <v/>
      </c>
      <c r="DA2" s="141">
        <f>'FICHA AMALDIÇOADA'!$E$54&amp;""</f>
        <v/>
      </c>
      <c r="DB2" s="141">
        <f>'FICHA AMALDIÇOADA'!$E$55&amp;""</f>
        <v/>
      </c>
      <c r="DC2" s="141">
        <f>'FICHA AMALDIÇOADA'!$E$56&amp;""</f>
        <v/>
      </c>
      <c r="DD2" s="141">
        <f>'FICHA AMALDIÇOADA'!$E$57&amp;""</f>
        <v/>
      </c>
      <c r="DE2" s="141">
        <f>'FICHA AMALDIÇOADA'!$E$58&amp;""</f>
        <v/>
      </c>
      <c r="DF2" s="141">
        <f>'FICHA AMALDIÇOADA'!$E$59&amp;""</f>
        <v/>
      </c>
      <c r="DG2" s="141">
        <f>IF($CY2&lt;&gt;"",1,0)</f>
        <v/>
      </c>
      <c r="DH2" s="141">
        <f>IFERROR(MATCH($CZ2,$Q$2:$Q$11,0),0)</f>
        <v/>
      </c>
      <c r="DI2" s="141">
        <f>IF($DH2=0,0,INDEX($T$2:$T$11,$DH2))</f>
        <v/>
      </c>
      <c r="DJ2" s="141">
        <f>IFERROR(VLOOKUP($DA2,$AU$2:$BB$84,4,FALSE),0)</f>
        <v/>
      </c>
      <c r="DK2" s="141">
        <f>IFERROR(VLOOKUP($DB2,$AU$2:$BB$84,4,FALSE),0)</f>
        <v/>
      </c>
      <c r="DL2" s="141">
        <f>IFERROR(VLOOKUP($DC2,$AU$2:$BB$84,4,FALSE),0)</f>
        <v/>
      </c>
      <c r="DM2" s="141">
        <f>IFERROR(VLOOKUP($DD2,$AU$2:$BB$84,4,FALSE),0)</f>
        <v/>
      </c>
      <c r="DN2" s="141">
        <f>IF($DH2=0,0,INDEX($U$2:$U$11,$DH2))</f>
        <v/>
      </c>
      <c r="DO2" s="141">
        <f>IFERROR(VLOOKUP($DA2,$AU$2:$BB$84,5,FALSE),0)</f>
        <v/>
      </c>
      <c r="DP2" s="141">
        <f>IFERROR(VLOOKUP($DB2,$AU$2:$BB$84,5,FALSE),0)</f>
        <v/>
      </c>
      <c r="DQ2" s="141">
        <f>IFERROR(VLOOKUP($DC2,$AU$2:$BB$84,5,FALSE),0)</f>
        <v/>
      </c>
      <c r="DR2" s="141">
        <f>IFERROR(VLOOKUP($DD2,$AU$2:$BB$84,5,FALSE),0)</f>
        <v/>
      </c>
      <c r="DS2" s="141">
        <f>IFERROR(VLOOKUP($DA2,$AU$2:$BB$84,6,FALSE),0)+IFERROR(VLOOKUP($DB2,$AU$2:$BB$84,6,FALSE),0)+IFERROR(VLOOKUP($DC2,$AU$2:$BB$84,6,FALSE),0)+IFERROR(VLOOKUP($DD2,$AU$2:$BB$84,6,FALSE),0)</f>
        <v/>
      </c>
      <c r="DT2" s="141">
        <f>IF($DH2=0,0,INDEX($V$2:$V$11,$DH2))</f>
        <v/>
      </c>
      <c r="DU2" s="141">
        <f>IF($DH2=0,0,INDEX($W$2:$W$11,$DH2))</f>
        <v/>
      </c>
      <c r="DV2" s="141">
        <f>IF($DH2=0,0,INDEX($Y$2:$Y$11,$DH2))</f>
        <v/>
      </c>
      <c r="DW2" s="141">
        <f>IFERROR(VLOOKUP($DE2,$BD$2:$BH$24,3,FALSE),0)</f>
        <v/>
      </c>
      <c r="DX2" s="141">
        <f>IFERROR(VLOOKUP($DF2,$BD$2:$BH$24,3,FALSE),0)</f>
        <v/>
      </c>
      <c r="DY2" s="141">
        <f>IFERROR(VLOOKUP($DE2,$BD$2:$BH$24,2,FALSE),"")</f>
        <v/>
      </c>
      <c r="DZ2" s="141">
        <f>IFERROR(VLOOKUP($DF2,$BD$2:$BH$24,2,FALSE),"")</f>
        <v/>
      </c>
      <c r="EA2" s="141">
        <f>COUNTIF($DI2:$DM2,1)</f>
        <v/>
      </c>
      <c r="EB2" s="141">
        <f>COUNTIF($DI2:$DM2,2)</f>
        <v/>
      </c>
      <c r="EC2" s="141">
        <f>COUNTIF($DI2:$DM2,3)</f>
        <v/>
      </c>
      <c r="ED2" s="141">
        <f>COUNTIF($DI2:$DM2,4)</f>
        <v/>
      </c>
      <c r="EE2" s="141">
        <f>COUNTIF($DI2:$DM2,5)</f>
        <v/>
      </c>
      <c r="EF2" s="141">
        <f>COUNTIF($DI2:$DM2,6)</f>
        <v/>
      </c>
      <c r="EG2" s="141">
        <f>COUNTIF($DW2:$DX2,1)</f>
        <v/>
      </c>
      <c r="EH2" s="141">
        <f>COUNTIF($DW2:$DX2,2)+$DT2</f>
        <v/>
      </c>
      <c r="EI2" s="141">
        <f>COUNTIF($DA2:$DD2,"?*")</f>
        <v/>
      </c>
      <c r="EJ2" s="141">
        <f>COUNTIF($DE2:$DF2,"?*")+$DT2</f>
        <v/>
      </c>
      <c r="EK2" s="141">
        <f>SUMPRODUCT($EA2:$EF2,INDEX($I$2:$N$8,$CX2,0))</f>
        <v/>
      </c>
      <c r="EL2" s="141">
        <f>$EG2*CEILING($CX2/2,1)+$EH2*$CX2</f>
        <v/>
      </c>
      <c r="EM2" s="141">
        <f>MIN(2*$CX2,$EL2)</f>
        <v/>
      </c>
      <c r="EN2" s="141">
        <f>MIN($EM2,$EK2)</f>
        <v/>
      </c>
      <c r="EO2" s="141">
        <f>$EM2-$EN2</f>
        <v/>
      </c>
      <c r="EP2" s="141">
        <f>3*$CX2-$EK2+$EN2</f>
        <v/>
      </c>
      <c r="EQ2" s="141">
        <f>MAX(0,$EP2)+$CV2*$CX2</f>
        <v/>
      </c>
      <c r="ER2" s="141">
        <f>(IF(COUNTIF($DA2:$DD2,"Salto")&gt;0,1,0)+IF(COUNTIF($DA2:$DD2,"Queima")&gt;0,1,0))*FLOOR($EQ2/2,1)</f>
        <v/>
      </c>
      <c r="ES2" s="141">
        <f>MAX(0,3-SUMPRODUCT($EA2:$EF2,$I$2:$N$2)+MIN(2,$EG2*1+$EH2*1,SUMPRODUCT($EA2:$EF2,$I$2:$N$2)))+$CV2*1</f>
        <v/>
      </c>
      <c r="ET2" s="141">
        <f>MAX(0,6-SUMPRODUCT($EA2:$EF2,$I$3:$N$3)+MIN(4,$EG2*1+$EH2*2,SUMPRODUCT($EA2:$EF2,$I$3:$N$3)))+$CV2*2</f>
        <v/>
      </c>
      <c r="EU2" s="141">
        <f>MAX(0,9-SUMPRODUCT($EA2:$EF2,$I$4:$N$4)+MIN(6,$EG2*2+$EH2*3,SUMPRODUCT($EA2:$EF2,$I$4:$N$4)))+$CV2*3</f>
        <v/>
      </c>
      <c r="EV2" s="141">
        <f>MAX(0,12-SUMPRODUCT($EA2:$EF2,$I$5:$N$5)+MIN(8,$EG2*2+$EH2*4,SUMPRODUCT($EA2:$EF2,$I$5:$N$5)))+$CV2*4</f>
        <v/>
      </c>
      <c r="EW2" s="141">
        <f>MAX(0,15-SUMPRODUCT($EA2:$EF2,$I$6:$N$6)+MIN(10,$EG2*3+$EH2*5,SUMPRODUCT($EA2:$EF2,$I$6:$N$6)))+$CV2*5</f>
        <v/>
      </c>
      <c r="EX2" s="141">
        <f>MAX(0,18-SUMPRODUCT($EA2:$EF2,$I$7:$N$7)+MIN(12,$EG2*3+$EH2*6,SUMPRODUCT($EA2:$EF2,$I$7:$N$7)))+$CV2*6</f>
        <v/>
      </c>
      <c r="EY2" s="141">
        <f>MAX(0,21-SUMPRODUCT($EA2:$EF2,$I$8:$N$8)+MIN(14,$EG2*4+$EH2*7,SUMPRODUCT($EA2:$EF2,$I$8:$N$8)))+$CV2*7</f>
        <v/>
      </c>
      <c r="EZ2" s="141">
        <f>IF($DU2=2,3*$ES2&amp;" de vida temp.",IF($DU2=3,"sem dano",IF($ES2=0,IF($DU2=1,"sem cura","sem dano"),IF($DU2=1,"cura ","")&amp;$ES2&amp;"d8")))</f>
        <v/>
      </c>
      <c r="FA2" s="141">
        <f>IF($DU2=2,3*$ET2&amp;" de vida temp.",IF($DU2=3,"sem dano",IF($ET2=0,IF($DU2=1,"sem cura","sem dano"),IF($DU2=1,"cura ","")&amp;$ET2&amp;"d8")))</f>
        <v/>
      </c>
      <c r="FB2" s="141">
        <f>IF($DU2=2,3*$EU2&amp;" de vida temp.",IF($DU2=3,"sem dano",IF($EU2=0,IF($DU2=1,"sem cura","sem dano"),IF($DU2=1,"cura ","")&amp;$EU2&amp;"d8")))</f>
        <v/>
      </c>
      <c r="FC2" s="141">
        <f>IF($DU2=2,3*$EV2&amp;" de vida temp.",IF($DU2=3,"sem dano",IF($EV2=0,IF($DU2=1,"sem cura","sem dano"),IF($DU2=1,"cura ","")&amp;$EV2&amp;"d8")))</f>
        <v/>
      </c>
      <c r="FD2" s="141">
        <f>IF($DU2=2,3*$EW2&amp;" de vida temp.",IF($DU2=3,"sem dano",IF($EW2=0,IF($DU2=1,"sem cura","sem dano"),IF($DU2=1,"cura ","")&amp;$EW2&amp;"d8")))</f>
        <v/>
      </c>
      <c r="FE2" s="141">
        <f>IF($DU2=2,3*$EX2&amp;" de vida temp.",IF($DU2=3,"sem dano",IF($EX2=0,IF($DU2=1,"sem cura","sem dano"),IF($DU2=1,"cura ","")&amp;$EX2&amp;"d8")))</f>
        <v/>
      </c>
      <c r="FF2" s="141">
        <f>IF($DU2=2,3*$EY2&amp;" de vida temp.",IF($DU2=3,"sem dano",IF($EY2=0,IF($DU2=1,"sem cura","sem dano"),IF($DU2=1,"cura ","")&amp;$EY2&amp;"d8")))</f>
        <v/>
      </c>
      <c r="FG2" s="141">
        <f>IF($DG2=0,"",TEXTJOIN(" · ",TRUE,IF(AND($CV2=1,$CW2&gt;$GF$9),"O nível "&amp;$GF$2&amp;" dá "&amp;$GF$9&amp;" Liberação Máxima",""),IF($CX2&gt;$GF$4,"Classe "&amp;$CX2&amp;": o nível "&amp;$GF$2&amp;" libera até a "&amp;$GF$4,""),IF($DN2=1,"Família Fechada: a Forma "&amp;$CZ2,""),IF($DO2=1,"Família Fechada: "&amp;$DA2,""),IF($DP2=1,"Família Fechada: "&amp;$DB2,""),IF($DQ2=1,"Família Fechada: "&amp;$DC2,""),IF($DR2=1,"Família Fechada: "&amp;$DD2,""),IF($EI2&gt;INDEX($O$2:$O$8,$CX2),$EI2&amp;" Melhorias: a Classe "&amp;$CX2&amp;" aceita "&amp;INDEX($O$2:$O$8,$CX2),""),IF($EJ2&gt;2,$EJ2&amp;" Restrições"&amp;IF($DT2=1,", contando a que a Forma "&amp;$CZ2&amp;" já traz","")&amp;": o limite é 2",""),IF($EP2&lt;0,"Orçamento estourado: faltam "&amp;(-$EP2)&amp;IF($EP2&lt;-1," pontos"," ponto"),""),IF(IFERROR(VLOOKUP($DE2,$BD$2:$BH$24,4,FALSE),0)+IFERROR(VLOOKUP($DF2,$BD$2:$BH$24,4,FALSE),0)&gt;1,$DY2&amp;" e "&amp;$DZ2&amp;" são as duas de frequência",""),IF(AND((COUNTIF($DA2:$DD2,"Rápido")+COUNTIF($DY2:$DZ2,"Rápido"))&gt;0,(COUNTIF($DA2:$DD2,"Reação")+COUNTIF($DY2:$DZ2,"Reação"))&gt;0),"Rápido não entra com Reação",""),IF(AND((COUNTIF($DA2:$DD2,"Rápido")+COUNTIF($DY2:$DZ2,"Rápido"))&gt;0,(COUNTIF($DA2:$DD2,"Atrasar")+COUNTIF($DY2:$DZ2,"Atrasar"))&gt;0),"Rápido não entra com Atrasar",""),IF(AND((COUNTIF($DA2:$DD2,"Reação")+COUNTIF($DY2:$DZ2,"Reação"))&gt;0,(COUNTIF($DA2:$DD2,"Atrasar")+COUNTIF($DY2:$DZ2,"Atrasar"))&gt;0),"Reação não entra com Atrasar",""),IF(AND((COUNTIF($DA2:$DD2,"Reação")+COUNTIF($DY2:$DZ2,"Reação"))&gt;0,(COUNTIF($DA2:$DD2,"Parado")+COUNTIF($DY2:$DZ2,"Parado"))&gt;0),"Reação não entra com Parado",""),IF(AND(COUNTIF($DY2:$DZ2,"Corpo a Corpo")&gt;0,$DT2=0,OR($CZ2="Cone",$CZ2="Linha")),"Corpo a Corpo não entra em "&amp;$CZ2,""),IF(AND(COUNTIF($DY2:$DZ2,"Corpo a Corpo")&gt;0,$DT2=1),"A Forma "&amp;$CZ2&amp;" já traz o Corpo a Corpo",""),IF(AND(COUNTIF($DY2:$DZ2,"Tudo ou Nada")&gt;0,$DV2=0),"Tudo ou Nada só entra em feitiço de Teste de Resistência",""),IF(AND(COUNTIF($DA2:$DD2,"Inescapável")&gt;0,OR($EI2&gt;1,$EJ2&gt;0)),"Inescapável não aceita outra peça",""),IF(AND($CV2=1,$CX2&lt;3),"Liberação Máxima é de Classe 3 ou mais",""),IF(AND($CV2=1,OR($DU2=1,$DU2=2)),"Liberação Máxima não serve para cura",""),IF(AND($CV2=1,COUNTIF($DA2:$DD2,"Inescapável")+COUNTIF($DA2:$DD2,"Toca a Alma")&gt;0),"Esta peça não entra numa Liberação Máxima",""),IF($EQ2+$ER2&gt;4*$CX2,($EQ2+$ER2)&amp;" dados somando alvos e repetições: o teto da Classe "&amp;$CX2&amp;" é "&amp;4*$CX2,"")))</f>
        <v/>
      </c>
      <c r="FH2" s="141">
        <f>IF($FG2="",0,(LEN($FG2)-LEN(SUBSTITUTE($FG2," · ","")))/3+1)</f>
        <v/>
      </c>
      <c r="FI2" s="141">
        <f>IF($DG2=0,"",TEXTJOIN(" · ",TRUE,IF($EL2&gt;2*$CX2,"A devolução parou no teto de "&amp;2*$CX2,""),IF($EO2&gt;0,"Devolução perdida: "&amp;$EO2&amp;IF($EO2&gt;1," pontos"," ponto")&amp;" sem peça para pagar",""),IF(AND($DS2&gt;0,$EQ2=0),"Controle sem dano: uma rodada a mais e CD +2",""),IF(AND($DS2&gt;0,$EQ2&gt;0,$EQ2&lt;=$CX2),"Controle com um quarto do teto: uma rodada a mais","")))</f>
        <v/>
      </c>
      <c r="FJ2" s="141">
        <f>IF($FI2="",0,(LEN($FI2)-LEN(SUBSTITUTE($FI2," · ","")))/3+1)</f>
        <v/>
      </c>
      <c r="FK2" s="141">
        <f>IF($DG2=0,IF($EI2+$EJ2-$DT2&gt;0,"Dê um nome",""),IF($FH2&gt;0,"⚠ "&amp;$FH2&amp;IF($FH2&gt;1," erros"," erro"),IF($FJ2&gt;0,"! "&amp;$FJ2&amp;IF($FJ2&gt;1," avisos"," aviso"),"Na regra")))</f>
        <v/>
      </c>
      <c r="FL2" s="141">
        <f>IF($DG2=0,"",IF($FH2+$FJ2=0,"Dentro das regras que a ficha confere",$FG2&amp;IF(AND($FH2&gt;0,$FJ2&gt;0)," · ","")&amp;$FI2))</f>
        <v/>
      </c>
      <c r="FM2" s="141">
        <f>IF($DG2=0,"",IF($CV2=1,CEILING(4.5*$CX2,1),3*$CX2)&amp;" PE")</f>
        <v/>
      </c>
      <c r="FN2" s="141">
        <f>IF($DG2=0,"",IF($CV2=1,"Rodada inteira",IF(COUNTIF($DY2:$DZ2,"Atrasar")&gt;0,IF(COUNTIF($DY2:$DZ2,"Carregar")&gt;0,"Rodada +1 turno","Rodada inteira"),IF(COUNTIF($DA2:$DD2,"Rápido")&gt;0,"Bônus",IF(COUNTIF($DA2:$DD2,"Reação")&gt;0,"Reação","Padrão"))&amp;IF(COUNTIF($DY2:$DZ2,"Carregar")&gt;0," +1 turno",""))))</f>
        <v/>
      </c>
      <c r="FO2" s="141">
        <f>IF(OR($DG2=0,$DH2=0),"",IF(COUNTIF($DA2:$DD2,"Inescapável")&gt;0,"Automático",IF(COUNTIF($DA2:$DD2,"Certeiro")&gt;0,"TR para metade",INDEX($X$2:$X$11,$DH2))))</f>
        <v/>
      </c>
      <c r="FP2" s="141">
        <f>IF(OR($DG2=0,$DH2=0),"",IF(OR($DU2&gt;=2,$EQ2=0),UPPER(LEFT(INDEX($EZ2:$FF2,1,$CX2),1))&amp;MID(INDEX($EZ2:$FF2,1,$CX2),2,99),UPPER(LEFT(INDEX($EZ2:$FF2,1,$CX2),1))&amp;MID(INDEX($EZ2:$FF2,1,$CX2),2,99)&amp;" = "&amp;FLOOR($EQ2*4.5,1)&amp;IF($ER2&gt;0," · +"&amp;$ER2&amp;"d8","")))</f>
        <v/>
      </c>
      <c r="FQ2" s="141">
        <f>COUNTIF($DA2:$DD2,"Longe")+3*COUNTIF($DA2:$DD2,"Muito Longe")</f>
        <v/>
      </c>
      <c r="FR2" s="141">
        <f>COUNTIF($DA2:$DD2,"Maior")+3*COUNTIF($DA2:$DD2,"Muito Maior")</f>
        <v/>
      </c>
      <c r="FS2" s="141">
        <f>IF($DH2=0,0,CHOOSE(1+INDEX($Z$2:$Z$11,$DH2),0,$FQ2,$FR2,$FQ2+$FR2))</f>
        <v/>
      </c>
      <c r="FT2" s="141">
        <f>IF($DH2=0,0,CHOOSE(1+INDEX($AA$2:$AA$11,$DH2),0,$FQ2,$FR2,$FQ2+$FR2))</f>
        <v/>
      </c>
      <c r="FU2" s="141">
        <f>IF(OR($DG2=0,$DH2=0),"",INDEX($AH$2:$AM$31,($DH2-1)*3+IF($CX2&gt;=6,3,2),1+MIN(5,$FS2))&amp;INDEX($AN$2:$AS$31,($DH2-1)*3+IF($CX2&gt;=6,3,2),1+MIN(5,$FT2))&amp;IF(INDEX($AB$2:$AB$11,$DH2)=1,IF(COUNTIF($DA2:$DD2,"Mais Um")&gt;0," · +"&amp;COUNTIF($DA2:$DD2,"Mais Um")&amp;IF(COUNTIF($DA2:$DD2,"Mais Um")&gt;1," alvos"," alvo"),"")&amp;IF(COUNTIF($DA2:$DD2,"Rajada")&gt;0," · "&amp;($CX2+1)&amp;" tiros",""),""))</f>
        <v/>
      </c>
      <c r="FV2" s="141">
        <f>IF($DG2=0,"",3*$CX2&amp;" − "&amp;$EK2&amp;" + "&amp;$EN2&amp;IF($CV2=1," + "&amp;$CX2,"")&amp;" = "&amp;$EQ2&amp;"d8 · teto "&amp;4*$CX2&amp;IF($DT2=1," · a Forma devolve "&amp;$CX2,"")&amp;IF($EO2&gt;0," · perde "&amp;$EO2,""))</f>
        <v/>
      </c>
      <c r="FW2" s="141">
        <f>IF($DG2=0,"",IF($CX2&gt;=$GF$4,"Já está na maior Classe que o nível liberou",TEXTJOIN(" · ",TRUE,IF(AND(2&gt;$CX2,2&lt;=$GF$4),"2 → "&amp;$FA2&amp;", "&amp;IF($CV2=1,9,6)&amp;" PE",""),IF(AND(3&gt;$CX2,3&lt;=$GF$4),"3 → "&amp;$FB2&amp;", "&amp;IF($CV2=1,14,9)&amp;" PE",""),IF(AND(4&gt;$CX2,4&lt;=$GF$4),"4 → "&amp;$FC2&amp;", "&amp;IF($CV2=1,18,12)&amp;" PE",""),IF(AND(5&gt;$CX2,5&lt;=$GF$4),"5 → "&amp;$FD2&amp;", "&amp;IF($CV2=1,23,15)&amp;" PE",""),IF(AND(6&gt;$CX2,6&lt;=$GF$4),"6 → "&amp;$FE2&amp;", "&amp;IF($CV2=1,27,18)&amp;" PE",""),IF(AND(7&gt;$CX2,7&lt;=$GF$4),"7 → "&amp;$FF2&amp;", "&amp;IF($CV2=1,32,21)&amp;" PE",""))))</f>
        <v/>
      </c>
      <c r="FX2" s="141">
        <f>IF(OR($DG2=0,$DJ2=0),"","−"&amp;INDEX($I$2:$N$8,$CX2,$DJ2)&amp;" · "&amp;CHOOSE($DJ2,"Leve","Média","Pesada","Leve · Livre","Média · Livre","Pesada · Livre"))</f>
        <v/>
      </c>
      <c r="FY2" s="141">
        <f>IF(OR($DG2=0,$DK2=0),"","−"&amp;INDEX($I$2:$N$8,$CX2,$DK2)&amp;" · "&amp;CHOOSE($DK2,"Leve","Média","Pesada","Leve · Livre","Média · Livre","Pesada · Livre"))</f>
        <v/>
      </c>
      <c r="FZ2" s="141">
        <f>IF(OR($DG2=0,$DL2=0),"","−"&amp;INDEX($I$2:$N$8,$CX2,$DL2)&amp;" · "&amp;CHOOSE($DL2,"Leve","Média","Pesada","Leve · Livre","Média · Livre","Pesada · Livre"))</f>
        <v/>
      </c>
      <c r="GA2" s="141">
        <f>IF(OR($DG2=0,$DM2=0),"","−"&amp;INDEX($I$2:$N$8,$CX2,$DM2)&amp;" · "&amp;CHOOSE($DM2,"Leve","Média","Pesada","Leve · Livre","Média · Livre","Pesada · Livre"))</f>
        <v/>
      </c>
      <c r="GB2" s="141">
        <f>IF(OR($DG2=0,$DE2=""),"","+"&amp;IF($DW2=1,CEILING($CX2/2,1),$CX2))</f>
        <v/>
      </c>
      <c r="GC2" s="141">
        <f>IF(OR($DG2=0,$DF2=""),"","+"&amp;IF($DX2=1,CEILING($CX2/2,1),$CX2))</f>
        <v/>
      </c>
      <c r="GE2" s="114" t="inlineStr">
        <is>
          <t>nível</t>
        </is>
      </c>
      <c r="GF2" s="141">
        <f>N(FICHA!$AH$11)</f>
        <v/>
      </c>
      <c r="GH2" s="114" t="inlineStr">
        <is>
          <t>Passiva 1</t>
        </is>
      </c>
      <c r="GI2" s="141">
        <f>'FICHA AMALDIÇOADA'!$D$373&amp;""</f>
        <v/>
      </c>
      <c r="GJ2" s="141">
        <f>IFERROR(VLOOKUP($GI2,$BJ$2:$BL$20,2,FALSE),0)</f>
        <v/>
      </c>
      <c r="GK2" s="141">
        <f>IFERROR(VLOOKUP($GJ2,$BN$2:$BO$4,2,FALSE),0)</f>
        <v/>
      </c>
      <c r="GL2" s="141">
        <f>IFERROR(VLOOKUP($GI2,$BJ$2:$BL$20,3,FALSE),"")</f>
        <v/>
      </c>
      <c r="GM2" s="141">
        <f>IF($GJ2=0,"",IF($GK2&gt;$GF$2,"⚠ Nível "&amp;$GK2,"CP "&amp;$GJ2))</f>
        <v/>
      </c>
      <c r="GN2" s="141">
        <f>IF($GJ2=0,"",$GJ2&amp;" esp.")</f>
        <v/>
      </c>
      <c r="GP2" s="114" t="inlineStr">
        <is>
          <t>Aptidão 1</t>
        </is>
      </c>
      <c r="GQ2" s="141">
        <f>'FICHA AMALDIÇOADA'!$D$421&amp;""</f>
        <v/>
      </c>
      <c r="GR2" s="141">
        <f>IF($GQ2="","","Requisito: "&amp;IFERROR(VLOOKUP($GQ2,$BQ$2:$BV$17,2,FALSE),""))</f>
        <v/>
      </c>
      <c r="GS2" s="141">
        <f>IF($GQ2="","",IFERROR(IF(ISNUMBER(VLOOKUP($GQ2,$BQ$2:$BV$17,3,FALSE)),"CP "&amp;VLOOKUP($GQ2,$BQ$2:$BV$17,3,FALSE),VLOOKUP($GQ2,$BQ$2:$BV$17,3,FALSE)),""))</f>
        <v/>
      </c>
      <c r="GT2" s="141">
        <f>IF($GQ2="","",IFERROR(VLOOKUP($GQ2,$BQ$2:$BV$17,4,FALSE),""))</f>
        <v/>
      </c>
      <c r="GU2" s="141">
        <f>IF($GQ2="","",IFERROR(VLOOKUP($GQ2,$BQ$2:$BV$17,5,FALSE),""))</f>
        <v/>
      </c>
      <c r="GW2" s="114" t="inlineStr">
        <is>
          <t>Classe 0 · 1</t>
        </is>
      </c>
      <c r="GX2" s="141">
        <f>'FICHA AMALDIÇOADA'!$F$304&amp;""</f>
        <v/>
      </c>
      <c r="GY2" s="141">
        <f>'FICHA AMALDIÇOADA'!$J$304&amp;""</f>
        <v/>
      </c>
      <c r="GZ2" s="141">
        <f>'FICHA AMALDIÇOADA'!$L$304&amp;""</f>
        <v/>
      </c>
      <c r="HA2" s="141">
        <f>IFERROR(MATCH($GX2,$Q$2:$Q$11,0),0)</f>
        <v/>
      </c>
      <c r="HB2" s="141">
        <f>$GF$11-IF($GY2&lt;&gt;"",1,0)+IF(AND($GY2&lt;&gt;"",$GZ2&lt;&gt;""),1,0)</f>
        <v/>
      </c>
      <c r="HC2" s="141">
        <f>IF(1&gt;$GF$10,"Nível 1",IF($HA2=0,"",IF(INDEX($W$2:$W$11,$HA2)&gt;=2,"—",$HB2&amp;"d8 = "&amp;FLOOR($HB2*4.5,1))))</f>
        <v/>
      </c>
      <c r="HD2" s="141">
        <f>IF(OR(1&gt;$GF$10,$HA2=0),"",INDEX($AH$2:$AM$31,($HA2-1)*3+1,1+IF(OR(AND($GY2="Longe",INDEX($Z$2:$Z$11,$HA2)&lt;&gt;2),AND($GY2="Maior",INDEX($Z$2:$Z$11,$HA2)&gt;=2)),1,0))&amp;INDEX($AN$2:$AS$31,($HA2-1)*3+1,1+IF(AND($GY2="Longe",INDEX($AA$2:$AA$11,$HA2)=1),1,0)))</f>
        <v/>
      </c>
      <c r="HF2" s="114" t="inlineStr">
        <is>
          <t>Técnica</t>
        </is>
      </c>
      <c r="HG2" s="141">
        <f>ADDRESS(ROW('FICHA AMALDIÇOADA'!D7),COLUMN('FICHA AMALDIÇOADA'!D7),4)</f>
        <v/>
      </c>
      <c r="HH2" s="141">
        <f>ADDRESS(ROW('FICHA AMALDIÇOADA'!D9),COLUMN('FICHA AMALDIÇOADA'!D9),4)</f>
        <v/>
      </c>
      <c r="HJ2" s="114" t="inlineStr">
        <is>
          <t>R27</t>
        </is>
      </c>
      <c r="HK2" s="141">
        <f>IF(DADOS_AM!$GF$16=0,"—",IF(IFERROR(VLOOKUP(DADOS_AM!$GF$16,DADOS_AM!$BN$2:$BO$4,2,FALSE),0)&gt;DADOS_AM!$GF$2,"⚠ Nível "&amp;VLOOKUP(DADOS_AM!$GF$16,DADOS_AM!$BN$2:$BO$4,2,FALSE),IF(DADOS_AM!$GF$16&gt;1,DADOS_AM!$GF$16-1,"De graça")))</f>
        <v/>
      </c>
    </row>
    <row r="3">
      <c r="A3" s="114" t="inlineStr">
        <is>
          <t>Área</t>
        </is>
      </c>
      <c r="B3" s="141">
        <f>'FICHA AMALDIÇOADA'!$E$31&amp;""</f>
        <v/>
      </c>
      <c r="C3" s="141">
        <f>IF($B3="Livre",1,0)</f>
        <v/>
      </c>
      <c r="D3" s="141">
        <f>IF($B3="Fechada",1,0)</f>
        <v/>
      </c>
      <c r="F3" s="114" t="inlineStr">
        <is>
          <t>Neutra</t>
        </is>
      </c>
      <c r="H3" s="141" t="n">
        <v>2</v>
      </c>
      <c r="I3" s="141" t="n">
        <v>1</v>
      </c>
      <c r="J3" s="141" t="n">
        <v>2</v>
      </c>
      <c r="K3" s="141" t="n">
        <v>3</v>
      </c>
      <c r="L3" s="141" t="n">
        <v>1</v>
      </c>
      <c r="M3" s="141" t="n">
        <v>1</v>
      </c>
      <c r="N3" s="141" t="n">
        <v>2</v>
      </c>
      <c r="O3" s="141" t="n">
        <v>2</v>
      </c>
      <c r="Q3" s="114" t="inlineStr">
        <is>
          <t>Toque</t>
        </is>
      </c>
      <c r="R3" s="114" t="inlineStr"/>
      <c r="S3" s="141" t="n">
        <v>0</v>
      </c>
      <c r="T3" s="141">
        <f>IF($S3=0,0,$S3+3*IFERROR(VLOOKUP($R3,$A$2:$D$10,3,FALSE),0))</f>
        <v/>
      </c>
      <c r="U3" s="141">
        <f>IFERROR(VLOOKUP($R3,$A$2:$D$10,4,FALSE),0)</f>
        <v/>
      </c>
      <c r="V3" s="141" t="n">
        <v>1</v>
      </c>
      <c r="W3" s="141" t="n">
        <v>0</v>
      </c>
      <c r="X3" s="114" t="inlineStr">
        <is>
          <t>Acerto</t>
        </is>
      </c>
      <c r="Y3" s="141" t="n">
        <v>0</v>
      </c>
      <c r="Z3" s="141" t="n">
        <v>0</v>
      </c>
      <c r="AA3" s="141" t="n">
        <v>0</v>
      </c>
      <c r="AB3" s="141" t="n">
        <v>1</v>
      </c>
      <c r="AC3" s="141" t="n">
        <v>1</v>
      </c>
      <c r="AD3" s="141">
        <f>IF($U3=1,"",$Q3)</f>
        <v/>
      </c>
      <c r="AE3" s="141">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41" t="n">
        <v>2</v>
      </c>
      <c r="AX3" s="141">
        <f>$AW3+3*IFERROR(VLOOKUP($AV3,$A$2:$D$10,3,FALSE),0)</f>
        <v/>
      </c>
      <c r="AY3" s="141">
        <f>IFERROR(VLOOKUP($AV3,$A$2:$D$10,4,FALSE),0)</f>
        <v/>
      </c>
      <c r="AZ3" s="141" t="n">
        <v>0</v>
      </c>
      <c r="BA3" s="141">
        <f>IF($AY3=1,"",$AU3)</f>
        <v/>
      </c>
      <c r="BB3" s="141">
        <f>IF(AND($AW3=1,$AY3=0),$AU3,"")</f>
        <v/>
      </c>
      <c r="BD3" s="114" t="inlineStr">
        <is>
          <t>Atrasar</t>
        </is>
      </c>
      <c r="BE3" s="114" t="inlineStr">
        <is>
          <t>Atrasar</t>
        </is>
      </c>
      <c r="BF3" s="141" t="n">
        <v>2</v>
      </c>
      <c r="BG3" s="141" t="n">
        <v>0</v>
      </c>
      <c r="BH3" s="114" t="inlineStr"/>
      <c r="BJ3" s="114" t="inlineStr">
        <is>
          <t>Instinto</t>
        </is>
      </c>
      <c r="BK3" s="141" t="n">
        <v>1</v>
      </c>
      <c r="BL3" s="114" t="inlineStr">
        <is>
          <t>Você não é pego de surpresa enquanto estiver acordado.</t>
        </is>
      </c>
      <c r="BN3" s="141" t="n">
        <v>2</v>
      </c>
      <c r="BO3" s="141"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41" t="n">
        <v>5</v>
      </c>
      <c r="BY3" s="141" t="n">
        <v>3</v>
      </c>
      <c r="BZ3" s="141" t="n">
        <v>3</v>
      </c>
      <c r="CB3" s="141" t="n">
        <v>20</v>
      </c>
      <c r="CD3" s="141" t="n">
        <v>4</v>
      </c>
      <c r="CF3" s="141" t="n">
        <v>21</v>
      </c>
      <c r="CG3" s="141" t="n">
        <v>28</v>
      </c>
      <c r="CH3" s="141" t="n">
        <v>8</v>
      </c>
      <c r="CJ3" s="114" t="inlineStr">
        <is>
          <t>Completa</t>
        </is>
      </c>
      <c r="CK3" s="141" t="n">
        <v>3</v>
      </c>
      <c r="CL3" s="141" t="n">
        <v>14</v>
      </c>
      <c r="CM3" s="141" t="n">
        <v>5</v>
      </c>
      <c r="CN3" s="114" t="inlineStr">
        <is>
          <t>Nível 14 e refino 5</t>
        </is>
      </c>
      <c r="CP3" s="114" t="inlineStr">
        <is>
          <t>Temporário</t>
        </is>
      </c>
      <c r="CQ3" s="114" t="inlineStr">
        <is>
          <t>Ação Bônus, no seu turno</t>
        </is>
      </c>
      <c r="CS3" s="114" t="inlineStr">
        <is>
          <t>Uma aptidão</t>
        </is>
      </c>
      <c r="CU3" s="114" t="inlineStr">
        <is>
          <t>Feitiço 2</t>
        </is>
      </c>
      <c r="CV3" s="141" t="n">
        <v>0</v>
      </c>
      <c r="CW3" s="141" t="n">
        <v>2</v>
      </c>
      <c r="CX3" s="141">
        <f>MAX(1,MIN(7,N('FICHA AMALDIÇOADA'!$J$45)))</f>
        <v/>
      </c>
      <c r="CY3" s="141">
        <f>'FICHA AMALDIÇOADA'!$K$45&amp;""</f>
        <v/>
      </c>
      <c r="CZ3" s="141">
        <f>'FICHA AMALDIÇOADA'!$J$52&amp;""</f>
        <v/>
      </c>
      <c r="DA3" s="141">
        <f>'FICHA AMALDIÇOADA'!$K$54&amp;""</f>
        <v/>
      </c>
      <c r="DB3" s="141">
        <f>'FICHA AMALDIÇOADA'!$K$55&amp;""</f>
        <v/>
      </c>
      <c r="DC3" s="141">
        <f>'FICHA AMALDIÇOADA'!$K$56&amp;""</f>
        <v/>
      </c>
      <c r="DD3" s="141">
        <f>'FICHA AMALDIÇOADA'!$K$57&amp;""</f>
        <v/>
      </c>
      <c r="DE3" s="141">
        <f>'FICHA AMALDIÇOADA'!$K$58&amp;""</f>
        <v/>
      </c>
      <c r="DF3" s="141">
        <f>'FICHA AMALDIÇOADA'!$K$59&amp;""</f>
        <v/>
      </c>
      <c r="DG3" s="141">
        <f>IF($CY3&lt;&gt;"",1,0)</f>
        <v/>
      </c>
      <c r="DH3" s="141">
        <f>IFERROR(MATCH($CZ3,$Q$2:$Q$11,0),0)</f>
        <v/>
      </c>
      <c r="DI3" s="141">
        <f>IF($DH3=0,0,INDEX($T$2:$T$11,$DH3))</f>
        <v/>
      </c>
      <c r="DJ3" s="141">
        <f>IFERROR(VLOOKUP($DA3,$AU$2:$BB$84,4,FALSE),0)</f>
        <v/>
      </c>
      <c r="DK3" s="141">
        <f>IFERROR(VLOOKUP($DB3,$AU$2:$BB$84,4,FALSE),0)</f>
        <v/>
      </c>
      <c r="DL3" s="141">
        <f>IFERROR(VLOOKUP($DC3,$AU$2:$BB$84,4,FALSE),0)</f>
        <v/>
      </c>
      <c r="DM3" s="141">
        <f>IFERROR(VLOOKUP($DD3,$AU$2:$BB$84,4,FALSE),0)</f>
        <v/>
      </c>
      <c r="DN3" s="141">
        <f>IF($DH3=0,0,INDEX($U$2:$U$11,$DH3))</f>
        <v/>
      </c>
      <c r="DO3" s="141">
        <f>IFERROR(VLOOKUP($DA3,$AU$2:$BB$84,5,FALSE),0)</f>
        <v/>
      </c>
      <c r="DP3" s="141">
        <f>IFERROR(VLOOKUP($DB3,$AU$2:$BB$84,5,FALSE),0)</f>
        <v/>
      </c>
      <c r="DQ3" s="141">
        <f>IFERROR(VLOOKUP($DC3,$AU$2:$BB$84,5,FALSE),0)</f>
        <v/>
      </c>
      <c r="DR3" s="141">
        <f>IFERROR(VLOOKUP($DD3,$AU$2:$BB$84,5,FALSE),0)</f>
        <v/>
      </c>
      <c r="DS3" s="141">
        <f>IFERROR(VLOOKUP($DA3,$AU$2:$BB$84,6,FALSE),0)+IFERROR(VLOOKUP($DB3,$AU$2:$BB$84,6,FALSE),0)+IFERROR(VLOOKUP($DC3,$AU$2:$BB$84,6,FALSE),0)+IFERROR(VLOOKUP($DD3,$AU$2:$BB$84,6,FALSE),0)</f>
        <v/>
      </c>
      <c r="DT3" s="141">
        <f>IF($DH3=0,0,INDEX($V$2:$V$11,$DH3))</f>
        <v/>
      </c>
      <c r="DU3" s="141">
        <f>IF($DH3=0,0,INDEX($W$2:$W$11,$DH3))</f>
        <v/>
      </c>
      <c r="DV3" s="141">
        <f>IF($DH3=0,0,INDEX($Y$2:$Y$11,$DH3))</f>
        <v/>
      </c>
      <c r="DW3" s="141">
        <f>IFERROR(VLOOKUP($DE3,$BD$2:$BH$24,3,FALSE),0)</f>
        <v/>
      </c>
      <c r="DX3" s="141">
        <f>IFERROR(VLOOKUP($DF3,$BD$2:$BH$24,3,FALSE),0)</f>
        <v/>
      </c>
      <c r="DY3" s="141">
        <f>IFERROR(VLOOKUP($DE3,$BD$2:$BH$24,2,FALSE),"")</f>
        <v/>
      </c>
      <c r="DZ3" s="141">
        <f>IFERROR(VLOOKUP($DF3,$BD$2:$BH$24,2,FALSE),"")</f>
        <v/>
      </c>
      <c r="EA3" s="141">
        <f>COUNTIF($DI3:$DM3,1)</f>
        <v/>
      </c>
      <c r="EB3" s="141">
        <f>COUNTIF($DI3:$DM3,2)</f>
        <v/>
      </c>
      <c r="EC3" s="141">
        <f>COUNTIF($DI3:$DM3,3)</f>
        <v/>
      </c>
      <c r="ED3" s="141">
        <f>COUNTIF($DI3:$DM3,4)</f>
        <v/>
      </c>
      <c r="EE3" s="141">
        <f>COUNTIF($DI3:$DM3,5)</f>
        <v/>
      </c>
      <c r="EF3" s="141">
        <f>COUNTIF($DI3:$DM3,6)</f>
        <v/>
      </c>
      <c r="EG3" s="141">
        <f>COUNTIF($DW3:$DX3,1)</f>
        <v/>
      </c>
      <c r="EH3" s="141">
        <f>COUNTIF($DW3:$DX3,2)+$DT3</f>
        <v/>
      </c>
      <c r="EI3" s="141">
        <f>COUNTIF($DA3:$DD3,"?*")</f>
        <v/>
      </c>
      <c r="EJ3" s="141">
        <f>COUNTIF($DE3:$DF3,"?*")+$DT3</f>
        <v/>
      </c>
      <c r="EK3" s="141">
        <f>SUMPRODUCT($EA3:$EF3,INDEX($I$2:$N$8,$CX3,0))</f>
        <v/>
      </c>
      <c r="EL3" s="141">
        <f>$EG3*CEILING($CX3/2,1)+$EH3*$CX3</f>
        <v/>
      </c>
      <c r="EM3" s="141">
        <f>MIN(2*$CX3,$EL3)</f>
        <v/>
      </c>
      <c r="EN3" s="141">
        <f>MIN($EM3,$EK3)</f>
        <v/>
      </c>
      <c r="EO3" s="141">
        <f>$EM3-$EN3</f>
        <v/>
      </c>
      <c r="EP3" s="141">
        <f>3*$CX3-$EK3+$EN3</f>
        <v/>
      </c>
      <c r="EQ3" s="141">
        <f>MAX(0,$EP3)+$CV3*$CX3</f>
        <v/>
      </c>
      <c r="ER3" s="141">
        <f>(IF(COUNTIF($DA3:$DD3,"Salto")&gt;0,1,0)+IF(COUNTIF($DA3:$DD3,"Queima")&gt;0,1,0))*FLOOR($EQ3/2,1)</f>
        <v/>
      </c>
      <c r="ES3" s="141">
        <f>MAX(0,3-SUMPRODUCT($EA3:$EF3,$I$2:$N$2)+MIN(2,$EG3*1+$EH3*1,SUMPRODUCT($EA3:$EF3,$I$2:$N$2)))+$CV3*1</f>
        <v/>
      </c>
      <c r="ET3" s="141">
        <f>MAX(0,6-SUMPRODUCT($EA3:$EF3,$I$3:$N$3)+MIN(4,$EG3*1+$EH3*2,SUMPRODUCT($EA3:$EF3,$I$3:$N$3)))+$CV3*2</f>
        <v/>
      </c>
      <c r="EU3" s="141">
        <f>MAX(0,9-SUMPRODUCT($EA3:$EF3,$I$4:$N$4)+MIN(6,$EG3*2+$EH3*3,SUMPRODUCT($EA3:$EF3,$I$4:$N$4)))+$CV3*3</f>
        <v/>
      </c>
      <c r="EV3" s="141">
        <f>MAX(0,12-SUMPRODUCT($EA3:$EF3,$I$5:$N$5)+MIN(8,$EG3*2+$EH3*4,SUMPRODUCT($EA3:$EF3,$I$5:$N$5)))+$CV3*4</f>
        <v/>
      </c>
      <c r="EW3" s="141">
        <f>MAX(0,15-SUMPRODUCT($EA3:$EF3,$I$6:$N$6)+MIN(10,$EG3*3+$EH3*5,SUMPRODUCT($EA3:$EF3,$I$6:$N$6)))+$CV3*5</f>
        <v/>
      </c>
      <c r="EX3" s="141">
        <f>MAX(0,18-SUMPRODUCT($EA3:$EF3,$I$7:$N$7)+MIN(12,$EG3*3+$EH3*6,SUMPRODUCT($EA3:$EF3,$I$7:$N$7)))+$CV3*6</f>
        <v/>
      </c>
      <c r="EY3" s="141">
        <f>MAX(0,21-SUMPRODUCT($EA3:$EF3,$I$8:$N$8)+MIN(14,$EG3*4+$EH3*7,SUMPRODUCT($EA3:$EF3,$I$8:$N$8)))+$CV3*7</f>
        <v/>
      </c>
      <c r="EZ3" s="141">
        <f>IF($DU3=2,3*$ES3&amp;" de vida temp.",IF($DU3=3,"sem dano",IF($ES3=0,IF($DU3=1,"sem cura","sem dano"),IF($DU3=1,"cura ","")&amp;$ES3&amp;"d8")))</f>
        <v/>
      </c>
      <c r="FA3" s="141">
        <f>IF($DU3=2,3*$ET3&amp;" de vida temp.",IF($DU3=3,"sem dano",IF($ET3=0,IF($DU3=1,"sem cura","sem dano"),IF($DU3=1,"cura ","")&amp;$ET3&amp;"d8")))</f>
        <v/>
      </c>
      <c r="FB3" s="141">
        <f>IF($DU3=2,3*$EU3&amp;" de vida temp.",IF($DU3=3,"sem dano",IF($EU3=0,IF($DU3=1,"sem cura","sem dano"),IF($DU3=1,"cura ","")&amp;$EU3&amp;"d8")))</f>
        <v/>
      </c>
      <c r="FC3" s="141">
        <f>IF($DU3=2,3*$EV3&amp;" de vida temp.",IF($DU3=3,"sem dano",IF($EV3=0,IF($DU3=1,"sem cura","sem dano"),IF($DU3=1,"cura ","")&amp;$EV3&amp;"d8")))</f>
        <v/>
      </c>
      <c r="FD3" s="141">
        <f>IF($DU3=2,3*$EW3&amp;" de vida temp.",IF($DU3=3,"sem dano",IF($EW3=0,IF($DU3=1,"sem cura","sem dano"),IF($DU3=1,"cura ","")&amp;$EW3&amp;"d8")))</f>
        <v/>
      </c>
      <c r="FE3" s="141">
        <f>IF($DU3=2,3*$EX3&amp;" de vida temp.",IF($DU3=3,"sem dano",IF($EX3=0,IF($DU3=1,"sem cura","sem dano"),IF($DU3=1,"cura ","")&amp;$EX3&amp;"d8")))</f>
        <v/>
      </c>
      <c r="FF3" s="141">
        <f>IF($DU3=2,3*$EY3&amp;" de vida temp.",IF($DU3=3,"sem dano",IF($EY3=0,IF($DU3=1,"sem cura","sem dano"),IF($DU3=1,"cura ","")&amp;$EY3&amp;"d8")))</f>
        <v/>
      </c>
      <c r="FG3" s="141">
        <f>IF($DG3=0,"",TEXTJOIN(" · ",TRUE,IF(AND($CV3=1,$CW3&gt;$GF$9),"O nível "&amp;$GF$2&amp;" dá "&amp;$GF$9&amp;" Liberação Máxima",""),IF($CX3&gt;$GF$4,"Classe "&amp;$CX3&amp;": o nível "&amp;$GF$2&amp;" libera até a "&amp;$GF$4,""),IF($DN3=1,"Família Fechada: a Forma "&amp;$CZ3,""),IF($DO3=1,"Família Fechada: "&amp;$DA3,""),IF($DP3=1,"Família Fechada: "&amp;$DB3,""),IF($DQ3=1,"Família Fechada: "&amp;$DC3,""),IF($DR3=1,"Família Fechada: "&amp;$DD3,""),IF($EI3&gt;INDEX($O$2:$O$8,$CX3),$EI3&amp;" Melhorias: a Classe "&amp;$CX3&amp;" aceita "&amp;INDEX($O$2:$O$8,$CX3),""),IF($EJ3&gt;2,$EJ3&amp;" Restrições"&amp;IF($DT3=1,", contando a que a Forma "&amp;$CZ3&amp;" já traz","")&amp;": o limite é 2",""),IF($EP3&lt;0,"Orçamento estourado: faltam "&amp;(-$EP3)&amp;IF($EP3&lt;-1," pontos"," ponto"),""),IF(IFERROR(VLOOKUP($DE3,$BD$2:$BH$24,4,FALSE),0)+IFERROR(VLOOKUP($DF3,$BD$2:$BH$24,4,FALSE),0)&gt;1,$DY3&amp;" e "&amp;$DZ3&amp;" são as duas de frequência",""),IF(AND((COUNTIF($DA3:$DD3,"Rápido")+COUNTIF($DY3:$DZ3,"Rápido"))&gt;0,(COUNTIF($DA3:$DD3,"Reação")+COUNTIF($DY3:$DZ3,"Reação"))&gt;0),"Rápido não entra com Reação",""),IF(AND((COUNTIF($DA3:$DD3,"Rápido")+COUNTIF($DY3:$DZ3,"Rápido"))&gt;0,(COUNTIF($DA3:$DD3,"Atrasar")+COUNTIF($DY3:$DZ3,"Atrasar"))&gt;0),"Rápido não entra com Atrasar",""),IF(AND((COUNTIF($DA3:$DD3,"Reação")+COUNTIF($DY3:$DZ3,"Reação"))&gt;0,(COUNTIF($DA3:$DD3,"Atrasar")+COUNTIF($DY3:$DZ3,"Atrasar"))&gt;0),"Reação não entra com Atrasar",""),IF(AND((COUNTIF($DA3:$DD3,"Reação")+COUNTIF($DY3:$DZ3,"Reação"))&gt;0,(COUNTIF($DA3:$DD3,"Parado")+COUNTIF($DY3:$DZ3,"Parado"))&gt;0),"Reação não entra com Parado",""),IF(AND(COUNTIF($DY3:$DZ3,"Corpo a Corpo")&gt;0,$DT3=0,OR($CZ3="Cone",$CZ3="Linha")),"Corpo a Corpo não entra em "&amp;$CZ3,""),IF(AND(COUNTIF($DY3:$DZ3,"Corpo a Corpo")&gt;0,$DT3=1),"A Forma "&amp;$CZ3&amp;" já traz o Corpo a Corpo",""),IF(AND(COUNTIF($DY3:$DZ3,"Tudo ou Nada")&gt;0,$DV3=0),"Tudo ou Nada só entra em feitiço de Teste de Resistência",""),IF(AND(COUNTIF($DA3:$DD3,"Inescapável")&gt;0,OR($EI3&gt;1,$EJ3&gt;0)),"Inescapável não aceita outra peça",""),IF(AND($CV3=1,$CX3&lt;3),"Liberação Máxima é de Classe 3 ou mais",""),IF(AND($CV3=1,OR($DU3=1,$DU3=2)),"Liberação Máxima não serve para cura",""),IF(AND($CV3=1,COUNTIF($DA3:$DD3,"Inescapável")+COUNTIF($DA3:$DD3,"Toca a Alma")&gt;0),"Esta peça não entra numa Liberação Máxima",""),IF($EQ3+$ER3&gt;4*$CX3,($EQ3+$ER3)&amp;" dados somando alvos e repetições: o teto da Classe "&amp;$CX3&amp;" é "&amp;4*$CX3,"")))</f>
        <v/>
      </c>
      <c r="FH3" s="141">
        <f>IF($FG3="",0,(LEN($FG3)-LEN(SUBSTITUTE($FG3," · ","")))/3+1)</f>
        <v/>
      </c>
      <c r="FI3" s="141">
        <f>IF($DG3=0,"",TEXTJOIN(" · ",TRUE,IF($EL3&gt;2*$CX3,"A devolução parou no teto de "&amp;2*$CX3,""),IF($EO3&gt;0,"Devolução perdida: "&amp;$EO3&amp;IF($EO3&gt;1," pontos"," ponto")&amp;" sem peça para pagar",""),IF(AND($DS3&gt;0,$EQ3=0),"Controle sem dano: uma rodada a mais e CD +2",""),IF(AND($DS3&gt;0,$EQ3&gt;0,$EQ3&lt;=$CX3),"Controle com um quarto do teto: uma rodada a mais","")))</f>
        <v/>
      </c>
      <c r="FJ3" s="141">
        <f>IF($FI3="",0,(LEN($FI3)-LEN(SUBSTITUTE($FI3," · ","")))/3+1)</f>
        <v/>
      </c>
      <c r="FK3" s="141">
        <f>IF($DG3=0,IF($EI3+$EJ3-$DT3&gt;0,"Dê um nome",""),IF($FH3&gt;0,"⚠ "&amp;$FH3&amp;IF($FH3&gt;1," erros"," erro"),IF($FJ3&gt;0,"! "&amp;$FJ3&amp;IF($FJ3&gt;1," avisos"," aviso"),"Na regra")))</f>
        <v/>
      </c>
      <c r="FL3" s="141">
        <f>IF($DG3=0,"",IF($FH3+$FJ3=0,"Dentro das regras que a ficha confere",$FG3&amp;IF(AND($FH3&gt;0,$FJ3&gt;0)," · ","")&amp;$FI3))</f>
        <v/>
      </c>
      <c r="FM3" s="141">
        <f>IF($DG3=0,"",IF($CV3=1,CEILING(4.5*$CX3,1),3*$CX3)&amp;" PE")</f>
        <v/>
      </c>
      <c r="FN3" s="141">
        <f>IF($DG3=0,"",IF($CV3=1,"Rodada inteira",IF(COUNTIF($DY3:$DZ3,"Atrasar")&gt;0,IF(COUNTIF($DY3:$DZ3,"Carregar")&gt;0,"Rodada +1 turno","Rodada inteira"),IF(COUNTIF($DA3:$DD3,"Rápido")&gt;0,"Bônus",IF(COUNTIF($DA3:$DD3,"Reação")&gt;0,"Reação","Padrão"))&amp;IF(COUNTIF($DY3:$DZ3,"Carregar")&gt;0," +1 turno",""))))</f>
        <v/>
      </c>
      <c r="FO3" s="141">
        <f>IF(OR($DG3=0,$DH3=0),"",IF(COUNTIF($DA3:$DD3,"Inescapável")&gt;0,"Automático",IF(COUNTIF($DA3:$DD3,"Certeiro")&gt;0,"TR para metade",INDEX($X$2:$X$11,$DH3))))</f>
        <v/>
      </c>
      <c r="FP3" s="141">
        <f>IF(OR($DG3=0,$DH3=0),"",IF(OR($DU3&gt;=2,$EQ3=0),UPPER(LEFT(INDEX($EZ3:$FF3,1,$CX3),1))&amp;MID(INDEX($EZ3:$FF3,1,$CX3),2,99),UPPER(LEFT(INDEX($EZ3:$FF3,1,$CX3),1))&amp;MID(INDEX($EZ3:$FF3,1,$CX3),2,99)&amp;" = "&amp;FLOOR($EQ3*4.5,1)&amp;IF($ER3&gt;0," · +"&amp;$ER3&amp;"d8","")))</f>
        <v/>
      </c>
      <c r="FQ3" s="141">
        <f>COUNTIF($DA3:$DD3,"Longe")+3*COUNTIF($DA3:$DD3,"Muito Longe")</f>
        <v/>
      </c>
      <c r="FR3" s="141">
        <f>COUNTIF($DA3:$DD3,"Maior")+3*COUNTIF($DA3:$DD3,"Muito Maior")</f>
        <v/>
      </c>
      <c r="FS3" s="141">
        <f>IF($DH3=0,0,CHOOSE(1+INDEX($Z$2:$Z$11,$DH3),0,$FQ3,$FR3,$FQ3+$FR3))</f>
        <v/>
      </c>
      <c r="FT3" s="141">
        <f>IF($DH3=0,0,CHOOSE(1+INDEX($AA$2:$AA$11,$DH3),0,$FQ3,$FR3,$FQ3+$FR3))</f>
        <v/>
      </c>
      <c r="FU3" s="141">
        <f>IF(OR($DG3=0,$DH3=0),"",INDEX($AH$2:$AM$31,($DH3-1)*3+IF($CX3&gt;=6,3,2),1+MIN(5,$FS3))&amp;INDEX($AN$2:$AS$31,($DH3-1)*3+IF($CX3&gt;=6,3,2),1+MIN(5,$FT3))&amp;IF(INDEX($AB$2:$AB$11,$DH3)=1,IF(COUNTIF($DA3:$DD3,"Mais Um")&gt;0," · +"&amp;COUNTIF($DA3:$DD3,"Mais Um")&amp;IF(COUNTIF($DA3:$DD3,"Mais Um")&gt;1," alvos"," alvo"),"")&amp;IF(COUNTIF($DA3:$DD3,"Rajada")&gt;0," · "&amp;($CX3+1)&amp;" tiros",""),""))</f>
        <v/>
      </c>
      <c r="FV3" s="141">
        <f>IF($DG3=0,"",3*$CX3&amp;" − "&amp;$EK3&amp;" + "&amp;$EN3&amp;IF($CV3=1," + "&amp;$CX3,"")&amp;" = "&amp;$EQ3&amp;"d8 · teto "&amp;4*$CX3&amp;IF($DT3=1," · a Forma devolve "&amp;$CX3,"")&amp;IF($EO3&gt;0," · perde "&amp;$EO3,""))</f>
        <v/>
      </c>
      <c r="FW3" s="141">
        <f>IF($DG3=0,"",IF($CX3&gt;=$GF$4,"Já está na maior Classe que o nível liberou",TEXTJOIN(" · ",TRUE,IF(AND(2&gt;$CX3,2&lt;=$GF$4),"2 → "&amp;$FA3&amp;", "&amp;IF($CV3=1,9,6)&amp;" PE",""),IF(AND(3&gt;$CX3,3&lt;=$GF$4),"3 → "&amp;$FB3&amp;", "&amp;IF($CV3=1,14,9)&amp;" PE",""),IF(AND(4&gt;$CX3,4&lt;=$GF$4),"4 → "&amp;$FC3&amp;", "&amp;IF($CV3=1,18,12)&amp;" PE",""),IF(AND(5&gt;$CX3,5&lt;=$GF$4),"5 → "&amp;$FD3&amp;", "&amp;IF($CV3=1,23,15)&amp;" PE",""),IF(AND(6&gt;$CX3,6&lt;=$GF$4),"6 → "&amp;$FE3&amp;", "&amp;IF($CV3=1,27,18)&amp;" PE",""),IF(AND(7&gt;$CX3,7&lt;=$GF$4),"7 → "&amp;$FF3&amp;", "&amp;IF($CV3=1,32,21)&amp;" PE",""))))</f>
        <v/>
      </c>
      <c r="FX3" s="141">
        <f>IF(OR($DG3=0,$DJ3=0),"","−"&amp;INDEX($I$2:$N$8,$CX3,$DJ3)&amp;" · "&amp;CHOOSE($DJ3,"Leve","Média","Pesada","Leve · Livre","Média · Livre","Pesada · Livre"))</f>
        <v/>
      </c>
      <c r="FY3" s="141">
        <f>IF(OR($DG3=0,$DK3=0),"","−"&amp;INDEX($I$2:$N$8,$CX3,$DK3)&amp;" · "&amp;CHOOSE($DK3,"Leve","Média","Pesada","Leve · Livre","Média · Livre","Pesada · Livre"))</f>
        <v/>
      </c>
      <c r="FZ3" s="141">
        <f>IF(OR($DG3=0,$DL3=0),"","−"&amp;INDEX($I$2:$N$8,$CX3,$DL3)&amp;" · "&amp;CHOOSE($DL3,"Leve","Média","Pesada","Leve · Livre","Média · Livre","Pesada · Livre"))</f>
        <v/>
      </c>
      <c r="GA3" s="141">
        <f>IF(OR($DG3=0,$DM3=0),"","−"&amp;INDEX($I$2:$N$8,$CX3,$DM3)&amp;" · "&amp;CHOOSE($DM3,"Leve","Média","Pesada","Leve · Livre","Média · Livre","Pesada · Livre"))</f>
        <v/>
      </c>
      <c r="GB3" s="141">
        <f>IF(OR($DG3=0,$DE3=""),"","+"&amp;IF($DW3=1,CEILING($CX3/2,1),$CX3))</f>
        <v/>
      </c>
      <c r="GC3" s="141">
        <f>IF(OR($DG3=0,$DF3=""),"","+"&amp;IF($DX3=1,CEILING($CX3/2,1),$CX3))</f>
        <v/>
      </c>
      <c r="GE3" s="114" t="inlineStr">
        <is>
          <t>maestria</t>
        </is>
      </c>
      <c r="GF3" s="141">
        <f>N(FICHA!$D$51)</f>
        <v/>
      </c>
      <c r="GH3" s="114" t="inlineStr">
        <is>
          <t>Passiva 2</t>
        </is>
      </c>
      <c r="GI3" s="141">
        <f>'FICHA AMALDIÇOADA'!$J$373&amp;""</f>
        <v/>
      </c>
      <c r="GJ3" s="141">
        <f>IFERROR(VLOOKUP($GI3,$BJ$2:$BL$20,2,FALSE),0)</f>
        <v/>
      </c>
      <c r="GK3" s="141">
        <f>IFERROR(VLOOKUP($GJ3,$BN$2:$BO$4,2,FALSE),0)</f>
        <v/>
      </c>
      <c r="GL3" s="141">
        <f>IFERROR(VLOOKUP($GI3,$BJ$2:$BL$20,3,FALSE),"")</f>
        <v/>
      </c>
      <c r="GM3" s="141">
        <f>IF($GJ3=0,"",IF($GK3&gt;$GF$2,"⚠ Nível "&amp;$GK3,"CP "&amp;$GJ3))</f>
        <v/>
      </c>
      <c r="GN3" s="141">
        <f>IF($GJ3=0,"",$GJ3&amp;" esp.")</f>
        <v/>
      </c>
      <c r="GP3" s="114" t="inlineStr">
        <is>
          <t>Aptidão 2</t>
        </is>
      </c>
      <c r="GQ3" s="141">
        <f>'FICHA AMALDIÇOADA'!$J$421&amp;""</f>
        <v/>
      </c>
      <c r="GR3" s="141">
        <f>IF($GQ3="","","Requisito: "&amp;IFERROR(VLOOKUP($GQ3,$BQ$2:$BV$17,2,FALSE),""))</f>
        <v/>
      </c>
      <c r="GS3" s="141">
        <f>IF($GQ3="","",IFERROR(IF(ISNUMBER(VLOOKUP($GQ3,$BQ$2:$BV$17,3,FALSE)),"CP "&amp;VLOOKUP($GQ3,$BQ$2:$BV$17,3,FALSE),VLOOKUP($GQ3,$BQ$2:$BV$17,3,FALSE)),""))</f>
        <v/>
      </c>
      <c r="GT3" s="141">
        <f>IF($GQ3="","",IFERROR(VLOOKUP($GQ3,$BQ$2:$BV$17,4,FALSE),""))</f>
        <v/>
      </c>
      <c r="GU3" s="141">
        <f>IF($GQ3="","",IFERROR(VLOOKUP($GQ3,$BQ$2:$BV$17,5,FALSE),""))</f>
        <v/>
      </c>
      <c r="GW3" s="114" t="inlineStr">
        <is>
          <t>Classe 0 · 2</t>
        </is>
      </c>
      <c r="GX3" s="141">
        <f>'FICHA AMALDIÇOADA'!$F$305&amp;""</f>
        <v/>
      </c>
      <c r="GY3" s="141">
        <f>'FICHA AMALDIÇOADA'!$J$305&amp;""</f>
        <v/>
      </c>
      <c r="GZ3" s="141">
        <f>'FICHA AMALDIÇOADA'!$L$305&amp;""</f>
        <v/>
      </c>
      <c r="HA3" s="141">
        <f>IFERROR(MATCH($GX3,$Q$2:$Q$11,0),0)</f>
        <v/>
      </c>
      <c r="HB3" s="141">
        <f>$GF$11-IF($GY3&lt;&gt;"",1,0)+IF(AND($GY3&lt;&gt;"",$GZ3&lt;&gt;""),1,0)</f>
        <v/>
      </c>
      <c r="HC3" s="141">
        <f>IF(2&gt;$GF$10,"Nível 1",IF($HA3=0,"",IF(INDEX($W$2:$W$11,$HA3)&gt;=2,"—",$HB3&amp;"d8 = "&amp;FLOOR($HB3*4.5,1))))</f>
        <v/>
      </c>
      <c r="HD3" s="141">
        <f>IF(OR(2&gt;$GF$10,$HA3=0),"",INDEX($AH$2:$AM$31,($HA3-1)*3+1,1+IF(OR(AND($GY3="Longe",INDEX($Z$2:$Z$11,$HA3)&lt;&gt;2),AND($GY3="Maior",INDEX($Z$2:$Z$11,$HA3)&gt;=2)),1,0))&amp;INDEX($AN$2:$AS$31,($HA3-1)*3+1,1+IF(AND($GY3="Longe",INDEX($AA$2:$AA$11,$HA3)=1),1,0)))</f>
        <v/>
      </c>
      <c r="HF3" s="114" t="inlineStr">
        <is>
          <t>Orçamento</t>
        </is>
      </c>
      <c r="HG3" s="141">
        <f>ADDRESS(ROW('FICHA AMALDIÇOADA'!E7),COLUMN('FICHA AMALDIÇOADA'!E7),4)</f>
        <v/>
      </c>
      <c r="HH3" s="141">
        <f>ADDRESS(ROW('FICHA AMALDIÇOADA'!D33),COLUMN('FICHA AMALDIÇOADA'!D33),4)</f>
        <v/>
      </c>
      <c r="HJ3" s="114" t="inlineStr">
        <is>
          <t>Q31</t>
        </is>
      </c>
      <c r="HK3" s="141">
        <f>IF(OR(DADOS_AM!$GF$30&lt;&gt;2,DADOS_AM!$GF$31&lt;&gt;3),"⚠ ","")&amp;DADOS_AM!$GF$30&amp;" de 2 · "&amp;DADOS_AM!$GF$31&amp;" de 3"</f>
        <v/>
      </c>
    </row>
    <row r="4">
      <c r="A4" s="114" t="inlineStr">
        <is>
          <t>Mira</t>
        </is>
      </c>
      <c r="B4" s="141">
        <f>'FICHA AMALDIÇOADA'!$F$31&amp;""</f>
        <v/>
      </c>
      <c r="C4" s="141">
        <f>IF($B4="Livre",1,0)</f>
        <v/>
      </c>
      <c r="D4" s="141">
        <f>IF($B4="Fechada",1,0)</f>
        <v/>
      </c>
      <c r="F4" s="114" t="inlineStr">
        <is>
          <t>Fechada</t>
        </is>
      </c>
      <c r="H4" s="141" t="n">
        <v>3</v>
      </c>
      <c r="I4" s="141" t="n">
        <v>2</v>
      </c>
      <c r="J4" s="141" t="n">
        <v>3</v>
      </c>
      <c r="K4" s="141" t="n">
        <v>5</v>
      </c>
      <c r="L4" s="141" t="n">
        <v>1</v>
      </c>
      <c r="M4" s="141" t="n">
        <v>1</v>
      </c>
      <c r="N4" s="141" t="n">
        <v>3</v>
      </c>
      <c r="O4" s="141" t="n">
        <v>3</v>
      </c>
      <c r="Q4" s="114" t="inlineStr">
        <is>
          <t>Explosão</t>
        </is>
      </c>
      <c r="R4" s="114" t="inlineStr">
        <is>
          <t>Área</t>
        </is>
      </c>
      <c r="S4" s="141" t="n">
        <v>1</v>
      </c>
      <c r="T4" s="141">
        <f>IF($S4=0,0,$S4+3*IFERROR(VLOOKUP($R4,$A$2:$D$10,3,FALSE),0))</f>
        <v/>
      </c>
      <c r="U4" s="141">
        <f>IFERROR(VLOOKUP($R4,$A$2:$D$10,4,FALSE),0)</f>
        <v/>
      </c>
      <c r="V4" s="141" t="n">
        <v>0</v>
      </c>
      <c r="W4" s="141" t="n">
        <v>0</v>
      </c>
      <c r="X4" s="114" t="inlineStr">
        <is>
          <t>TR, metade</t>
        </is>
      </c>
      <c r="Y4" s="141" t="n">
        <v>1</v>
      </c>
      <c r="Z4" s="141" t="n">
        <v>2</v>
      </c>
      <c r="AA4" s="141" t="n">
        <v>1</v>
      </c>
      <c r="AB4" s="141" t="n">
        <v>0</v>
      </c>
      <c r="AC4" s="141" t="n">
        <v>1</v>
      </c>
      <c r="AD4" s="141">
        <f>IF($U4=1,"",$Q4)</f>
        <v/>
      </c>
      <c r="AE4" s="141">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41" t="n">
        <v>3</v>
      </c>
      <c r="AX4" s="141">
        <f>$AW4+3*IFERROR(VLOOKUP($AV4,$A$2:$D$10,3,FALSE),0)</f>
        <v/>
      </c>
      <c r="AY4" s="141">
        <f>IFERROR(VLOOKUP($AV4,$A$2:$D$10,4,FALSE),0)</f>
        <v/>
      </c>
      <c r="AZ4" s="141" t="n">
        <v>0</v>
      </c>
      <c r="BA4" s="141">
        <f>IF($AY4=1,"",$AU4)</f>
        <v/>
      </c>
      <c r="BB4" s="141">
        <f>IF(AND($AW4=1,$AY4=0),$AU4,"")</f>
        <v/>
      </c>
      <c r="BD4" s="114" t="inlineStr">
        <is>
          <t>Parado</t>
        </is>
      </c>
      <c r="BE4" s="114" t="inlineStr">
        <is>
          <t>Parado</t>
        </is>
      </c>
      <c r="BF4" s="141" t="n">
        <v>1</v>
      </c>
      <c r="BG4" s="141" t="n">
        <v>0</v>
      </c>
      <c r="BH4" s="114" t="inlineStr">
        <is>
          <t>Parado</t>
        </is>
      </c>
      <c r="BJ4" s="114" t="inlineStr">
        <is>
          <t>Raiz</t>
        </is>
      </c>
      <c r="BK4" s="141" t="n">
        <v>1</v>
      </c>
      <c r="BL4" s="114" t="inlineStr">
        <is>
          <t>Você não é movido à força nem derrubado contra a sua vontade.</t>
        </is>
      </c>
      <c r="BN4" s="141" t="n">
        <v>3</v>
      </c>
      <c r="BO4" s="141"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41" t="n">
        <v>11</v>
      </c>
      <c r="BY4" s="141" t="n">
        <v>4</v>
      </c>
      <c r="BZ4" s="141" t="n">
        <v>4</v>
      </c>
      <c r="CB4" s="141" t="n">
        <v>30</v>
      </c>
      <c r="CD4" s="141" t="n">
        <v>5</v>
      </c>
      <c r="CF4" s="141" t="n">
        <v>26</v>
      </c>
      <c r="CG4" s="141" t="n">
        <v>32</v>
      </c>
      <c r="CH4" s="141" t="n">
        <v>12</v>
      </c>
      <c r="CJ4" s="114" t="inlineStr">
        <is>
          <t>Sem Barreiras</t>
        </is>
      </c>
      <c r="CK4" s="141" t="n">
        <v>5</v>
      </c>
      <c r="CL4" s="141" t="n">
        <v>0</v>
      </c>
      <c r="CM4" s="141"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41" t="n">
        <v>0</v>
      </c>
      <c r="CW4" s="141" t="n">
        <v>3</v>
      </c>
      <c r="CX4" s="141">
        <f>MAX(1,MIN(7,N('FICHA AMALDIÇOADA'!$P$45)))</f>
        <v/>
      </c>
      <c r="CY4" s="141">
        <f>'FICHA AMALDIÇOADA'!$Q$45&amp;""</f>
        <v/>
      </c>
      <c r="CZ4" s="141">
        <f>'FICHA AMALDIÇOADA'!$P$52&amp;""</f>
        <v/>
      </c>
      <c r="DA4" s="141">
        <f>'FICHA AMALDIÇOADA'!$Q$54&amp;""</f>
        <v/>
      </c>
      <c r="DB4" s="141">
        <f>'FICHA AMALDIÇOADA'!$Q$55&amp;""</f>
        <v/>
      </c>
      <c r="DC4" s="141">
        <f>'FICHA AMALDIÇOADA'!$Q$56&amp;""</f>
        <v/>
      </c>
      <c r="DD4" s="141">
        <f>'FICHA AMALDIÇOADA'!$Q$57&amp;""</f>
        <v/>
      </c>
      <c r="DE4" s="141">
        <f>'FICHA AMALDIÇOADA'!$Q$58&amp;""</f>
        <v/>
      </c>
      <c r="DF4" s="141">
        <f>'FICHA AMALDIÇOADA'!$Q$59&amp;""</f>
        <v/>
      </c>
      <c r="DG4" s="141">
        <f>IF($CY4&lt;&gt;"",1,0)</f>
        <v/>
      </c>
      <c r="DH4" s="141">
        <f>IFERROR(MATCH($CZ4,$Q$2:$Q$11,0),0)</f>
        <v/>
      </c>
      <c r="DI4" s="141">
        <f>IF($DH4=0,0,INDEX($T$2:$T$11,$DH4))</f>
        <v/>
      </c>
      <c r="DJ4" s="141">
        <f>IFERROR(VLOOKUP($DA4,$AU$2:$BB$84,4,FALSE),0)</f>
        <v/>
      </c>
      <c r="DK4" s="141">
        <f>IFERROR(VLOOKUP($DB4,$AU$2:$BB$84,4,FALSE),0)</f>
        <v/>
      </c>
      <c r="DL4" s="141">
        <f>IFERROR(VLOOKUP($DC4,$AU$2:$BB$84,4,FALSE),0)</f>
        <v/>
      </c>
      <c r="DM4" s="141">
        <f>IFERROR(VLOOKUP($DD4,$AU$2:$BB$84,4,FALSE),0)</f>
        <v/>
      </c>
      <c r="DN4" s="141">
        <f>IF($DH4=0,0,INDEX($U$2:$U$11,$DH4))</f>
        <v/>
      </c>
      <c r="DO4" s="141">
        <f>IFERROR(VLOOKUP($DA4,$AU$2:$BB$84,5,FALSE),0)</f>
        <v/>
      </c>
      <c r="DP4" s="141">
        <f>IFERROR(VLOOKUP($DB4,$AU$2:$BB$84,5,FALSE),0)</f>
        <v/>
      </c>
      <c r="DQ4" s="141">
        <f>IFERROR(VLOOKUP($DC4,$AU$2:$BB$84,5,FALSE),0)</f>
        <v/>
      </c>
      <c r="DR4" s="141">
        <f>IFERROR(VLOOKUP($DD4,$AU$2:$BB$84,5,FALSE),0)</f>
        <v/>
      </c>
      <c r="DS4" s="141">
        <f>IFERROR(VLOOKUP($DA4,$AU$2:$BB$84,6,FALSE),0)+IFERROR(VLOOKUP($DB4,$AU$2:$BB$84,6,FALSE),0)+IFERROR(VLOOKUP($DC4,$AU$2:$BB$84,6,FALSE),0)+IFERROR(VLOOKUP($DD4,$AU$2:$BB$84,6,FALSE),0)</f>
        <v/>
      </c>
      <c r="DT4" s="141">
        <f>IF($DH4=0,0,INDEX($V$2:$V$11,$DH4))</f>
        <v/>
      </c>
      <c r="DU4" s="141">
        <f>IF($DH4=0,0,INDEX($W$2:$W$11,$DH4))</f>
        <v/>
      </c>
      <c r="DV4" s="141">
        <f>IF($DH4=0,0,INDEX($Y$2:$Y$11,$DH4))</f>
        <v/>
      </c>
      <c r="DW4" s="141">
        <f>IFERROR(VLOOKUP($DE4,$BD$2:$BH$24,3,FALSE),0)</f>
        <v/>
      </c>
      <c r="DX4" s="141">
        <f>IFERROR(VLOOKUP($DF4,$BD$2:$BH$24,3,FALSE),0)</f>
        <v/>
      </c>
      <c r="DY4" s="141">
        <f>IFERROR(VLOOKUP($DE4,$BD$2:$BH$24,2,FALSE),"")</f>
        <v/>
      </c>
      <c r="DZ4" s="141">
        <f>IFERROR(VLOOKUP($DF4,$BD$2:$BH$24,2,FALSE),"")</f>
        <v/>
      </c>
      <c r="EA4" s="141">
        <f>COUNTIF($DI4:$DM4,1)</f>
        <v/>
      </c>
      <c r="EB4" s="141">
        <f>COUNTIF($DI4:$DM4,2)</f>
        <v/>
      </c>
      <c r="EC4" s="141">
        <f>COUNTIF($DI4:$DM4,3)</f>
        <v/>
      </c>
      <c r="ED4" s="141">
        <f>COUNTIF($DI4:$DM4,4)</f>
        <v/>
      </c>
      <c r="EE4" s="141">
        <f>COUNTIF($DI4:$DM4,5)</f>
        <v/>
      </c>
      <c r="EF4" s="141">
        <f>COUNTIF($DI4:$DM4,6)</f>
        <v/>
      </c>
      <c r="EG4" s="141">
        <f>COUNTIF($DW4:$DX4,1)</f>
        <v/>
      </c>
      <c r="EH4" s="141">
        <f>COUNTIF($DW4:$DX4,2)+$DT4</f>
        <v/>
      </c>
      <c r="EI4" s="141">
        <f>COUNTIF($DA4:$DD4,"?*")</f>
        <v/>
      </c>
      <c r="EJ4" s="141">
        <f>COUNTIF($DE4:$DF4,"?*")+$DT4</f>
        <v/>
      </c>
      <c r="EK4" s="141">
        <f>SUMPRODUCT($EA4:$EF4,INDEX($I$2:$N$8,$CX4,0))</f>
        <v/>
      </c>
      <c r="EL4" s="141">
        <f>$EG4*CEILING($CX4/2,1)+$EH4*$CX4</f>
        <v/>
      </c>
      <c r="EM4" s="141">
        <f>MIN(2*$CX4,$EL4)</f>
        <v/>
      </c>
      <c r="EN4" s="141">
        <f>MIN($EM4,$EK4)</f>
        <v/>
      </c>
      <c r="EO4" s="141">
        <f>$EM4-$EN4</f>
        <v/>
      </c>
      <c r="EP4" s="141">
        <f>3*$CX4-$EK4+$EN4</f>
        <v/>
      </c>
      <c r="EQ4" s="141">
        <f>MAX(0,$EP4)+$CV4*$CX4</f>
        <v/>
      </c>
      <c r="ER4" s="141">
        <f>(IF(COUNTIF($DA4:$DD4,"Salto")&gt;0,1,0)+IF(COUNTIF($DA4:$DD4,"Queima")&gt;0,1,0))*FLOOR($EQ4/2,1)</f>
        <v/>
      </c>
      <c r="ES4" s="141">
        <f>MAX(0,3-SUMPRODUCT($EA4:$EF4,$I$2:$N$2)+MIN(2,$EG4*1+$EH4*1,SUMPRODUCT($EA4:$EF4,$I$2:$N$2)))+$CV4*1</f>
        <v/>
      </c>
      <c r="ET4" s="141">
        <f>MAX(0,6-SUMPRODUCT($EA4:$EF4,$I$3:$N$3)+MIN(4,$EG4*1+$EH4*2,SUMPRODUCT($EA4:$EF4,$I$3:$N$3)))+$CV4*2</f>
        <v/>
      </c>
      <c r="EU4" s="141">
        <f>MAX(0,9-SUMPRODUCT($EA4:$EF4,$I$4:$N$4)+MIN(6,$EG4*2+$EH4*3,SUMPRODUCT($EA4:$EF4,$I$4:$N$4)))+$CV4*3</f>
        <v/>
      </c>
      <c r="EV4" s="141">
        <f>MAX(0,12-SUMPRODUCT($EA4:$EF4,$I$5:$N$5)+MIN(8,$EG4*2+$EH4*4,SUMPRODUCT($EA4:$EF4,$I$5:$N$5)))+$CV4*4</f>
        <v/>
      </c>
      <c r="EW4" s="141">
        <f>MAX(0,15-SUMPRODUCT($EA4:$EF4,$I$6:$N$6)+MIN(10,$EG4*3+$EH4*5,SUMPRODUCT($EA4:$EF4,$I$6:$N$6)))+$CV4*5</f>
        <v/>
      </c>
      <c r="EX4" s="141">
        <f>MAX(0,18-SUMPRODUCT($EA4:$EF4,$I$7:$N$7)+MIN(12,$EG4*3+$EH4*6,SUMPRODUCT($EA4:$EF4,$I$7:$N$7)))+$CV4*6</f>
        <v/>
      </c>
      <c r="EY4" s="141">
        <f>MAX(0,21-SUMPRODUCT($EA4:$EF4,$I$8:$N$8)+MIN(14,$EG4*4+$EH4*7,SUMPRODUCT($EA4:$EF4,$I$8:$N$8)))+$CV4*7</f>
        <v/>
      </c>
      <c r="EZ4" s="141">
        <f>IF($DU4=2,3*$ES4&amp;" de vida temp.",IF($DU4=3,"sem dano",IF($ES4=0,IF($DU4=1,"sem cura","sem dano"),IF($DU4=1,"cura ","")&amp;$ES4&amp;"d8")))</f>
        <v/>
      </c>
      <c r="FA4" s="141">
        <f>IF($DU4=2,3*$ET4&amp;" de vida temp.",IF($DU4=3,"sem dano",IF($ET4=0,IF($DU4=1,"sem cura","sem dano"),IF($DU4=1,"cura ","")&amp;$ET4&amp;"d8")))</f>
        <v/>
      </c>
      <c r="FB4" s="141">
        <f>IF($DU4=2,3*$EU4&amp;" de vida temp.",IF($DU4=3,"sem dano",IF($EU4=0,IF($DU4=1,"sem cura","sem dano"),IF($DU4=1,"cura ","")&amp;$EU4&amp;"d8")))</f>
        <v/>
      </c>
      <c r="FC4" s="141">
        <f>IF($DU4=2,3*$EV4&amp;" de vida temp.",IF($DU4=3,"sem dano",IF($EV4=0,IF($DU4=1,"sem cura","sem dano"),IF($DU4=1,"cura ","")&amp;$EV4&amp;"d8")))</f>
        <v/>
      </c>
      <c r="FD4" s="141">
        <f>IF($DU4=2,3*$EW4&amp;" de vida temp.",IF($DU4=3,"sem dano",IF($EW4=0,IF($DU4=1,"sem cura","sem dano"),IF($DU4=1,"cura ","")&amp;$EW4&amp;"d8")))</f>
        <v/>
      </c>
      <c r="FE4" s="141">
        <f>IF($DU4=2,3*$EX4&amp;" de vida temp.",IF($DU4=3,"sem dano",IF($EX4=0,IF($DU4=1,"sem cura","sem dano"),IF($DU4=1,"cura ","")&amp;$EX4&amp;"d8")))</f>
        <v/>
      </c>
      <c r="FF4" s="141">
        <f>IF($DU4=2,3*$EY4&amp;" de vida temp.",IF($DU4=3,"sem dano",IF($EY4=0,IF($DU4=1,"sem cura","sem dano"),IF($DU4=1,"cura ","")&amp;$EY4&amp;"d8")))</f>
        <v/>
      </c>
      <c r="FG4" s="141">
        <f>IF($DG4=0,"",TEXTJOIN(" · ",TRUE,IF(AND($CV4=1,$CW4&gt;$GF$9),"O nível "&amp;$GF$2&amp;" dá "&amp;$GF$9&amp;" Liberação Máxima",""),IF($CX4&gt;$GF$4,"Classe "&amp;$CX4&amp;": o nível "&amp;$GF$2&amp;" libera até a "&amp;$GF$4,""),IF($DN4=1,"Família Fechada: a Forma "&amp;$CZ4,""),IF($DO4=1,"Família Fechada: "&amp;$DA4,""),IF($DP4=1,"Família Fechada: "&amp;$DB4,""),IF($DQ4=1,"Família Fechada: "&amp;$DC4,""),IF($DR4=1,"Família Fechada: "&amp;$DD4,""),IF($EI4&gt;INDEX($O$2:$O$8,$CX4),$EI4&amp;" Melhorias: a Classe "&amp;$CX4&amp;" aceita "&amp;INDEX($O$2:$O$8,$CX4),""),IF($EJ4&gt;2,$EJ4&amp;" Restrições"&amp;IF($DT4=1,", contando a que a Forma "&amp;$CZ4&amp;" já traz","")&amp;": o limite é 2",""),IF($EP4&lt;0,"Orçamento estourado: faltam "&amp;(-$EP4)&amp;IF($EP4&lt;-1," pontos"," ponto"),""),IF(IFERROR(VLOOKUP($DE4,$BD$2:$BH$24,4,FALSE),0)+IFERROR(VLOOKUP($DF4,$BD$2:$BH$24,4,FALSE),0)&gt;1,$DY4&amp;" e "&amp;$DZ4&amp;" são as duas de frequência",""),IF(AND((COUNTIF($DA4:$DD4,"Rápido")+COUNTIF($DY4:$DZ4,"Rápido"))&gt;0,(COUNTIF($DA4:$DD4,"Reação")+COUNTIF($DY4:$DZ4,"Reação"))&gt;0),"Rápido não entra com Reação",""),IF(AND((COUNTIF($DA4:$DD4,"Rápido")+COUNTIF($DY4:$DZ4,"Rápido"))&gt;0,(COUNTIF($DA4:$DD4,"Atrasar")+COUNTIF($DY4:$DZ4,"Atrasar"))&gt;0),"Rápido não entra com Atrasar",""),IF(AND((COUNTIF($DA4:$DD4,"Reação")+COUNTIF($DY4:$DZ4,"Reação"))&gt;0,(COUNTIF($DA4:$DD4,"Atrasar")+COUNTIF($DY4:$DZ4,"Atrasar"))&gt;0),"Reação não entra com Atrasar",""),IF(AND((COUNTIF($DA4:$DD4,"Reação")+COUNTIF($DY4:$DZ4,"Reação"))&gt;0,(COUNTIF($DA4:$DD4,"Parado")+COUNTIF($DY4:$DZ4,"Parado"))&gt;0),"Reação não entra com Parado",""),IF(AND(COUNTIF($DY4:$DZ4,"Corpo a Corpo")&gt;0,$DT4=0,OR($CZ4="Cone",$CZ4="Linha")),"Corpo a Corpo não entra em "&amp;$CZ4,""),IF(AND(COUNTIF($DY4:$DZ4,"Corpo a Corpo")&gt;0,$DT4=1),"A Forma "&amp;$CZ4&amp;" já traz o Corpo a Corpo",""),IF(AND(COUNTIF($DY4:$DZ4,"Tudo ou Nada")&gt;0,$DV4=0),"Tudo ou Nada só entra em feitiço de Teste de Resistência",""),IF(AND(COUNTIF($DA4:$DD4,"Inescapável")&gt;0,OR($EI4&gt;1,$EJ4&gt;0)),"Inescapável não aceita outra peça",""),IF(AND($CV4=1,$CX4&lt;3),"Liberação Máxima é de Classe 3 ou mais",""),IF(AND($CV4=1,OR($DU4=1,$DU4=2)),"Liberação Máxima não serve para cura",""),IF(AND($CV4=1,COUNTIF($DA4:$DD4,"Inescapável")+COUNTIF($DA4:$DD4,"Toca a Alma")&gt;0),"Esta peça não entra numa Liberação Máxima",""),IF($EQ4+$ER4&gt;4*$CX4,($EQ4+$ER4)&amp;" dados somando alvos e repetições: o teto da Classe "&amp;$CX4&amp;" é "&amp;4*$CX4,"")))</f>
        <v/>
      </c>
      <c r="FH4" s="141">
        <f>IF($FG4="",0,(LEN($FG4)-LEN(SUBSTITUTE($FG4," · ","")))/3+1)</f>
        <v/>
      </c>
      <c r="FI4" s="141">
        <f>IF($DG4=0,"",TEXTJOIN(" · ",TRUE,IF($EL4&gt;2*$CX4,"A devolução parou no teto de "&amp;2*$CX4,""),IF($EO4&gt;0,"Devolução perdida: "&amp;$EO4&amp;IF($EO4&gt;1," pontos"," ponto")&amp;" sem peça para pagar",""),IF(AND($DS4&gt;0,$EQ4=0),"Controle sem dano: uma rodada a mais e CD +2",""),IF(AND($DS4&gt;0,$EQ4&gt;0,$EQ4&lt;=$CX4),"Controle com um quarto do teto: uma rodada a mais","")))</f>
        <v/>
      </c>
      <c r="FJ4" s="141">
        <f>IF($FI4="",0,(LEN($FI4)-LEN(SUBSTITUTE($FI4," · ","")))/3+1)</f>
        <v/>
      </c>
      <c r="FK4" s="141">
        <f>IF($DG4=0,IF($EI4+$EJ4-$DT4&gt;0,"Dê um nome",""),IF($FH4&gt;0,"⚠ "&amp;$FH4&amp;IF($FH4&gt;1," erros"," erro"),IF($FJ4&gt;0,"! "&amp;$FJ4&amp;IF($FJ4&gt;1," avisos"," aviso"),"Na regra")))</f>
        <v/>
      </c>
      <c r="FL4" s="141">
        <f>IF($DG4=0,"",IF($FH4+$FJ4=0,"Dentro das regras que a ficha confere",$FG4&amp;IF(AND($FH4&gt;0,$FJ4&gt;0)," · ","")&amp;$FI4))</f>
        <v/>
      </c>
      <c r="FM4" s="141">
        <f>IF($DG4=0,"",IF($CV4=1,CEILING(4.5*$CX4,1),3*$CX4)&amp;" PE")</f>
        <v/>
      </c>
      <c r="FN4" s="141">
        <f>IF($DG4=0,"",IF($CV4=1,"Rodada inteira",IF(COUNTIF($DY4:$DZ4,"Atrasar")&gt;0,IF(COUNTIF($DY4:$DZ4,"Carregar")&gt;0,"Rodada +1 turno","Rodada inteira"),IF(COUNTIF($DA4:$DD4,"Rápido")&gt;0,"Bônus",IF(COUNTIF($DA4:$DD4,"Reação")&gt;0,"Reação","Padrão"))&amp;IF(COUNTIF($DY4:$DZ4,"Carregar")&gt;0," +1 turno",""))))</f>
        <v/>
      </c>
      <c r="FO4" s="141">
        <f>IF(OR($DG4=0,$DH4=0),"",IF(COUNTIF($DA4:$DD4,"Inescapável")&gt;0,"Automático",IF(COUNTIF($DA4:$DD4,"Certeiro")&gt;0,"TR para metade",INDEX($X$2:$X$11,$DH4))))</f>
        <v/>
      </c>
      <c r="FP4" s="141">
        <f>IF(OR($DG4=0,$DH4=0),"",IF(OR($DU4&gt;=2,$EQ4=0),UPPER(LEFT(INDEX($EZ4:$FF4,1,$CX4),1))&amp;MID(INDEX($EZ4:$FF4,1,$CX4),2,99),UPPER(LEFT(INDEX($EZ4:$FF4,1,$CX4),1))&amp;MID(INDEX($EZ4:$FF4,1,$CX4),2,99)&amp;" = "&amp;FLOOR($EQ4*4.5,1)&amp;IF($ER4&gt;0," · +"&amp;$ER4&amp;"d8","")))</f>
        <v/>
      </c>
      <c r="FQ4" s="141">
        <f>COUNTIF($DA4:$DD4,"Longe")+3*COUNTIF($DA4:$DD4,"Muito Longe")</f>
        <v/>
      </c>
      <c r="FR4" s="141">
        <f>COUNTIF($DA4:$DD4,"Maior")+3*COUNTIF($DA4:$DD4,"Muito Maior")</f>
        <v/>
      </c>
      <c r="FS4" s="141">
        <f>IF($DH4=0,0,CHOOSE(1+INDEX($Z$2:$Z$11,$DH4),0,$FQ4,$FR4,$FQ4+$FR4))</f>
        <v/>
      </c>
      <c r="FT4" s="141">
        <f>IF($DH4=0,0,CHOOSE(1+INDEX($AA$2:$AA$11,$DH4),0,$FQ4,$FR4,$FQ4+$FR4))</f>
        <v/>
      </c>
      <c r="FU4" s="141">
        <f>IF(OR($DG4=0,$DH4=0),"",INDEX($AH$2:$AM$31,($DH4-1)*3+IF($CX4&gt;=6,3,2),1+MIN(5,$FS4))&amp;INDEX($AN$2:$AS$31,($DH4-1)*3+IF($CX4&gt;=6,3,2),1+MIN(5,$FT4))&amp;IF(INDEX($AB$2:$AB$11,$DH4)=1,IF(COUNTIF($DA4:$DD4,"Mais Um")&gt;0," · +"&amp;COUNTIF($DA4:$DD4,"Mais Um")&amp;IF(COUNTIF($DA4:$DD4,"Mais Um")&gt;1," alvos"," alvo"),"")&amp;IF(COUNTIF($DA4:$DD4,"Rajada")&gt;0," · "&amp;($CX4+1)&amp;" tiros",""),""))</f>
        <v/>
      </c>
      <c r="FV4" s="141">
        <f>IF($DG4=0,"",3*$CX4&amp;" − "&amp;$EK4&amp;" + "&amp;$EN4&amp;IF($CV4=1," + "&amp;$CX4,"")&amp;" = "&amp;$EQ4&amp;"d8 · teto "&amp;4*$CX4&amp;IF($DT4=1," · a Forma devolve "&amp;$CX4,"")&amp;IF($EO4&gt;0," · perde "&amp;$EO4,""))</f>
        <v/>
      </c>
      <c r="FW4" s="141">
        <f>IF($DG4=0,"",IF($CX4&gt;=$GF$4,"Já está na maior Classe que o nível liberou",TEXTJOIN(" · ",TRUE,IF(AND(2&gt;$CX4,2&lt;=$GF$4),"2 → "&amp;$FA4&amp;", "&amp;IF($CV4=1,9,6)&amp;" PE",""),IF(AND(3&gt;$CX4,3&lt;=$GF$4),"3 → "&amp;$FB4&amp;", "&amp;IF($CV4=1,14,9)&amp;" PE",""),IF(AND(4&gt;$CX4,4&lt;=$GF$4),"4 → "&amp;$FC4&amp;", "&amp;IF($CV4=1,18,12)&amp;" PE",""),IF(AND(5&gt;$CX4,5&lt;=$GF$4),"5 → "&amp;$FD4&amp;", "&amp;IF($CV4=1,23,15)&amp;" PE",""),IF(AND(6&gt;$CX4,6&lt;=$GF$4),"6 → "&amp;$FE4&amp;", "&amp;IF($CV4=1,27,18)&amp;" PE",""),IF(AND(7&gt;$CX4,7&lt;=$GF$4),"7 → "&amp;$FF4&amp;", "&amp;IF($CV4=1,32,21)&amp;" PE",""))))</f>
        <v/>
      </c>
      <c r="FX4" s="141">
        <f>IF(OR($DG4=0,$DJ4=0),"","−"&amp;INDEX($I$2:$N$8,$CX4,$DJ4)&amp;" · "&amp;CHOOSE($DJ4,"Leve","Média","Pesada","Leve · Livre","Média · Livre","Pesada · Livre"))</f>
        <v/>
      </c>
      <c r="FY4" s="141">
        <f>IF(OR($DG4=0,$DK4=0),"","−"&amp;INDEX($I$2:$N$8,$CX4,$DK4)&amp;" · "&amp;CHOOSE($DK4,"Leve","Média","Pesada","Leve · Livre","Média · Livre","Pesada · Livre"))</f>
        <v/>
      </c>
      <c r="FZ4" s="141">
        <f>IF(OR($DG4=0,$DL4=0),"","−"&amp;INDEX($I$2:$N$8,$CX4,$DL4)&amp;" · "&amp;CHOOSE($DL4,"Leve","Média","Pesada","Leve · Livre","Média · Livre","Pesada · Livre"))</f>
        <v/>
      </c>
      <c r="GA4" s="141">
        <f>IF(OR($DG4=0,$DM4=0),"","−"&amp;INDEX($I$2:$N$8,$CX4,$DM4)&amp;" · "&amp;CHOOSE($DM4,"Leve","Média","Pesada","Leve · Livre","Média · Livre","Pesada · Livre"))</f>
        <v/>
      </c>
      <c r="GB4" s="141">
        <f>IF(OR($DG4=0,$DE4=""),"","+"&amp;IF($DW4=1,CEILING($CX4/2,1),$CX4))</f>
        <v/>
      </c>
      <c r="GC4" s="141">
        <f>IF(OR($DG4=0,$DF4=""),"","+"&amp;IF($DX4=1,CEILING($CX4/2,1),$CX4))</f>
        <v/>
      </c>
      <c r="GE4" s="114" t="inlineStr">
        <is>
          <t>maior classe</t>
        </is>
      </c>
      <c r="GF4" s="141">
        <f>MAX(1,MIN(7,N(FICHA!$Z$57)))</f>
        <v/>
      </c>
      <c r="GH4" s="114" t="inlineStr">
        <is>
          <t>Passiva 3</t>
        </is>
      </c>
      <c r="GI4" s="141">
        <f>'FICHA AMALDIÇOADA'!$P$373&amp;""</f>
        <v/>
      </c>
      <c r="GJ4" s="141">
        <f>IFERROR(VLOOKUP($GI4,$BJ$2:$BL$20,2,FALSE),0)</f>
        <v/>
      </c>
      <c r="GK4" s="141">
        <f>IFERROR(VLOOKUP($GJ4,$BN$2:$BO$4,2,FALSE),0)</f>
        <v/>
      </c>
      <c r="GL4" s="141">
        <f>IFERROR(VLOOKUP($GI4,$BJ$2:$BL$20,3,FALSE),"")</f>
        <v/>
      </c>
      <c r="GM4" s="141">
        <f>IF($GJ4=0,"",IF($GK4&gt;$GF$2,"⚠ Nível "&amp;$GK4,"CP "&amp;$GJ4))</f>
        <v/>
      </c>
      <c r="GN4" s="141">
        <f>IF($GJ4=0,"",$GJ4&amp;" esp.")</f>
        <v/>
      </c>
      <c r="GP4" s="114" t="inlineStr">
        <is>
          <t>Aptidão 3</t>
        </is>
      </c>
      <c r="GQ4" s="141">
        <f>'FICHA AMALDIÇOADA'!$P$421&amp;""</f>
        <v/>
      </c>
      <c r="GR4" s="141">
        <f>IF($GQ4="","","Requisito: "&amp;IFERROR(VLOOKUP($GQ4,$BQ$2:$BV$17,2,FALSE),""))</f>
        <v/>
      </c>
      <c r="GS4" s="141">
        <f>IF($GQ4="","",IFERROR(IF(ISNUMBER(VLOOKUP($GQ4,$BQ$2:$BV$17,3,FALSE)),"CP "&amp;VLOOKUP($GQ4,$BQ$2:$BV$17,3,FALSE),VLOOKUP($GQ4,$BQ$2:$BV$17,3,FALSE)),""))</f>
        <v/>
      </c>
      <c r="GT4" s="141">
        <f>IF($GQ4="","",IFERROR(VLOOKUP($GQ4,$BQ$2:$BV$17,4,FALSE),""))</f>
        <v/>
      </c>
      <c r="GU4" s="141">
        <f>IF($GQ4="","",IFERROR(VLOOKUP($GQ4,$BQ$2:$BV$17,5,FALSE),""))</f>
        <v/>
      </c>
      <c r="GW4" s="114" t="inlineStr">
        <is>
          <t>Classe 0 · 3</t>
        </is>
      </c>
      <c r="GX4" s="141">
        <f>'FICHA AMALDIÇOADA'!$F$306&amp;""</f>
        <v/>
      </c>
      <c r="GY4" s="141">
        <f>'FICHA AMALDIÇOADA'!$J$306&amp;""</f>
        <v/>
      </c>
      <c r="GZ4" s="141">
        <f>'FICHA AMALDIÇOADA'!$L$306&amp;""</f>
        <v/>
      </c>
      <c r="HA4" s="141">
        <f>IFERROR(MATCH($GX4,$Q$2:$Q$11,0),0)</f>
        <v/>
      </c>
      <c r="HB4" s="141">
        <f>$GF$11-IF($GY4&lt;&gt;"",1,0)+IF(AND($GY4&lt;&gt;"",$GZ4&lt;&gt;""),1,0)</f>
        <v/>
      </c>
      <c r="HC4" s="141">
        <f>IF(3&gt;$GF$10,"Nível 5",IF($HA4=0,"",IF(INDEX($W$2:$W$11,$HA4)&gt;=2,"—",$HB4&amp;"d8 = "&amp;FLOOR($HB4*4.5,1))))</f>
        <v/>
      </c>
      <c r="HD4" s="141">
        <f>IF(OR(3&gt;$GF$10,$HA4=0),"",INDEX($AH$2:$AM$31,($HA4-1)*3+1,1+IF(OR(AND($GY4="Longe",INDEX($Z$2:$Z$11,$HA4)&lt;&gt;2),AND($GY4="Maior",INDEX($Z$2:$Z$11,$HA4)&gt;=2)),1,0))&amp;INDEX($AN$2:$AS$31,($HA4-1)*3+1,1+IF(AND($GY4="Longe",INDEX($AA$2:$AA$11,$HA4)=1),1,0)))</f>
        <v/>
      </c>
      <c r="HF4" s="114" t="inlineStr">
        <is>
          <t>Feitiços</t>
        </is>
      </c>
      <c r="HG4" s="141">
        <f>ADDRESS(ROW('FICHA AMALDIÇOADA'!F7),COLUMN('FICHA AMALDIÇOADA'!F7),4)</f>
        <v/>
      </c>
      <c r="HH4" s="141">
        <f>ADDRESS(ROW('FICHA AMALDIÇOADA'!D42),COLUMN('FICHA AMALDIÇOADA'!D42),4)</f>
        <v/>
      </c>
      <c r="HJ4" s="114" t="inlineStr">
        <is>
          <t>J36</t>
        </is>
      </c>
      <c r="HK4" s="141">
        <f>"+"&amp;DADOS_AM!$GF$8</f>
        <v/>
      </c>
    </row>
    <row r="5">
      <c r="A5" s="114" t="inlineStr">
        <is>
          <t>Controle</t>
        </is>
      </c>
      <c r="B5" s="141">
        <f>'FICHA AMALDIÇOADA'!$G$31&amp;""</f>
        <v/>
      </c>
      <c r="C5" s="141">
        <f>IF($B5="Livre",1,0)</f>
        <v/>
      </c>
      <c r="D5" s="141">
        <f>IF($B5="Fechada",1,0)</f>
        <v/>
      </c>
      <c r="H5" s="141" t="n">
        <v>4</v>
      </c>
      <c r="I5" s="141" t="n">
        <v>2</v>
      </c>
      <c r="J5" s="141" t="n">
        <v>4</v>
      </c>
      <c r="K5" s="141" t="n">
        <v>6</v>
      </c>
      <c r="L5" s="141" t="n">
        <v>1</v>
      </c>
      <c r="M5" s="141" t="n">
        <v>2</v>
      </c>
      <c r="N5" s="141" t="n">
        <v>4</v>
      </c>
      <c r="O5" s="141" t="n">
        <v>3</v>
      </c>
      <c r="Q5" s="114" t="inlineStr">
        <is>
          <t>Aura</t>
        </is>
      </c>
      <c r="R5" s="114" t="inlineStr">
        <is>
          <t>Área</t>
        </is>
      </c>
      <c r="S5" s="141" t="n">
        <v>1</v>
      </c>
      <c r="T5" s="141">
        <f>IF($S5=0,0,$S5+3*IFERROR(VLOOKUP($R5,$A$2:$D$10,3,FALSE),0))</f>
        <v/>
      </c>
      <c r="U5" s="141">
        <f>IFERROR(VLOOKUP($R5,$A$2:$D$10,4,FALSE),0)</f>
        <v/>
      </c>
      <c r="V5" s="141" t="n">
        <v>1</v>
      </c>
      <c r="W5" s="141" t="n">
        <v>0</v>
      </c>
      <c r="X5" s="114" t="inlineStr">
        <is>
          <t>TR, metade</t>
        </is>
      </c>
      <c r="Y5" s="141" t="n">
        <v>1</v>
      </c>
      <c r="Z5" s="141" t="n">
        <v>2</v>
      </c>
      <c r="AA5" s="141" t="n">
        <v>0</v>
      </c>
      <c r="AB5" s="141" t="n">
        <v>0</v>
      </c>
      <c r="AC5" s="141" t="n">
        <v>1</v>
      </c>
      <c r="AD5" s="141">
        <f>IF($U5=1,"",$Q5)</f>
        <v/>
      </c>
      <c r="AE5" s="141">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41" t="n">
        <v>1</v>
      </c>
      <c r="AX5" s="141">
        <f>$AW5+3*IFERROR(VLOOKUP($AV5,$A$2:$D$10,3,FALSE),0)</f>
        <v/>
      </c>
      <c r="AY5" s="141">
        <f>IFERROR(VLOOKUP($AV5,$A$2:$D$10,4,FALSE),0)</f>
        <v/>
      </c>
      <c r="AZ5" s="141" t="n">
        <v>0</v>
      </c>
      <c r="BA5" s="141">
        <f>IF($AY5=1,"",$AU5)</f>
        <v/>
      </c>
      <c r="BB5" s="141">
        <f>IF(AND($AW5=1,$AY5=0),$AU5,"")</f>
        <v/>
      </c>
      <c r="BD5" s="114" t="inlineStr">
        <is>
          <t>Gesto</t>
        </is>
      </c>
      <c r="BE5" s="114" t="inlineStr">
        <is>
          <t>Gesto</t>
        </is>
      </c>
      <c r="BF5" s="141" t="n">
        <v>1</v>
      </c>
      <c r="BG5" s="141" t="n">
        <v>0</v>
      </c>
      <c r="BH5" s="114" t="inlineStr">
        <is>
          <t>Gesto</t>
        </is>
      </c>
      <c r="BJ5" s="114" t="inlineStr">
        <is>
          <t>Mão Firme</t>
        </is>
      </c>
      <c r="BK5" s="141" t="n">
        <v>1</v>
      </c>
      <c r="BL5" s="114" t="inlineStr">
        <is>
          <t>Você não perde concentração nem carga por dano de 10 ou menos.</t>
        </is>
      </c>
      <c r="BQ5" s="114" t="inlineStr">
        <is>
          <t>Energia Reversa</t>
        </is>
      </c>
      <c r="BR5" s="114" t="inlineStr">
        <is>
          <t>refino 7 e nível 14</t>
        </is>
      </c>
      <c r="BS5" s="141" t="n">
        <v>3</v>
      </c>
      <c r="BT5" s="114" t="inlineStr">
        <is>
          <t>—</t>
        </is>
      </c>
      <c r="BU5" s="114" t="inlineStr">
        <is>
          <t>Ação padrão. Gaste até a sua maior Classe de PE e recupere 1d8 de vida por PE gasto, em você.</t>
        </is>
      </c>
      <c r="BV5" s="114" t="inlineStr">
        <is>
          <t>Energia Reversa</t>
        </is>
      </c>
      <c r="BX5" s="141" t="n">
        <v>17</v>
      </c>
      <c r="BY5" s="141" t="n">
        <v>5</v>
      </c>
      <c r="BZ5" s="141" t="n">
        <v>5</v>
      </c>
      <c r="CD5" s="141" t="n">
        <v>6</v>
      </c>
      <c r="CP5" s="114" t="inlineStr">
        <is>
          <t>De restrição</t>
        </is>
      </c>
      <c r="CQ5" s="114" t="inlineStr">
        <is>
          <t>na criação, junto da Origem ou da técnica</t>
        </is>
      </c>
      <c r="CS5" s="114" t="inlineStr">
        <is>
          <t>Um estilo</t>
        </is>
      </c>
      <c r="CU5" s="114" t="inlineStr">
        <is>
          <t>Feitiço 4</t>
        </is>
      </c>
      <c r="CV5" s="141" t="n">
        <v>0</v>
      </c>
      <c r="CW5" s="141" t="n">
        <v>4</v>
      </c>
      <c r="CX5" s="141">
        <f>MAX(1,MIN(7,N('FICHA AMALDIÇOADA'!$D$66)))</f>
        <v/>
      </c>
      <c r="CY5" s="141">
        <f>'FICHA AMALDIÇOADA'!$E$66&amp;""</f>
        <v/>
      </c>
      <c r="CZ5" s="141">
        <f>'FICHA AMALDIÇOADA'!$D$73&amp;""</f>
        <v/>
      </c>
      <c r="DA5" s="141">
        <f>'FICHA AMALDIÇOADA'!$E$75&amp;""</f>
        <v/>
      </c>
      <c r="DB5" s="141">
        <f>'FICHA AMALDIÇOADA'!$E$76&amp;""</f>
        <v/>
      </c>
      <c r="DC5" s="141">
        <f>'FICHA AMALDIÇOADA'!$E$77&amp;""</f>
        <v/>
      </c>
      <c r="DD5" s="141">
        <f>'FICHA AMALDIÇOADA'!$E$78&amp;""</f>
        <v/>
      </c>
      <c r="DE5" s="141">
        <f>'FICHA AMALDIÇOADA'!$E$79&amp;""</f>
        <v/>
      </c>
      <c r="DF5" s="141">
        <f>'FICHA AMALDIÇOADA'!$E$80&amp;""</f>
        <v/>
      </c>
      <c r="DG5" s="141">
        <f>IF($CY5&lt;&gt;"",1,0)</f>
        <v/>
      </c>
      <c r="DH5" s="141">
        <f>IFERROR(MATCH($CZ5,$Q$2:$Q$11,0),0)</f>
        <v/>
      </c>
      <c r="DI5" s="141">
        <f>IF($DH5=0,0,INDEX($T$2:$T$11,$DH5))</f>
        <v/>
      </c>
      <c r="DJ5" s="141">
        <f>IFERROR(VLOOKUP($DA5,$AU$2:$BB$84,4,FALSE),0)</f>
        <v/>
      </c>
      <c r="DK5" s="141">
        <f>IFERROR(VLOOKUP($DB5,$AU$2:$BB$84,4,FALSE),0)</f>
        <v/>
      </c>
      <c r="DL5" s="141">
        <f>IFERROR(VLOOKUP($DC5,$AU$2:$BB$84,4,FALSE),0)</f>
        <v/>
      </c>
      <c r="DM5" s="141">
        <f>IFERROR(VLOOKUP($DD5,$AU$2:$BB$84,4,FALSE),0)</f>
        <v/>
      </c>
      <c r="DN5" s="141">
        <f>IF($DH5=0,0,INDEX($U$2:$U$11,$DH5))</f>
        <v/>
      </c>
      <c r="DO5" s="141">
        <f>IFERROR(VLOOKUP($DA5,$AU$2:$BB$84,5,FALSE),0)</f>
        <v/>
      </c>
      <c r="DP5" s="141">
        <f>IFERROR(VLOOKUP($DB5,$AU$2:$BB$84,5,FALSE),0)</f>
        <v/>
      </c>
      <c r="DQ5" s="141">
        <f>IFERROR(VLOOKUP($DC5,$AU$2:$BB$84,5,FALSE),0)</f>
        <v/>
      </c>
      <c r="DR5" s="141">
        <f>IFERROR(VLOOKUP($DD5,$AU$2:$BB$84,5,FALSE),0)</f>
        <v/>
      </c>
      <c r="DS5" s="141">
        <f>IFERROR(VLOOKUP($DA5,$AU$2:$BB$84,6,FALSE),0)+IFERROR(VLOOKUP($DB5,$AU$2:$BB$84,6,FALSE),0)+IFERROR(VLOOKUP($DC5,$AU$2:$BB$84,6,FALSE),0)+IFERROR(VLOOKUP($DD5,$AU$2:$BB$84,6,FALSE),0)</f>
        <v/>
      </c>
      <c r="DT5" s="141">
        <f>IF($DH5=0,0,INDEX($V$2:$V$11,$DH5))</f>
        <v/>
      </c>
      <c r="DU5" s="141">
        <f>IF($DH5=0,0,INDEX($W$2:$W$11,$DH5))</f>
        <v/>
      </c>
      <c r="DV5" s="141">
        <f>IF($DH5=0,0,INDEX($Y$2:$Y$11,$DH5))</f>
        <v/>
      </c>
      <c r="DW5" s="141">
        <f>IFERROR(VLOOKUP($DE5,$BD$2:$BH$24,3,FALSE),0)</f>
        <v/>
      </c>
      <c r="DX5" s="141">
        <f>IFERROR(VLOOKUP($DF5,$BD$2:$BH$24,3,FALSE),0)</f>
        <v/>
      </c>
      <c r="DY5" s="141">
        <f>IFERROR(VLOOKUP($DE5,$BD$2:$BH$24,2,FALSE),"")</f>
        <v/>
      </c>
      <c r="DZ5" s="141">
        <f>IFERROR(VLOOKUP($DF5,$BD$2:$BH$24,2,FALSE),"")</f>
        <v/>
      </c>
      <c r="EA5" s="141">
        <f>COUNTIF($DI5:$DM5,1)</f>
        <v/>
      </c>
      <c r="EB5" s="141">
        <f>COUNTIF($DI5:$DM5,2)</f>
        <v/>
      </c>
      <c r="EC5" s="141">
        <f>COUNTIF($DI5:$DM5,3)</f>
        <v/>
      </c>
      <c r="ED5" s="141">
        <f>COUNTIF($DI5:$DM5,4)</f>
        <v/>
      </c>
      <c r="EE5" s="141">
        <f>COUNTIF($DI5:$DM5,5)</f>
        <v/>
      </c>
      <c r="EF5" s="141">
        <f>COUNTIF($DI5:$DM5,6)</f>
        <v/>
      </c>
      <c r="EG5" s="141">
        <f>COUNTIF($DW5:$DX5,1)</f>
        <v/>
      </c>
      <c r="EH5" s="141">
        <f>COUNTIF($DW5:$DX5,2)+$DT5</f>
        <v/>
      </c>
      <c r="EI5" s="141">
        <f>COUNTIF($DA5:$DD5,"?*")</f>
        <v/>
      </c>
      <c r="EJ5" s="141">
        <f>COUNTIF($DE5:$DF5,"?*")+$DT5</f>
        <v/>
      </c>
      <c r="EK5" s="141">
        <f>SUMPRODUCT($EA5:$EF5,INDEX($I$2:$N$8,$CX5,0))</f>
        <v/>
      </c>
      <c r="EL5" s="141">
        <f>$EG5*CEILING($CX5/2,1)+$EH5*$CX5</f>
        <v/>
      </c>
      <c r="EM5" s="141">
        <f>MIN(2*$CX5,$EL5)</f>
        <v/>
      </c>
      <c r="EN5" s="141">
        <f>MIN($EM5,$EK5)</f>
        <v/>
      </c>
      <c r="EO5" s="141">
        <f>$EM5-$EN5</f>
        <v/>
      </c>
      <c r="EP5" s="141">
        <f>3*$CX5-$EK5+$EN5</f>
        <v/>
      </c>
      <c r="EQ5" s="141">
        <f>MAX(0,$EP5)+$CV5*$CX5</f>
        <v/>
      </c>
      <c r="ER5" s="141">
        <f>(IF(COUNTIF($DA5:$DD5,"Salto")&gt;0,1,0)+IF(COUNTIF($DA5:$DD5,"Queima")&gt;0,1,0))*FLOOR($EQ5/2,1)</f>
        <v/>
      </c>
      <c r="ES5" s="141">
        <f>MAX(0,3-SUMPRODUCT($EA5:$EF5,$I$2:$N$2)+MIN(2,$EG5*1+$EH5*1,SUMPRODUCT($EA5:$EF5,$I$2:$N$2)))+$CV5*1</f>
        <v/>
      </c>
      <c r="ET5" s="141">
        <f>MAX(0,6-SUMPRODUCT($EA5:$EF5,$I$3:$N$3)+MIN(4,$EG5*1+$EH5*2,SUMPRODUCT($EA5:$EF5,$I$3:$N$3)))+$CV5*2</f>
        <v/>
      </c>
      <c r="EU5" s="141">
        <f>MAX(0,9-SUMPRODUCT($EA5:$EF5,$I$4:$N$4)+MIN(6,$EG5*2+$EH5*3,SUMPRODUCT($EA5:$EF5,$I$4:$N$4)))+$CV5*3</f>
        <v/>
      </c>
      <c r="EV5" s="141">
        <f>MAX(0,12-SUMPRODUCT($EA5:$EF5,$I$5:$N$5)+MIN(8,$EG5*2+$EH5*4,SUMPRODUCT($EA5:$EF5,$I$5:$N$5)))+$CV5*4</f>
        <v/>
      </c>
      <c r="EW5" s="141">
        <f>MAX(0,15-SUMPRODUCT($EA5:$EF5,$I$6:$N$6)+MIN(10,$EG5*3+$EH5*5,SUMPRODUCT($EA5:$EF5,$I$6:$N$6)))+$CV5*5</f>
        <v/>
      </c>
      <c r="EX5" s="141">
        <f>MAX(0,18-SUMPRODUCT($EA5:$EF5,$I$7:$N$7)+MIN(12,$EG5*3+$EH5*6,SUMPRODUCT($EA5:$EF5,$I$7:$N$7)))+$CV5*6</f>
        <v/>
      </c>
      <c r="EY5" s="141">
        <f>MAX(0,21-SUMPRODUCT($EA5:$EF5,$I$8:$N$8)+MIN(14,$EG5*4+$EH5*7,SUMPRODUCT($EA5:$EF5,$I$8:$N$8)))+$CV5*7</f>
        <v/>
      </c>
      <c r="EZ5" s="141">
        <f>IF($DU5=2,3*$ES5&amp;" de vida temp.",IF($DU5=3,"sem dano",IF($ES5=0,IF($DU5=1,"sem cura","sem dano"),IF($DU5=1,"cura ","")&amp;$ES5&amp;"d8")))</f>
        <v/>
      </c>
      <c r="FA5" s="141">
        <f>IF($DU5=2,3*$ET5&amp;" de vida temp.",IF($DU5=3,"sem dano",IF($ET5=0,IF($DU5=1,"sem cura","sem dano"),IF($DU5=1,"cura ","")&amp;$ET5&amp;"d8")))</f>
        <v/>
      </c>
      <c r="FB5" s="141">
        <f>IF($DU5=2,3*$EU5&amp;" de vida temp.",IF($DU5=3,"sem dano",IF($EU5=0,IF($DU5=1,"sem cura","sem dano"),IF($DU5=1,"cura ","")&amp;$EU5&amp;"d8")))</f>
        <v/>
      </c>
      <c r="FC5" s="141">
        <f>IF($DU5=2,3*$EV5&amp;" de vida temp.",IF($DU5=3,"sem dano",IF($EV5=0,IF($DU5=1,"sem cura","sem dano"),IF($DU5=1,"cura ","")&amp;$EV5&amp;"d8")))</f>
        <v/>
      </c>
      <c r="FD5" s="141">
        <f>IF($DU5=2,3*$EW5&amp;" de vida temp.",IF($DU5=3,"sem dano",IF($EW5=0,IF($DU5=1,"sem cura","sem dano"),IF($DU5=1,"cura ","")&amp;$EW5&amp;"d8")))</f>
        <v/>
      </c>
      <c r="FE5" s="141">
        <f>IF($DU5=2,3*$EX5&amp;" de vida temp.",IF($DU5=3,"sem dano",IF($EX5=0,IF($DU5=1,"sem cura","sem dano"),IF($DU5=1,"cura ","")&amp;$EX5&amp;"d8")))</f>
        <v/>
      </c>
      <c r="FF5" s="141">
        <f>IF($DU5=2,3*$EY5&amp;" de vida temp.",IF($DU5=3,"sem dano",IF($EY5=0,IF($DU5=1,"sem cura","sem dano"),IF($DU5=1,"cura ","")&amp;$EY5&amp;"d8")))</f>
        <v/>
      </c>
      <c r="FG5" s="141">
        <f>IF($DG5=0,"",TEXTJOIN(" · ",TRUE,IF(AND($CV5=1,$CW5&gt;$GF$9),"O nível "&amp;$GF$2&amp;" dá "&amp;$GF$9&amp;" Liberação Máxima",""),IF($CX5&gt;$GF$4,"Classe "&amp;$CX5&amp;": o nível "&amp;$GF$2&amp;" libera até a "&amp;$GF$4,""),IF($DN5=1,"Família Fechada: a Forma "&amp;$CZ5,""),IF($DO5=1,"Família Fechada: "&amp;$DA5,""),IF($DP5=1,"Família Fechada: "&amp;$DB5,""),IF($DQ5=1,"Família Fechada: "&amp;$DC5,""),IF($DR5=1,"Família Fechada: "&amp;$DD5,""),IF($EI5&gt;INDEX($O$2:$O$8,$CX5),$EI5&amp;" Melhorias: a Classe "&amp;$CX5&amp;" aceita "&amp;INDEX($O$2:$O$8,$CX5),""),IF($EJ5&gt;2,$EJ5&amp;" Restrições"&amp;IF($DT5=1,", contando a que a Forma "&amp;$CZ5&amp;" já traz","")&amp;": o limite é 2",""),IF($EP5&lt;0,"Orçamento estourado: faltam "&amp;(-$EP5)&amp;IF($EP5&lt;-1," pontos"," ponto"),""),IF(IFERROR(VLOOKUP($DE5,$BD$2:$BH$24,4,FALSE),0)+IFERROR(VLOOKUP($DF5,$BD$2:$BH$24,4,FALSE),0)&gt;1,$DY5&amp;" e "&amp;$DZ5&amp;" são as duas de frequência",""),IF(AND((COUNTIF($DA5:$DD5,"Rápido")+COUNTIF($DY5:$DZ5,"Rápido"))&gt;0,(COUNTIF($DA5:$DD5,"Reação")+COUNTIF($DY5:$DZ5,"Reação"))&gt;0),"Rápido não entra com Reação",""),IF(AND((COUNTIF($DA5:$DD5,"Rápido")+COUNTIF($DY5:$DZ5,"Rápido"))&gt;0,(COUNTIF($DA5:$DD5,"Atrasar")+COUNTIF($DY5:$DZ5,"Atrasar"))&gt;0),"Rápido não entra com Atrasar",""),IF(AND((COUNTIF($DA5:$DD5,"Reação")+COUNTIF($DY5:$DZ5,"Reação"))&gt;0,(COUNTIF($DA5:$DD5,"Atrasar")+COUNTIF($DY5:$DZ5,"Atrasar"))&gt;0),"Reação não entra com Atrasar",""),IF(AND((COUNTIF($DA5:$DD5,"Reação")+COUNTIF($DY5:$DZ5,"Reação"))&gt;0,(COUNTIF($DA5:$DD5,"Parado")+COUNTIF($DY5:$DZ5,"Parado"))&gt;0),"Reação não entra com Parado",""),IF(AND(COUNTIF($DY5:$DZ5,"Corpo a Corpo")&gt;0,$DT5=0,OR($CZ5="Cone",$CZ5="Linha")),"Corpo a Corpo não entra em "&amp;$CZ5,""),IF(AND(COUNTIF($DY5:$DZ5,"Corpo a Corpo")&gt;0,$DT5=1),"A Forma "&amp;$CZ5&amp;" já traz o Corpo a Corpo",""),IF(AND(COUNTIF($DY5:$DZ5,"Tudo ou Nada")&gt;0,$DV5=0),"Tudo ou Nada só entra em feitiço de Teste de Resistência",""),IF(AND(COUNTIF($DA5:$DD5,"Inescapável")&gt;0,OR($EI5&gt;1,$EJ5&gt;0)),"Inescapável não aceita outra peça",""),IF(AND($CV5=1,$CX5&lt;3),"Liberação Máxima é de Classe 3 ou mais",""),IF(AND($CV5=1,OR($DU5=1,$DU5=2)),"Liberação Máxima não serve para cura",""),IF(AND($CV5=1,COUNTIF($DA5:$DD5,"Inescapável")+COUNTIF($DA5:$DD5,"Toca a Alma")&gt;0),"Esta peça não entra numa Liberação Máxima",""),IF($EQ5+$ER5&gt;4*$CX5,($EQ5+$ER5)&amp;" dados somando alvos e repetições: o teto da Classe "&amp;$CX5&amp;" é "&amp;4*$CX5,"")))</f>
        <v/>
      </c>
      <c r="FH5" s="141">
        <f>IF($FG5="",0,(LEN($FG5)-LEN(SUBSTITUTE($FG5," · ","")))/3+1)</f>
        <v/>
      </c>
      <c r="FI5" s="141">
        <f>IF($DG5=0,"",TEXTJOIN(" · ",TRUE,IF($EL5&gt;2*$CX5,"A devolução parou no teto de "&amp;2*$CX5,""),IF($EO5&gt;0,"Devolução perdida: "&amp;$EO5&amp;IF($EO5&gt;1," pontos"," ponto")&amp;" sem peça para pagar",""),IF(AND($DS5&gt;0,$EQ5=0),"Controle sem dano: uma rodada a mais e CD +2",""),IF(AND($DS5&gt;0,$EQ5&gt;0,$EQ5&lt;=$CX5),"Controle com um quarto do teto: uma rodada a mais","")))</f>
        <v/>
      </c>
      <c r="FJ5" s="141">
        <f>IF($FI5="",0,(LEN($FI5)-LEN(SUBSTITUTE($FI5," · ","")))/3+1)</f>
        <v/>
      </c>
      <c r="FK5" s="141">
        <f>IF($DG5=0,IF($EI5+$EJ5-$DT5&gt;0,"Dê um nome",""),IF($FH5&gt;0,"⚠ "&amp;$FH5&amp;IF($FH5&gt;1," erros"," erro"),IF($FJ5&gt;0,"! "&amp;$FJ5&amp;IF($FJ5&gt;1," avisos"," aviso"),"Na regra")))</f>
        <v/>
      </c>
      <c r="FL5" s="141">
        <f>IF($DG5=0,"",IF($FH5+$FJ5=0,"Dentro das regras que a ficha confere",$FG5&amp;IF(AND($FH5&gt;0,$FJ5&gt;0)," · ","")&amp;$FI5))</f>
        <v/>
      </c>
      <c r="FM5" s="141">
        <f>IF($DG5=0,"",IF($CV5=1,CEILING(4.5*$CX5,1),3*$CX5)&amp;" PE")</f>
        <v/>
      </c>
      <c r="FN5" s="141">
        <f>IF($DG5=0,"",IF($CV5=1,"Rodada inteira",IF(COUNTIF($DY5:$DZ5,"Atrasar")&gt;0,IF(COUNTIF($DY5:$DZ5,"Carregar")&gt;0,"Rodada +1 turno","Rodada inteira"),IF(COUNTIF($DA5:$DD5,"Rápido")&gt;0,"Bônus",IF(COUNTIF($DA5:$DD5,"Reação")&gt;0,"Reação","Padrão"))&amp;IF(COUNTIF($DY5:$DZ5,"Carregar")&gt;0," +1 turno",""))))</f>
        <v/>
      </c>
      <c r="FO5" s="141">
        <f>IF(OR($DG5=0,$DH5=0),"",IF(COUNTIF($DA5:$DD5,"Inescapável")&gt;0,"Automático",IF(COUNTIF($DA5:$DD5,"Certeiro")&gt;0,"TR para metade",INDEX($X$2:$X$11,$DH5))))</f>
        <v/>
      </c>
      <c r="FP5" s="141">
        <f>IF(OR($DG5=0,$DH5=0),"",IF(OR($DU5&gt;=2,$EQ5=0),UPPER(LEFT(INDEX($EZ5:$FF5,1,$CX5),1))&amp;MID(INDEX($EZ5:$FF5,1,$CX5),2,99),UPPER(LEFT(INDEX($EZ5:$FF5,1,$CX5),1))&amp;MID(INDEX($EZ5:$FF5,1,$CX5),2,99)&amp;" = "&amp;FLOOR($EQ5*4.5,1)&amp;IF($ER5&gt;0," · +"&amp;$ER5&amp;"d8","")))</f>
        <v/>
      </c>
      <c r="FQ5" s="141">
        <f>COUNTIF($DA5:$DD5,"Longe")+3*COUNTIF($DA5:$DD5,"Muito Longe")</f>
        <v/>
      </c>
      <c r="FR5" s="141">
        <f>COUNTIF($DA5:$DD5,"Maior")+3*COUNTIF($DA5:$DD5,"Muito Maior")</f>
        <v/>
      </c>
      <c r="FS5" s="141">
        <f>IF($DH5=0,0,CHOOSE(1+INDEX($Z$2:$Z$11,$DH5),0,$FQ5,$FR5,$FQ5+$FR5))</f>
        <v/>
      </c>
      <c r="FT5" s="141">
        <f>IF($DH5=0,0,CHOOSE(1+INDEX($AA$2:$AA$11,$DH5),0,$FQ5,$FR5,$FQ5+$FR5))</f>
        <v/>
      </c>
      <c r="FU5" s="141">
        <f>IF(OR($DG5=0,$DH5=0),"",INDEX($AH$2:$AM$31,($DH5-1)*3+IF($CX5&gt;=6,3,2),1+MIN(5,$FS5))&amp;INDEX($AN$2:$AS$31,($DH5-1)*3+IF($CX5&gt;=6,3,2),1+MIN(5,$FT5))&amp;IF(INDEX($AB$2:$AB$11,$DH5)=1,IF(COUNTIF($DA5:$DD5,"Mais Um")&gt;0," · +"&amp;COUNTIF($DA5:$DD5,"Mais Um")&amp;IF(COUNTIF($DA5:$DD5,"Mais Um")&gt;1," alvos"," alvo"),"")&amp;IF(COUNTIF($DA5:$DD5,"Rajada")&gt;0," · "&amp;($CX5+1)&amp;" tiros",""),""))</f>
        <v/>
      </c>
      <c r="FV5" s="141">
        <f>IF($DG5=0,"",3*$CX5&amp;" − "&amp;$EK5&amp;" + "&amp;$EN5&amp;IF($CV5=1," + "&amp;$CX5,"")&amp;" = "&amp;$EQ5&amp;"d8 · teto "&amp;4*$CX5&amp;IF($DT5=1," · a Forma devolve "&amp;$CX5,"")&amp;IF($EO5&gt;0," · perde "&amp;$EO5,""))</f>
        <v/>
      </c>
      <c r="FW5" s="141">
        <f>IF($DG5=0,"",IF($CX5&gt;=$GF$4,"Já está na maior Classe que o nível liberou",TEXTJOIN(" · ",TRUE,IF(AND(2&gt;$CX5,2&lt;=$GF$4),"2 → "&amp;$FA5&amp;", "&amp;IF($CV5=1,9,6)&amp;" PE",""),IF(AND(3&gt;$CX5,3&lt;=$GF$4),"3 → "&amp;$FB5&amp;", "&amp;IF($CV5=1,14,9)&amp;" PE",""),IF(AND(4&gt;$CX5,4&lt;=$GF$4),"4 → "&amp;$FC5&amp;", "&amp;IF($CV5=1,18,12)&amp;" PE",""),IF(AND(5&gt;$CX5,5&lt;=$GF$4),"5 → "&amp;$FD5&amp;", "&amp;IF($CV5=1,23,15)&amp;" PE",""),IF(AND(6&gt;$CX5,6&lt;=$GF$4),"6 → "&amp;$FE5&amp;", "&amp;IF($CV5=1,27,18)&amp;" PE",""),IF(AND(7&gt;$CX5,7&lt;=$GF$4),"7 → "&amp;$FF5&amp;", "&amp;IF($CV5=1,32,21)&amp;" PE",""))))</f>
        <v/>
      </c>
      <c r="FX5" s="141">
        <f>IF(OR($DG5=0,$DJ5=0),"","−"&amp;INDEX($I$2:$N$8,$CX5,$DJ5)&amp;" · "&amp;CHOOSE($DJ5,"Leve","Média","Pesada","Leve · Livre","Média · Livre","Pesada · Livre"))</f>
        <v/>
      </c>
      <c r="FY5" s="141">
        <f>IF(OR($DG5=0,$DK5=0),"","−"&amp;INDEX($I$2:$N$8,$CX5,$DK5)&amp;" · "&amp;CHOOSE($DK5,"Leve","Média","Pesada","Leve · Livre","Média · Livre","Pesada · Livre"))</f>
        <v/>
      </c>
      <c r="FZ5" s="141">
        <f>IF(OR($DG5=0,$DL5=0),"","−"&amp;INDEX($I$2:$N$8,$CX5,$DL5)&amp;" · "&amp;CHOOSE($DL5,"Leve","Média","Pesada","Leve · Livre","Média · Livre","Pesada · Livre"))</f>
        <v/>
      </c>
      <c r="GA5" s="141">
        <f>IF(OR($DG5=0,$DM5=0),"","−"&amp;INDEX($I$2:$N$8,$CX5,$DM5)&amp;" · "&amp;CHOOSE($DM5,"Leve","Média","Pesada","Leve · Livre","Média · Livre","Pesada · Livre"))</f>
        <v/>
      </c>
      <c r="GB5" s="141">
        <f>IF(OR($DG5=0,$DE5=""),"","+"&amp;IF($DW5=1,CEILING($CX5/2,1),$CX5))</f>
        <v/>
      </c>
      <c r="GC5" s="141">
        <f>IF(OR($DG5=0,$DF5=""),"","+"&amp;IF($DX5=1,CEILING($CX5/2,1),$CX5))</f>
        <v/>
      </c>
      <c r="GE5" s="114" t="inlineStr">
        <is>
          <t>marcos</t>
        </is>
      </c>
      <c r="GF5" s="141">
        <f>N(DADOS!$AK$5)</f>
        <v/>
      </c>
      <c r="GH5" s="114" t="inlineStr">
        <is>
          <t>Passiva 4</t>
        </is>
      </c>
      <c r="GI5" s="141">
        <f>'FICHA AMALDIÇOADA'!$D$381&amp;""</f>
        <v/>
      </c>
      <c r="GJ5" s="141">
        <f>IFERROR(VLOOKUP($GI5,$BJ$2:$BL$20,2,FALSE),0)</f>
        <v/>
      </c>
      <c r="GK5" s="141">
        <f>IFERROR(VLOOKUP($GJ5,$BN$2:$BO$4,2,FALSE),0)</f>
        <v/>
      </c>
      <c r="GL5" s="141">
        <f>IFERROR(VLOOKUP($GI5,$BJ$2:$BL$20,3,FALSE),"")</f>
        <v/>
      </c>
      <c r="GM5" s="141">
        <f>IF($GJ5=0,"",IF($GK5&gt;$GF$2,"⚠ Nível "&amp;$GK5,"CP "&amp;$GJ5))</f>
        <v/>
      </c>
      <c r="GN5" s="141">
        <f>IF($GJ5=0,"",$GJ5&amp;" esp.")</f>
        <v/>
      </c>
      <c r="GP5" s="114" t="inlineStr">
        <is>
          <t>Aptidão 4</t>
        </is>
      </c>
      <c r="GQ5" s="141">
        <f>'FICHA AMALDIÇOADA'!$D$441&amp;""</f>
        <v/>
      </c>
      <c r="GR5" s="141">
        <f>IF($GQ5="","","Requisito: "&amp;IFERROR(VLOOKUP($GQ5,$BQ$2:$BV$17,2,FALSE),""))</f>
        <v/>
      </c>
      <c r="GS5" s="141">
        <f>IF($GQ5="","",IFERROR(IF(ISNUMBER(VLOOKUP($GQ5,$BQ$2:$BV$17,3,FALSE)),"CP "&amp;VLOOKUP($GQ5,$BQ$2:$BV$17,3,FALSE),VLOOKUP($GQ5,$BQ$2:$BV$17,3,FALSE)),""))</f>
        <v/>
      </c>
      <c r="GT5" s="141">
        <f>IF($GQ5="","",IFERROR(VLOOKUP($GQ5,$BQ$2:$BV$17,4,FALSE),""))</f>
        <v/>
      </c>
      <c r="GU5" s="141">
        <f>IF($GQ5="","",IFERROR(VLOOKUP($GQ5,$BQ$2:$BV$17,5,FALSE),""))</f>
        <v/>
      </c>
      <c r="GW5" s="114" t="inlineStr">
        <is>
          <t>Classe 0 · 4</t>
        </is>
      </c>
      <c r="GX5" s="141">
        <f>'FICHA AMALDIÇOADA'!$F$307&amp;""</f>
        <v/>
      </c>
      <c r="GY5" s="141">
        <f>'FICHA AMALDIÇOADA'!$J$307&amp;""</f>
        <v/>
      </c>
      <c r="GZ5" s="141">
        <f>'FICHA AMALDIÇOADA'!$L$307&amp;""</f>
        <v/>
      </c>
      <c r="HA5" s="141">
        <f>IFERROR(MATCH($GX5,$Q$2:$Q$11,0),0)</f>
        <v/>
      </c>
      <c r="HB5" s="141">
        <f>$GF$11-IF($GY5&lt;&gt;"",1,0)+IF(AND($GY5&lt;&gt;"",$GZ5&lt;&gt;""),1,0)</f>
        <v/>
      </c>
      <c r="HC5" s="141">
        <f>IF(4&gt;$GF$10,"Nível 11",IF($HA5=0,"",IF(INDEX($W$2:$W$11,$HA5)&gt;=2,"—",$HB5&amp;"d8 = "&amp;FLOOR($HB5*4.5,1))))</f>
        <v/>
      </c>
      <c r="HD5" s="141">
        <f>IF(OR(4&gt;$GF$10,$HA5=0),"",INDEX($AH$2:$AM$31,($HA5-1)*3+1,1+IF(OR(AND($GY5="Longe",INDEX($Z$2:$Z$11,$HA5)&lt;&gt;2),AND($GY5="Maior",INDEX($Z$2:$Z$11,$HA5)&gt;=2)),1,0))&amp;INDEX($AN$2:$AS$31,($HA5-1)*3+1,1+IF(AND($GY5="Longe",INDEX($AA$2:$AA$11,$HA5)=1),1,0)))</f>
        <v/>
      </c>
      <c r="HF5" s="114" t="inlineStr">
        <is>
          <t>Classe 0</t>
        </is>
      </c>
      <c r="HG5" s="141">
        <f>ADDRESS(ROW('FICHA AMALDIÇOADA'!G7),COLUMN('FICHA AMALDIÇOADA'!G7),4)</f>
        <v/>
      </c>
      <c r="HH5" s="141">
        <f>ADDRESS(ROW('FICHA AMALDIÇOADA'!D301),COLUMN('FICHA AMALDIÇOADA'!D301),4)</f>
        <v/>
      </c>
      <c r="HJ5" s="114" t="inlineStr">
        <is>
          <t>P36</t>
        </is>
      </c>
      <c r="HK5" s="141">
        <f>IF(DADOS_AM!$GF$20=1,"⚠ ","")&amp;DADOS_AM!$GF$18</f>
        <v/>
      </c>
    </row>
    <row r="6">
      <c r="A6" s="114" t="inlineStr">
        <is>
          <t>Auxiliares</t>
        </is>
      </c>
      <c r="B6" s="141">
        <f>'FICHA AMALDIÇOADA'!$J$31&amp;""</f>
        <v/>
      </c>
      <c r="C6" s="141">
        <f>IF($B6="Livre",1,0)</f>
        <v/>
      </c>
      <c r="D6" s="141">
        <f>IF($B6="Fechada",1,0)</f>
        <v/>
      </c>
      <c r="H6" s="141" t="n">
        <v>5</v>
      </c>
      <c r="I6" s="141" t="n">
        <v>3</v>
      </c>
      <c r="J6" s="141" t="n">
        <v>5</v>
      </c>
      <c r="K6" s="141" t="n">
        <v>8</v>
      </c>
      <c r="L6" s="141" t="n">
        <v>1</v>
      </c>
      <c r="M6" s="141" t="n">
        <v>2</v>
      </c>
      <c r="N6" s="141" t="n">
        <v>5</v>
      </c>
      <c r="O6" s="141" t="n">
        <v>4</v>
      </c>
      <c r="Q6" s="114" t="inlineStr">
        <is>
          <t>Cone</t>
        </is>
      </c>
      <c r="R6" s="114" t="inlineStr">
        <is>
          <t>Área</t>
        </is>
      </c>
      <c r="S6" s="141" t="n">
        <v>1</v>
      </c>
      <c r="T6" s="141">
        <f>IF($S6=0,0,$S6+3*IFERROR(VLOOKUP($R6,$A$2:$D$10,3,FALSE),0))</f>
        <v/>
      </c>
      <c r="U6" s="141">
        <f>IFERROR(VLOOKUP($R6,$A$2:$D$10,4,FALSE),0)</f>
        <v/>
      </c>
      <c r="V6" s="141" t="n">
        <v>0</v>
      </c>
      <c r="W6" s="141" t="n">
        <v>0</v>
      </c>
      <c r="X6" s="114" t="inlineStr">
        <is>
          <t>TR, metade</t>
        </is>
      </c>
      <c r="Y6" s="141" t="n">
        <v>1</v>
      </c>
      <c r="Z6" s="141" t="n">
        <v>3</v>
      </c>
      <c r="AA6" s="141" t="n">
        <v>0</v>
      </c>
      <c r="AB6" s="141" t="n">
        <v>0</v>
      </c>
      <c r="AC6" s="141" t="n">
        <v>1</v>
      </c>
      <c r="AD6" s="141">
        <f>IF($U6=1,"",$Q6)</f>
        <v/>
      </c>
      <c r="AE6" s="141">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41" t="n">
        <v>1</v>
      </c>
      <c r="AX6" s="141">
        <f>$AW6+3*IFERROR(VLOOKUP($AV6,$A$2:$D$10,3,FALSE),0)</f>
        <v/>
      </c>
      <c r="AY6" s="141">
        <f>IFERROR(VLOOKUP($AV6,$A$2:$D$10,4,FALSE),0)</f>
        <v/>
      </c>
      <c r="AZ6" s="141" t="n">
        <v>0</v>
      </c>
      <c r="BA6" s="141">
        <f>IF($AY6=1,"",$AU6)</f>
        <v/>
      </c>
      <c r="BB6" s="141">
        <f>IF(AND($AW6=1,$AY6=0),$AU6,"")</f>
        <v/>
      </c>
      <c r="BD6" s="114" t="inlineStr">
        <is>
          <t>Sangra</t>
        </is>
      </c>
      <c r="BE6" s="114" t="inlineStr">
        <is>
          <t>Sangra</t>
        </is>
      </c>
      <c r="BF6" s="141" t="n">
        <v>2</v>
      </c>
      <c r="BG6" s="141" t="n">
        <v>0</v>
      </c>
      <c r="BH6" s="114" t="inlineStr"/>
      <c r="BJ6" s="114" t="inlineStr">
        <is>
          <t>Farejador</t>
        </is>
      </c>
      <c r="BK6" s="141" t="n">
        <v>1</v>
      </c>
      <c r="BL6" s="114" t="inlineStr">
        <is>
          <t>Você sente se alguém conjurou num lugar nas últimas 24 horas, e de que Classe.</t>
        </is>
      </c>
      <c r="BQ6" s="114" t="inlineStr">
        <is>
          <t>Circulação</t>
        </is>
      </c>
      <c r="BR6" s="114" t="inlineStr">
        <is>
          <t>Energia Reversa, refino 8</t>
        </is>
      </c>
      <c r="BS6" s="141"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41" t="n">
        <v>25</v>
      </c>
      <c r="BY6" s="141" t="n">
        <v>5</v>
      </c>
      <c r="BZ6" s="141" t="n">
        <v>6</v>
      </c>
      <c r="CD6" s="141" t="n">
        <v>7</v>
      </c>
      <c r="CU6" s="114" t="inlineStr">
        <is>
          <t>Feitiço 5</t>
        </is>
      </c>
      <c r="CV6" s="141" t="n">
        <v>0</v>
      </c>
      <c r="CW6" s="141" t="n">
        <v>5</v>
      </c>
      <c r="CX6" s="141">
        <f>MAX(1,MIN(7,N('FICHA AMALDIÇOADA'!$J$66)))</f>
        <v/>
      </c>
      <c r="CY6" s="141">
        <f>'FICHA AMALDIÇOADA'!$K$66&amp;""</f>
        <v/>
      </c>
      <c r="CZ6" s="141">
        <f>'FICHA AMALDIÇOADA'!$J$73&amp;""</f>
        <v/>
      </c>
      <c r="DA6" s="141">
        <f>'FICHA AMALDIÇOADA'!$K$75&amp;""</f>
        <v/>
      </c>
      <c r="DB6" s="141">
        <f>'FICHA AMALDIÇOADA'!$K$76&amp;""</f>
        <v/>
      </c>
      <c r="DC6" s="141">
        <f>'FICHA AMALDIÇOADA'!$K$77&amp;""</f>
        <v/>
      </c>
      <c r="DD6" s="141">
        <f>'FICHA AMALDIÇOADA'!$K$78&amp;""</f>
        <v/>
      </c>
      <c r="DE6" s="141">
        <f>'FICHA AMALDIÇOADA'!$K$79&amp;""</f>
        <v/>
      </c>
      <c r="DF6" s="141">
        <f>'FICHA AMALDIÇOADA'!$K$80&amp;""</f>
        <v/>
      </c>
      <c r="DG6" s="141">
        <f>IF($CY6&lt;&gt;"",1,0)</f>
        <v/>
      </c>
      <c r="DH6" s="141">
        <f>IFERROR(MATCH($CZ6,$Q$2:$Q$11,0),0)</f>
        <v/>
      </c>
      <c r="DI6" s="141">
        <f>IF($DH6=0,0,INDEX($T$2:$T$11,$DH6))</f>
        <v/>
      </c>
      <c r="DJ6" s="141">
        <f>IFERROR(VLOOKUP($DA6,$AU$2:$BB$84,4,FALSE),0)</f>
        <v/>
      </c>
      <c r="DK6" s="141">
        <f>IFERROR(VLOOKUP($DB6,$AU$2:$BB$84,4,FALSE),0)</f>
        <v/>
      </c>
      <c r="DL6" s="141">
        <f>IFERROR(VLOOKUP($DC6,$AU$2:$BB$84,4,FALSE),0)</f>
        <v/>
      </c>
      <c r="DM6" s="141">
        <f>IFERROR(VLOOKUP($DD6,$AU$2:$BB$84,4,FALSE),0)</f>
        <v/>
      </c>
      <c r="DN6" s="141">
        <f>IF($DH6=0,0,INDEX($U$2:$U$11,$DH6))</f>
        <v/>
      </c>
      <c r="DO6" s="141">
        <f>IFERROR(VLOOKUP($DA6,$AU$2:$BB$84,5,FALSE),0)</f>
        <v/>
      </c>
      <c r="DP6" s="141">
        <f>IFERROR(VLOOKUP($DB6,$AU$2:$BB$84,5,FALSE),0)</f>
        <v/>
      </c>
      <c r="DQ6" s="141">
        <f>IFERROR(VLOOKUP($DC6,$AU$2:$BB$84,5,FALSE),0)</f>
        <v/>
      </c>
      <c r="DR6" s="141">
        <f>IFERROR(VLOOKUP($DD6,$AU$2:$BB$84,5,FALSE),0)</f>
        <v/>
      </c>
      <c r="DS6" s="141">
        <f>IFERROR(VLOOKUP($DA6,$AU$2:$BB$84,6,FALSE),0)+IFERROR(VLOOKUP($DB6,$AU$2:$BB$84,6,FALSE),0)+IFERROR(VLOOKUP($DC6,$AU$2:$BB$84,6,FALSE),0)+IFERROR(VLOOKUP($DD6,$AU$2:$BB$84,6,FALSE),0)</f>
        <v/>
      </c>
      <c r="DT6" s="141">
        <f>IF($DH6=0,0,INDEX($V$2:$V$11,$DH6))</f>
        <v/>
      </c>
      <c r="DU6" s="141">
        <f>IF($DH6=0,0,INDEX($W$2:$W$11,$DH6))</f>
        <v/>
      </c>
      <c r="DV6" s="141">
        <f>IF($DH6=0,0,INDEX($Y$2:$Y$11,$DH6))</f>
        <v/>
      </c>
      <c r="DW6" s="141">
        <f>IFERROR(VLOOKUP($DE6,$BD$2:$BH$24,3,FALSE),0)</f>
        <v/>
      </c>
      <c r="DX6" s="141">
        <f>IFERROR(VLOOKUP($DF6,$BD$2:$BH$24,3,FALSE),0)</f>
        <v/>
      </c>
      <c r="DY6" s="141">
        <f>IFERROR(VLOOKUP($DE6,$BD$2:$BH$24,2,FALSE),"")</f>
        <v/>
      </c>
      <c r="DZ6" s="141">
        <f>IFERROR(VLOOKUP($DF6,$BD$2:$BH$24,2,FALSE),"")</f>
        <v/>
      </c>
      <c r="EA6" s="141">
        <f>COUNTIF($DI6:$DM6,1)</f>
        <v/>
      </c>
      <c r="EB6" s="141">
        <f>COUNTIF($DI6:$DM6,2)</f>
        <v/>
      </c>
      <c r="EC6" s="141">
        <f>COUNTIF($DI6:$DM6,3)</f>
        <v/>
      </c>
      <c r="ED6" s="141">
        <f>COUNTIF($DI6:$DM6,4)</f>
        <v/>
      </c>
      <c r="EE6" s="141">
        <f>COUNTIF($DI6:$DM6,5)</f>
        <v/>
      </c>
      <c r="EF6" s="141">
        <f>COUNTIF($DI6:$DM6,6)</f>
        <v/>
      </c>
      <c r="EG6" s="141">
        <f>COUNTIF($DW6:$DX6,1)</f>
        <v/>
      </c>
      <c r="EH6" s="141">
        <f>COUNTIF($DW6:$DX6,2)+$DT6</f>
        <v/>
      </c>
      <c r="EI6" s="141">
        <f>COUNTIF($DA6:$DD6,"?*")</f>
        <v/>
      </c>
      <c r="EJ6" s="141">
        <f>COUNTIF($DE6:$DF6,"?*")+$DT6</f>
        <v/>
      </c>
      <c r="EK6" s="141">
        <f>SUMPRODUCT($EA6:$EF6,INDEX($I$2:$N$8,$CX6,0))</f>
        <v/>
      </c>
      <c r="EL6" s="141">
        <f>$EG6*CEILING($CX6/2,1)+$EH6*$CX6</f>
        <v/>
      </c>
      <c r="EM6" s="141">
        <f>MIN(2*$CX6,$EL6)</f>
        <v/>
      </c>
      <c r="EN6" s="141">
        <f>MIN($EM6,$EK6)</f>
        <v/>
      </c>
      <c r="EO6" s="141">
        <f>$EM6-$EN6</f>
        <v/>
      </c>
      <c r="EP6" s="141">
        <f>3*$CX6-$EK6+$EN6</f>
        <v/>
      </c>
      <c r="EQ6" s="141">
        <f>MAX(0,$EP6)+$CV6*$CX6</f>
        <v/>
      </c>
      <c r="ER6" s="141">
        <f>(IF(COUNTIF($DA6:$DD6,"Salto")&gt;0,1,0)+IF(COUNTIF($DA6:$DD6,"Queima")&gt;0,1,0))*FLOOR($EQ6/2,1)</f>
        <v/>
      </c>
      <c r="ES6" s="141">
        <f>MAX(0,3-SUMPRODUCT($EA6:$EF6,$I$2:$N$2)+MIN(2,$EG6*1+$EH6*1,SUMPRODUCT($EA6:$EF6,$I$2:$N$2)))+$CV6*1</f>
        <v/>
      </c>
      <c r="ET6" s="141">
        <f>MAX(0,6-SUMPRODUCT($EA6:$EF6,$I$3:$N$3)+MIN(4,$EG6*1+$EH6*2,SUMPRODUCT($EA6:$EF6,$I$3:$N$3)))+$CV6*2</f>
        <v/>
      </c>
      <c r="EU6" s="141">
        <f>MAX(0,9-SUMPRODUCT($EA6:$EF6,$I$4:$N$4)+MIN(6,$EG6*2+$EH6*3,SUMPRODUCT($EA6:$EF6,$I$4:$N$4)))+$CV6*3</f>
        <v/>
      </c>
      <c r="EV6" s="141">
        <f>MAX(0,12-SUMPRODUCT($EA6:$EF6,$I$5:$N$5)+MIN(8,$EG6*2+$EH6*4,SUMPRODUCT($EA6:$EF6,$I$5:$N$5)))+$CV6*4</f>
        <v/>
      </c>
      <c r="EW6" s="141">
        <f>MAX(0,15-SUMPRODUCT($EA6:$EF6,$I$6:$N$6)+MIN(10,$EG6*3+$EH6*5,SUMPRODUCT($EA6:$EF6,$I$6:$N$6)))+$CV6*5</f>
        <v/>
      </c>
      <c r="EX6" s="141">
        <f>MAX(0,18-SUMPRODUCT($EA6:$EF6,$I$7:$N$7)+MIN(12,$EG6*3+$EH6*6,SUMPRODUCT($EA6:$EF6,$I$7:$N$7)))+$CV6*6</f>
        <v/>
      </c>
      <c r="EY6" s="141">
        <f>MAX(0,21-SUMPRODUCT($EA6:$EF6,$I$8:$N$8)+MIN(14,$EG6*4+$EH6*7,SUMPRODUCT($EA6:$EF6,$I$8:$N$8)))+$CV6*7</f>
        <v/>
      </c>
      <c r="EZ6" s="141">
        <f>IF($DU6=2,3*$ES6&amp;" de vida temp.",IF($DU6=3,"sem dano",IF($ES6=0,IF($DU6=1,"sem cura","sem dano"),IF($DU6=1,"cura ","")&amp;$ES6&amp;"d8")))</f>
        <v/>
      </c>
      <c r="FA6" s="141">
        <f>IF($DU6=2,3*$ET6&amp;" de vida temp.",IF($DU6=3,"sem dano",IF($ET6=0,IF($DU6=1,"sem cura","sem dano"),IF($DU6=1,"cura ","")&amp;$ET6&amp;"d8")))</f>
        <v/>
      </c>
      <c r="FB6" s="141">
        <f>IF($DU6=2,3*$EU6&amp;" de vida temp.",IF($DU6=3,"sem dano",IF($EU6=0,IF($DU6=1,"sem cura","sem dano"),IF($DU6=1,"cura ","")&amp;$EU6&amp;"d8")))</f>
        <v/>
      </c>
      <c r="FC6" s="141">
        <f>IF($DU6=2,3*$EV6&amp;" de vida temp.",IF($DU6=3,"sem dano",IF($EV6=0,IF($DU6=1,"sem cura","sem dano"),IF($DU6=1,"cura ","")&amp;$EV6&amp;"d8")))</f>
        <v/>
      </c>
      <c r="FD6" s="141">
        <f>IF($DU6=2,3*$EW6&amp;" de vida temp.",IF($DU6=3,"sem dano",IF($EW6=0,IF($DU6=1,"sem cura","sem dano"),IF($DU6=1,"cura ","")&amp;$EW6&amp;"d8")))</f>
        <v/>
      </c>
      <c r="FE6" s="141">
        <f>IF($DU6=2,3*$EX6&amp;" de vida temp.",IF($DU6=3,"sem dano",IF($EX6=0,IF($DU6=1,"sem cura","sem dano"),IF($DU6=1,"cura ","")&amp;$EX6&amp;"d8")))</f>
        <v/>
      </c>
      <c r="FF6" s="141">
        <f>IF($DU6=2,3*$EY6&amp;" de vida temp.",IF($DU6=3,"sem dano",IF($EY6=0,IF($DU6=1,"sem cura","sem dano"),IF($DU6=1,"cura ","")&amp;$EY6&amp;"d8")))</f>
        <v/>
      </c>
      <c r="FG6" s="141">
        <f>IF($DG6=0,"",TEXTJOIN(" · ",TRUE,IF(AND($CV6=1,$CW6&gt;$GF$9),"O nível "&amp;$GF$2&amp;" dá "&amp;$GF$9&amp;" Liberação Máxima",""),IF($CX6&gt;$GF$4,"Classe "&amp;$CX6&amp;": o nível "&amp;$GF$2&amp;" libera até a "&amp;$GF$4,""),IF($DN6=1,"Família Fechada: a Forma "&amp;$CZ6,""),IF($DO6=1,"Família Fechada: "&amp;$DA6,""),IF($DP6=1,"Família Fechada: "&amp;$DB6,""),IF($DQ6=1,"Família Fechada: "&amp;$DC6,""),IF($DR6=1,"Família Fechada: "&amp;$DD6,""),IF($EI6&gt;INDEX($O$2:$O$8,$CX6),$EI6&amp;" Melhorias: a Classe "&amp;$CX6&amp;" aceita "&amp;INDEX($O$2:$O$8,$CX6),""),IF($EJ6&gt;2,$EJ6&amp;" Restrições"&amp;IF($DT6=1,", contando a que a Forma "&amp;$CZ6&amp;" já traz","")&amp;": o limite é 2",""),IF($EP6&lt;0,"Orçamento estourado: faltam "&amp;(-$EP6)&amp;IF($EP6&lt;-1," pontos"," ponto"),""),IF(IFERROR(VLOOKUP($DE6,$BD$2:$BH$24,4,FALSE),0)+IFERROR(VLOOKUP($DF6,$BD$2:$BH$24,4,FALSE),0)&gt;1,$DY6&amp;" e "&amp;$DZ6&amp;" são as duas de frequência",""),IF(AND((COUNTIF($DA6:$DD6,"Rápido")+COUNTIF($DY6:$DZ6,"Rápido"))&gt;0,(COUNTIF($DA6:$DD6,"Reação")+COUNTIF($DY6:$DZ6,"Reação"))&gt;0),"Rápido não entra com Reação",""),IF(AND((COUNTIF($DA6:$DD6,"Rápido")+COUNTIF($DY6:$DZ6,"Rápido"))&gt;0,(COUNTIF($DA6:$DD6,"Atrasar")+COUNTIF($DY6:$DZ6,"Atrasar"))&gt;0),"Rápido não entra com Atrasar",""),IF(AND((COUNTIF($DA6:$DD6,"Reação")+COUNTIF($DY6:$DZ6,"Reação"))&gt;0,(COUNTIF($DA6:$DD6,"Atrasar")+COUNTIF($DY6:$DZ6,"Atrasar"))&gt;0),"Reação não entra com Atrasar",""),IF(AND((COUNTIF($DA6:$DD6,"Reação")+COUNTIF($DY6:$DZ6,"Reação"))&gt;0,(COUNTIF($DA6:$DD6,"Parado")+COUNTIF($DY6:$DZ6,"Parado"))&gt;0),"Reação não entra com Parado",""),IF(AND(COUNTIF($DY6:$DZ6,"Corpo a Corpo")&gt;0,$DT6=0,OR($CZ6="Cone",$CZ6="Linha")),"Corpo a Corpo não entra em "&amp;$CZ6,""),IF(AND(COUNTIF($DY6:$DZ6,"Corpo a Corpo")&gt;0,$DT6=1),"A Forma "&amp;$CZ6&amp;" já traz o Corpo a Corpo",""),IF(AND(COUNTIF($DY6:$DZ6,"Tudo ou Nada")&gt;0,$DV6=0),"Tudo ou Nada só entra em feitiço de Teste de Resistência",""),IF(AND(COUNTIF($DA6:$DD6,"Inescapável")&gt;0,OR($EI6&gt;1,$EJ6&gt;0)),"Inescapável não aceita outra peça",""),IF(AND($CV6=1,$CX6&lt;3),"Liberação Máxima é de Classe 3 ou mais",""),IF(AND($CV6=1,OR($DU6=1,$DU6=2)),"Liberação Máxima não serve para cura",""),IF(AND($CV6=1,COUNTIF($DA6:$DD6,"Inescapável")+COUNTIF($DA6:$DD6,"Toca a Alma")&gt;0),"Esta peça não entra numa Liberação Máxima",""),IF($EQ6+$ER6&gt;4*$CX6,($EQ6+$ER6)&amp;" dados somando alvos e repetições: o teto da Classe "&amp;$CX6&amp;" é "&amp;4*$CX6,"")))</f>
        <v/>
      </c>
      <c r="FH6" s="141">
        <f>IF($FG6="",0,(LEN($FG6)-LEN(SUBSTITUTE($FG6," · ","")))/3+1)</f>
        <v/>
      </c>
      <c r="FI6" s="141">
        <f>IF($DG6=0,"",TEXTJOIN(" · ",TRUE,IF($EL6&gt;2*$CX6,"A devolução parou no teto de "&amp;2*$CX6,""),IF($EO6&gt;0,"Devolução perdida: "&amp;$EO6&amp;IF($EO6&gt;1," pontos"," ponto")&amp;" sem peça para pagar",""),IF(AND($DS6&gt;0,$EQ6=0),"Controle sem dano: uma rodada a mais e CD +2",""),IF(AND($DS6&gt;0,$EQ6&gt;0,$EQ6&lt;=$CX6),"Controle com um quarto do teto: uma rodada a mais","")))</f>
        <v/>
      </c>
      <c r="FJ6" s="141">
        <f>IF($FI6="",0,(LEN($FI6)-LEN(SUBSTITUTE($FI6," · ","")))/3+1)</f>
        <v/>
      </c>
      <c r="FK6" s="141">
        <f>IF($DG6=0,IF($EI6+$EJ6-$DT6&gt;0,"Dê um nome",""),IF($FH6&gt;0,"⚠ "&amp;$FH6&amp;IF($FH6&gt;1," erros"," erro"),IF($FJ6&gt;0,"! "&amp;$FJ6&amp;IF($FJ6&gt;1," avisos"," aviso"),"Na regra")))</f>
        <v/>
      </c>
      <c r="FL6" s="141">
        <f>IF($DG6=0,"",IF($FH6+$FJ6=0,"Dentro das regras que a ficha confere",$FG6&amp;IF(AND($FH6&gt;0,$FJ6&gt;0)," · ","")&amp;$FI6))</f>
        <v/>
      </c>
      <c r="FM6" s="141">
        <f>IF($DG6=0,"",IF($CV6=1,CEILING(4.5*$CX6,1),3*$CX6)&amp;" PE")</f>
        <v/>
      </c>
      <c r="FN6" s="141">
        <f>IF($DG6=0,"",IF($CV6=1,"Rodada inteira",IF(COUNTIF($DY6:$DZ6,"Atrasar")&gt;0,IF(COUNTIF($DY6:$DZ6,"Carregar")&gt;0,"Rodada +1 turno","Rodada inteira"),IF(COUNTIF($DA6:$DD6,"Rápido")&gt;0,"Bônus",IF(COUNTIF($DA6:$DD6,"Reação")&gt;0,"Reação","Padrão"))&amp;IF(COUNTIF($DY6:$DZ6,"Carregar")&gt;0," +1 turno",""))))</f>
        <v/>
      </c>
      <c r="FO6" s="141">
        <f>IF(OR($DG6=0,$DH6=0),"",IF(COUNTIF($DA6:$DD6,"Inescapável")&gt;0,"Automático",IF(COUNTIF($DA6:$DD6,"Certeiro")&gt;0,"TR para metade",INDEX($X$2:$X$11,$DH6))))</f>
        <v/>
      </c>
      <c r="FP6" s="141">
        <f>IF(OR($DG6=0,$DH6=0),"",IF(OR($DU6&gt;=2,$EQ6=0),UPPER(LEFT(INDEX($EZ6:$FF6,1,$CX6),1))&amp;MID(INDEX($EZ6:$FF6,1,$CX6),2,99),UPPER(LEFT(INDEX($EZ6:$FF6,1,$CX6),1))&amp;MID(INDEX($EZ6:$FF6,1,$CX6),2,99)&amp;" = "&amp;FLOOR($EQ6*4.5,1)&amp;IF($ER6&gt;0," · +"&amp;$ER6&amp;"d8","")))</f>
        <v/>
      </c>
      <c r="FQ6" s="141">
        <f>COUNTIF($DA6:$DD6,"Longe")+3*COUNTIF($DA6:$DD6,"Muito Longe")</f>
        <v/>
      </c>
      <c r="FR6" s="141">
        <f>COUNTIF($DA6:$DD6,"Maior")+3*COUNTIF($DA6:$DD6,"Muito Maior")</f>
        <v/>
      </c>
      <c r="FS6" s="141">
        <f>IF($DH6=0,0,CHOOSE(1+INDEX($Z$2:$Z$11,$DH6),0,$FQ6,$FR6,$FQ6+$FR6))</f>
        <v/>
      </c>
      <c r="FT6" s="141">
        <f>IF($DH6=0,0,CHOOSE(1+INDEX($AA$2:$AA$11,$DH6),0,$FQ6,$FR6,$FQ6+$FR6))</f>
        <v/>
      </c>
      <c r="FU6" s="141">
        <f>IF(OR($DG6=0,$DH6=0),"",INDEX($AH$2:$AM$31,($DH6-1)*3+IF($CX6&gt;=6,3,2),1+MIN(5,$FS6))&amp;INDEX($AN$2:$AS$31,($DH6-1)*3+IF($CX6&gt;=6,3,2),1+MIN(5,$FT6))&amp;IF(INDEX($AB$2:$AB$11,$DH6)=1,IF(COUNTIF($DA6:$DD6,"Mais Um")&gt;0," · +"&amp;COUNTIF($DA6:$DD6,"Mais Um")&amp;IF(COUNTIF($DA6:$DD6,"Mais Um")&gt;1," alvos"," alvo"),"")&amp;IF(COUNTIF($DA6:$DD6,"Rajada")&gt;0," · "&amp;($CX6+1)&amp;" tiros",""),""))</f>
        <v/>
      </c>
      <c r="FV6" s="141">
        <f>IF($DG6=0,"",3*$CX6&amp;" − "&amp;$EK6&amp;" + "&amp;$EN6&amp;IF($CV6=1," + "&amp;$CX6,"")&amp;" = "&amp;$EQ6&amp;"d8 · teto "&amp;4*$CX6&amp;IF($DT6=1," · a Forma devolve "&amp;$CX6,"")&amp;IF($EO6&gt;0," · perde "&amp;$EO6,""))</f>
        <v/>
      </c>
      <c r="FW6" s="141">
        <f>IF($DG6=0,"",IF($CX6&gt;=$GF$4,"Já está na maior Classe que o nível liberou",TEXTJOIN(" · ",TRUE,IF(AND(2&gt;$CX6,2&lt;=$GF$4),"2 → "&amp;$FA6&amp;", "&amp;IF($CV6=1,9,6)&amp;" PE",""),IF(AND(3&gt;$CX6,3&lt;=$GF$4),"3 → "&amp;$FB6&amp;", "&amp;IF($CV6=1,14,9)&amp;" PE",""),IF(AND(4&gt;$CX6,4&lt;=$GF$4),"4 → "&amp;$FC6&amp;", "&amp;IF($CV6=1,18,12)&amp;" PE",""),IF(AND(5&gt;$CX6,5&lt;=$GF$4),"5 → "&amp;$FD6&amp;", "&amp;IF($CV6=1,23,15)&amp;" PE",""),IF(AND(6&gt;$CX6,6&lt;=$GF$4),"6 → "&amp;$FE6&amp;", "&amp;IF($CV6=1,27,18)&amp;" PE",""),IF(AND(7&gt;$CX6,7&lt;=$GF$4),"7 → "&amp;$FF6&amp;", "&amp;IF($CV6=1,32,21)&amp;" PE",""))))</f>
        <v/>
      </c>
      <c r="FX6" s="141">
        <f>IF(OR($DG6=0,$DJ6=0),"","−"&amp;INDEX($I$2:$N$8,$CX6,$DJ6)&amp;" · "&amp;CHOOSE($DJ6,"Leve","Média","Pesada","Leve · Livre","Média · Livre","Pesada · Livre"))</f>
        <v/>
      </c>
      <c r="FY6" s="141">
        <f>IF(OR($DG6=0,$DK6=0),"","−"&amp;INDEX($I$2:$N$8,$CX6,$DK6)&amp;" · "&amp;CHOOSE($DK6,"Leve","Média","Pesada","Leve · Livre","Média · Livre","Pesada · Livre"))</f>
        <v/>
      </c>
      <c r="FZ6" s="141">
        <f>IF(OR($DG6=0,$DL6=0),"","−"&amp;INDEX($I$2:$N$8,$CX6,$DL6)&amp;" · "&amp;CHOOSE($DL6,"Leve","Média","Pesada","Leve · Livre","Média · Livre","Pesada · Livre"))</f>
        <v/>
      </c>
      <c r="GA6" s="141">
        <f>IF(OR($DG6=0,$DM6=0),"","−"&amp;INDEX($I$2:$N$8,$CX6,$DM6)&amp;" · "&amp;CHOOSE($DM6,"Leve","Média","Pesada","Leve · Livre","Média · Livre","Pesada · Livre"))</f>
        <v/>
      </c>
      <c r="GB6" s="141">
        <f>IF(OR($DG6=0,$DE6=""),"","+"&amp;IF($DW6=1,CEILING($CX6/2,1),$CX6))</f>
        <v/>
      </c>
      <c r="GC6" s="141">
        <f>IF(OR($DG6=0,$DF6=""),"","+"&amp;IF($DX6=1,CEILING($CX6/2,1),$CX6))</f>
        <v/>
      </c>
      <c r="GE6" s="114" t="inlineStr">
        <is>
          <t>refino</t>
        </is>
      </c>
      <c r="GF6" s="141">
        <f>MAX(1,N(DADOS!$AK$34))</f>
        <v/>
      </c>
      <c r="GH6" s="114" t="inlineStr">
        <is>
          <t>Passiva 5</t>
        </is>
      </c>
      <c r="GI6" s="141">
        <f>'FICHA AMALDIÇOADA'!$J$381&amp;""</f>
        <v/>
      </c>
      <c r="GJ6" s="141">
        <f>IFERROR(VLOOKUP($GI6,$BJ$2:$BL$20,2,FALSE),0)</f>
        <v/>
      </c>
      <c r="GK6" s="141">
        <f>IFERROR(VLOOKUP($GJ6,$BN$2:$BO$4,2,FALSE),0)</f>
        <v/>
      </c>
      <c r="GL6" s="141">
        <f>IFERROR(VLOOKUP($GI6,$BJ$2:$BL$20,3,FALSE),"")</f>
        <v/>
      </c>
      <c r="GM6" s="141">
        <f>IF($GJ6=0,"",IF($GK6&gt;$GF$2,"⚠ Nível "&amp;$GK6,"CP "&amp;$GJ6))</f>
        <v/>
      </c>
      <c r="GN6" s="141">
        <f>IF($GJ6=0,"",$GJ6&amp;" esp.")</f>
        <v/>
      </c>
      <c r="GP6" s="114" t="inlineStr">
        <is>
          <t>Aptidão 5</t>
        </is>
      </c>
      <c r="GQ6" s="141">
        <f>'FICHA AMALDIÇOADA'!$J$441&amp;""</f>
        <v/>
      </c>
      <c r="GR6" s="141">
        <f>IF($GQ6="","","Requisito: "&amp;IFERROR(VLOOKUP($GQ6,$BQ$2:$BV$17,2,FALSE),""))</f>
        <v/>
      </c>
      <c r="GS6" s="141">
        <f>IF($GQ6="","",IFERROR(IF(ISNUMBER(VLOOKUP($GQ6,$BQ$2:$BV$17,3,FALSE)),"CP "&amp;VLOOKUP($GQ6,$BQ$2:$BV$17,3,FALSE),VLOOKUP($GQ6,$BQ$2:$BV$17,3,FALSE)),""))</f>
        <v/>
      </c>
      <c r="GT6" s="141">
        <f>IF($GQ6="","",IFERROR(VLOOKUP($GQ6,$BQ$2:$BV$17,4,FALSE),""))</f>
        <v/>
      </c>
      <c r="GU6" s="141">
        <f>IF($GQ6="","",IFERROR(VLOOKUP($GQ6,$BQ$2:$BV$17,5,FALSE),""))</f>
        <v/>
      </c>
      <c r="GW6" s="114" t="inlineStr">
        <is>
          <t>Classe 0 · 5</t>
        </is>
      </c>
      <c r="GX6" s="141">
        <f>'FICHA AMALDIÇOADA'!$F$308&amp;""</f>
        <v/>
      </c>
      <c r="GY6" s="141">
        <f>'FICHA AMALDIÇOADA'!$J$308&amp;""</f>
        <v/>
      </c>
      <c r="GZ6" s="141">
        <f>'FICHA AMALDIÇOADA'!$L$308&amp;""</f>
        <v/>
      </c>
      <c r="HA6" s="141">
        <f>IFERROR(MATCH($GX6,$Q$2:$Q$11,0),0)</f>
        <v/>
      </c>
      <c r="HB6" s="141">
        <f>$GF$11-IF($GY6&lt;&gt;"",1,0)+IF(AND($GY6&lt;&gt;"",$GZ6&lt;&gt;""),1,0)</f>
        <v/>
      </c>
      <c r="HC6" s="141">
        <f>IF(5&gt;$GF$10,"Nível 17",IF($HA6=0,"",IF(INDEX($W$2:$W$11,$HA6)&gt;=2,"—",$HB6&amp;"d8 = "&amp;FLOOR($HB6*4.5,1))))</f>
        <v/>
      </c>
      <c r="HD6" s="141">
        <f>IF(OR(5&gt;$GF$10,$HA6=0),"",INDEX($AH$2:$AM$31,($HA6-1)*3+1,1+IF(OR(AND($GY6="Longe",INDEX($Z$2:$Z$11,$HA6)&lt;&gt;2),AND($GY6="Maior",INDEX($Z$2:$Z$11,$HA6)&gt;=2)),1,0))&amp;INDEX($AN$2:$AS$31,($HA6-1)*3+1,1+IF(AND($GY6="Longe",INDEX($AA$2:$AA$11,$HA6)=1),1,0)))</f>
        <v/>
      </c>
      <c r="HF6" s="114" t="inlineStr">
        <is>
          <t>Liberação</t>
        </is>
      </c>
      <c r="HG6" s="141">
        <f>ADDRESS(ROW('FICHA AMALDIÇOADA'!J7),COLUMN('FICHA AMALDIÇOADA'!J7),4)</f>
        <v/>
      </c>
      <c r="HH6" s="141">
        <f>ADDRESS(ROW('FICHA AMALDIÇOADA'!D310),COLUMN('FICHA AMALDIÇOADA'!D310),4)</f>
        <v/>
      </c>
      <c r="HJ6" s="114" t="inlineStr">
        <is>
          <t>Q36</t>
        </is>
      </c>
      <c r="HK6" s="141">
        <f>IF(DADOS_AM!$GF$20=1,"⚠ ","")&amp;DADOS_AM!$GF$19</f>
        <v/>
      </c>
    </row>
    <row r="7">
      <c r="A7" s="114" t="inlineStr">
        <is>
          <t>Castigo</t>
        </is>
      </c>
      <c r="B7" s="141">
        <f>'FICHA AMALDIÇOADA'!$K$31&amp;""</f>
        <v/>
      </c>
      <c r="C7" s="141">
        <f>IF($B7="Livre",1,0)</f>
        <v/>
      </c>
      <c r="D7" s="141">
        <f>IF($B7="Fechada",1,0)</f>
        <v/>
      </c>
      <c r="H7" s="141" t="n">
        <v>6</v>
      </c>
      <c r="I7" s="141" t="n">
        <v>3</v>
      </c>
      <c r="J7" s="141" t="n">
        <v>6</v>
      </c>
      <c r="K7" s="141" t="n">
        <v>9</v>
      </c>
      <c r="L7" s="141" t="n">
        <v>1</v>
      </c>
      <c r="M7" s="141" t="n">
        <v>3</v>
      </c>
      <c r="N7" s="141" t="n">
        <v>6</v>
      </c>
      <c r="O7" s="141" t="n">
        <v>4</v>
      </c>
      <c r="Q7" s="114" t="inlineStr">
        <is>
          <t>Linha</t>
        </is>
      </c>
      <c r="R7" s="114" t="inlineStr">
        <is>
          <t>Área</t>
        </is>
      </c>
      <c r="S7" s="141" t="n">
        <v>1</v>
      </c>
      <c r="T7" s="141">
        <f>IF($S7=0,0,$S7+3*IFERROR(VLOOKUP($R7,$A$2:$D$10,3,FALSE),0))</f>
        <v/>
      </c>
      <c r="U7" s="141">
        <f>IFERROR(VLOOKUP($R7,$A$2:$D$10,4,FALSE),0)</f>
        <v/>
      </c>
      <c r="V7" s="141" t="n">
        <v>0</v>
      </c>
      <c r="W7" s="141" t="n">
        <v>0</v>
      </c>
      <c r="X7" s="114" t="inlineStr">
        <is>
          <t>TR, metade</t>
        </is>
      </c>
      <c r="Y7" s="141" t="n">
        <v>1</v>
      </c>
      <c r="Z7" s="141" t="n">
        <v>3</v>
      </c>
      <c r="AA7" s="141" t="n">
        <v>0</v>
      </c>
      <c r="AB7" s="141" t="n">
        <v>0</v>
      </c>
      <c r="AC7" s="141" t="n">
        <v>1</v>
      </c>
      <c r="AD7" s="141">
        <f>IF($U7=1,"",$Q7)</f>
        <v/>
      </c>
      <c r="AE7" s="141">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41" t="n">
        <v>2</v>
      </c>
      <c r="AX7" s="141">
        <f>$AW7+3*IFERROR(VLOOKUP($AV7,$A$2:$D$10,3,FALSE),0)</f>
        <v/>
      </c>
      <c r="AY7" s="141">
        <f>IFERROR(VLOOKUP($AV7,$A$2:$D$10,4,FALSE),0)</f>
        <v/>
      </c>
      <c r="AZ7" s="141" t="n">
        <v>0</v>
      </c>
      <c r="BA7" s="141">
        <f>IF($AY7=1,"",$AU7)</f>
        <v/>
      </c>
      <c r="BB7" s="141">
        <f>IF(AND($AW7=1,$AY7=0),$AU7,"")</f>
        <v/>
      </c>
      <c r="BD7" s="114" t="inlineStr">
        <is>
          <t>Recuo (Leve)</t>
        </is>
      </c>
      <c r="BE7" s="114" t="inlineStr">
        <is>
          <t>Recuo</t>
        </is>
      </c>
      <c r="BF7" s="141" t="n">
        <v>1</v>
      </c>
      <c r="BG7" s="141" t="n">
        <v>0</v>
      </c>
      <c r="BH7" s="114" t="inlineStr">
        <is>
          <t>Recuo (Leve)</t>
        </is>
      </c>
      <c r="BJ7" s="114" t="inlineStr">
        <is>
          <t>Aviso</t>
        </is>
      </c>
      <c r="BK7" s="141" t="n">
        <v>1</v>
      </c>
      <c r="BL7" s="114" t="inlineStr">
        <is>
          <t>Você sabe qual foi o último feitiço que um inimigo à vista usou.</t>
        </is>
      </c>
      <c r="BQ7" s="114" t="inlineStr">
        <is>
          <t>Regravação</t>
        </is>
      </c>
      <c r="BR7" s="114" t="inlineStr">
        <is>
          <t>Circulação</t>
        </is>
      </c>
      <c r="BS7" s="141"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41" t="n">
        <v>0</v>
      </c>
      <c r="CW7" s="141" t="n">
        <v>6</v>
      </c>
      <c r="CX7" s="141">
        <f>MAX(1,MIN(7,N('FICHA AMALDIÇOADA'!$P$66)))</f>
        <v/>
      </c>
      <c r="CY7" s="141">
        <f>'FICHA AMALDIÇOADA'!$Q$66&amp;""</f>
        <v/>
      </c>
      <c r="CZ7" s="141">
        <f>'FICHA AMALDIÇOADA'!$P$73&amp;""</f>
        <v/>
      </c>
      <c r="DA7" s="141">
        <f>'FICHA AMALDIÇOADA'!$Q$75&amp;""</f>
        <v/>
      </c>
      <c r="DB7" s="141">
        <f>'FICHA AMALDIÇOADA'!$Q$76&amp;""</f>
        <v/>
      </c>
      <c r="DC7" s="141">
        <f>'FICHA AMALDIÇOADA'!$Q$77&amp;""</f>
        <v/>
      </c>
      <c r="DD7" s="141">
        <f>'FICHA AMALDIÇOADA'!$Q$78&amp;""</f>
        <v/>
      </c>
      <c r="DE7" s="141">
        <f>'FICHA AMALDIÇOADA'!$Q$79&amp;""</f>
        <v/>
      </c>
      <c r="DF7" s="141">
        <f>'FICHA AMALDIÇOADA'!$Q$80&amp;""</f>
        <v/>
      </c>
      <c r="DG7" s="141">
        <f>IF($CY7&lt;&gt;"",1,0)</f>
        <v/>
      </c>
      <c r="DH7" s="141">
        <f>IFERROR(MATCH($CZ7,$Q$2:$Q$11,0),0)</f>
        <v/>
      </c>
      <c r="DI7" s="141">
        <f>IF($DH7=0,0,INDEX($T$2:$T$11,$DH7))</f>
        <v/>
      </c>
      <c r="DJ7" s="141">
        <f>IFERROR(VLOOKUP($DA7,$AU$2:$BB$84,4,FALSE),0)</f>
        <v/>
      </c>
      <c r="DK7" s="141">
        <f>IFERROR(VLOOKUP($DB7,$AU$2:$BB$84,4,FALSE),0)</f>
        <v/>
      </c>
      <c r="DL7" s="141">
        <f>IFERROR(VLOOKUP($DC7,$AU$2:$BB$84,4,FALSE),0)</f>
        <v/>
      </c>
      <c r="DM7" s="141">
        <f>IFERROR(VLOOKUP($DD7,$AU$2:$BB$84,4,FALSE),0)</f>
        <v/>
      </c>
      <c r="DN7" s="141">
        <f>IF($DH7=0,0,INDEX($U$2:$U$11,$DH7))</f>
        <v/>
      </c>
      <c r="DO7" s="141">
        <f>IFERROR(VLOOKUP($DA7,$AU$2:$BB$84,5,FALSE),0)</f>
        <v/>
      </c>
      <c r="DP7" s="141">
        <f>IFERROR(VLOOKUP($DB7,$AU$2:$BB$84,5,FALSE),0)</f>
        <v/>
      </c>
      <c r="DQ7" s="141">
        <f>IFERROR(VLOOKUP($DC7,$AU$2:$BB$84,5,FALSE),0)</f>
        <v/>
      </c>
      <c r="DR7" s="141">
        <f>IFERROR(VLOOKUP($DD7,$AU$2:$BB$84,5,FALSE),0)</f>
        <v/>
      </c>
      <c r="DS7" s="141">
        <f>IFERROR(VLOOKUP($DA7,$AU$2:$BB$84,6,FALSE),0)+IFERROR(VLOOKUP($DB7,$AU$2:$BB$84,6,FALSE),0)+IFERROR(VLOOKUP($DC7,$AU$2:$BB$84,6,FALSE),0)+IFERROR(VLOOKUP($DD7,$AU$2:$BB$84,6,FALSE),0)</f>
        <v/>
      </c>
      <c r="DT7" s="141">
        <f>IF($DH7=0,0,INDEX($V$2:$V$11,$DH7))</f>
        <v/>
      </c>
      <c r="DU7" s="141">
        <f>IF($DH7=0,0,INDEX($W$2:$W$11,$DH7))</f>
        <v/>
      </c>
      <c r="DV7" s="141">
        <f>IF($DH7=0,0,INDEX($Y$2:$Y$11,$DH7))</f>
        <v/>
      </c>
      <c r="DW7" s="141">
        <f>IFERROR(VLOOKUP($DE7,$BD$2:$BH$24,3,FALSE),0)</f>
        <v/>
      </c>
      <c r="DX7" s="141">
        <f>IFERROR(VLOOKUP($DF7,$BD$2:$BH$24,3,FALSE),0)</f>
        <v/>
      </c>
      <c r="DY7" s="141">
        <f>IFERROR(VLOOKUP($DE7,$BD$2:$BH$24,2,FALSE),"")</f>
        <v/>
      </c>
      <c r="DZ7" s="141">
        <f>IFERROR(VLOOKUP($DF7,$BD$2:$BH$24,2,FALSE),"")</f>
        <v/>
      </c>
      <c r="EA7" s="141">
        <f>COUNTIF($DI7:$DM7,1)</f>
        <v/>
      </c>
      <c r="EB7" s="141">
        <f>COUNTIF($DI7:$DM7,2)</f>
        <v/>
      </c>
      <c r="EC7" s="141">
        <f>COUNTIF($DI7:$DM7,3)</f>
        <v/>
      </c>
      <c r="ED7" s="141">
        <f>COUNTIF($DI7:$DM7,4)</f>
        <v/>
      </c>
      <c r="EE7" s="141">
        <f>COUNTIF($DI7:$DM7,5)</f>
        <v/>
      </c>
      <c r="EF7" s="141">
        <f>COUNTIF($DI7:$DM7,6)</f>
        <v/>
      </c>
      <c r="EG7" s="141">
        <f>COUNTIF($DW7:$DX7,1)</f>
        <v/>
      </c>
      <c r="EH7" s="141">
        <f>COUNTIF($DW7:$DX7,2)+$DT7</f>
        <v/>
      </c>
      <c r="EI7" s="141">
        <f>COUNTIF($DA7:$DD7,"?*")</f>
        <v/>
      </c>
      <c r="EJ7" s="141">
        <f>COUNTIF($DE7:$DF7,"?*")+$DT7</f>
        <v/>
      </c>
      <c r="EK7" s="141">
        <f>SUMPRODUCT($EA7:$EF7,INDEX($I$2:$N$8,$CX7,0))</f>
        <v/>
      </c>
      <c r="EL7" s="141">
        <f>$EG7*CEILING($CX7/2,1)+$EH7*$CX7</f>
        <v/>
      </c>
      <c r="EM7" s="141">
        <f>MIN(2*$CX7,$EL7)</f>
        <v/>
      </c>
      <c r="EN7" s="141">
        <f>MIN($EM7,$EK7)</f>
        <v/>
      </c>
      <c r="EO7" s="141">
        <f>$EM7-$EN7</f>
        <v/>
      </c>
      <c r="EP7" s="141">
        <f>3*$CX7-$EK7+$EN7</f>
        <v/>
      </c>
      <c r="EQ7" s="141">
        <f>MAX(0,$EP7)+$CV7*$CX7</f>
        <v/>
      </c>
      <c r="ER7" s="141">
        <f>(IF(COUNTIF($DA7:$DD7,"Salto")&gt;0,1,0)+IF(COUNTIF($DA7:$DD7,"Queima")&gt;0,1,0))*FLOOR($EQ7/2,1)</f>
        <v/>
      </c>
      <c r="ES7" s="141">
        <f>MAX(0,3-SUMPRODUCT($EA7:$EF7,$I$2:$N$2)+MIN(2,$EG7*1+$EH7*1,SUMPRODUCT($EA7:$EF7,$I$2:$N$2)))+$CV7*1</f>
        <v/>
      </c>
      <c r="ET7" s="141">
        <f>MAX(0,6-SUMPRODUCT($EA7:$EF7,$I$3:$N$3)+MIN(4,$EG7*1+$EH7*2,SUMPRODUCT($EA7:$EF7,$I$3:$N$3)))+$CV7*2</f>
        <v/>
      </c>
      <c r="EU7" s="141">
        <f>MAX(0,9-SUMPRODUCT($EA7:$EF7,$I$4:$N$4)+MIN(6,$EG7*2+$EH7*3,SUMPRODUCT($EA7:$EF7,$I$4:$N$4)))+$CV7*3</f>
        <v/>
      </c>
      <c r="EV7" s="141">
        <f>MAX(0,12-SUMPRODUCT($EA7:$EF7,$I$5:$N$5)+MIN(8,$EG7*2+$EH7*4,SUMPRODUCT($EA7:$EF7,$I$5:$N$5)))+$CV7*4</f>
        <v/>
      </c>
      <c r="EW7" s="141">
        <f>MAX(0,15-SUMPRODUCT($EA7:$EF7,$I$6:$N$6)+MIN(10,$EG7*3+$EH7*5,SUMPRODUCT($EA7:$EF7,$I$6:$N$6)))+$CV7*5</f>
        <v/>
      </c>
      <c r="EX7" s="141">
        <f>MAX(0,18-SUMPRODUCT($EA7:$EF7,$I$7:$N$7)+MIN(12,$EG7*3+$EH7*6,SUMPRODUCT($EA7:$EF7,$I$7:$N$7)))+$CV7*6</f>
        <v/>
      </c>
      <c r="EY7" s="141">
        <f>MAX(0,21-SUMPRODUCT($EA7:$EF7,$I$8:$N$8)+MIN(14,$EG7*4+$EH7*7,SUMPRODUCT($EA7:$EF7,$I$8:$N$8)))+$CV7*7</f>
        <v/>
      </c>
      <c r="EZ7" s="141">
        <f>IF($DU7=2,3*$ES7&amp;" de vida temp.",IF($DU7=3,"sem dano",IF($ES7=0,IF($DU7=1,"sem cura","sem dano"),IF($DU7=1,"cura ","")&amp;$ES7&amp;"d8")))</f>
        <v/>
      </c>
      <c r="FA7" s="141">
        <f>IF($DU7=2,3*$ET7&amp;" de vida temp.",IF($DU7=3,"sem dano",IF($ET7=0,IF($DU7=1,"sem cura","sem dano"),IF($DU7=1,"cura ","")&amp;$ET7&amp;"d8")))</f>
        <v/>
      </c>
      <c r="FB7" s="141">
        <f>IF($DU7=2,3*$EU7&amp;" de vida temp.",IF($DU7=3,"sem dano",IF($EU7=0,IF($DU7=1,"sem cura","sem dano"),IF($DU7=1,"cura ","")&amp;$EU7&amp;"d8")))</f>
        <v/>
      </c>
      <c r="FC7" s="141">
        <f>IF($DU7=2,3*$EV7&amp;" de vida temp.",IF($DU7=3,"sem dano",IF($EV7=0,IF($DU7=1,"sem cura","sem dano"),IF($DU7=1,"cura ","")&amp;$EV7&amp;"d8")))</f>
        <v/>
      </c>
      <c r="FD7" s="141">
        <f>IF($DU7=2,3*$EW7&amp;" de vida temp.",IF($DU7=3,"sem dano",IF($EW7=0,IF($DU7=1,"sem cura","sem dano"),IF($DU7=1,"cura ","")&amp;$EW7&amp;"d8")))</f>
        <v/>
      </c>
      <c r="FE7" s="141">
        <f>IF($DU7=2,3*$EX7&amp;" de vida temp.",IF($DU7=3,"sem dano",IF($EX7=0,IF($DU7=1,"sem cura","sem dano"),IF($DU7=1,"cura ","")&amp;$EX7&amp;"d8")))</f>
        <v/>
      </c>
      <c r="FF7" s="141">
        <f>IF($DU7=2,3*$EY7&amp;" de vida temp.",IF($DU7=3,"sem dano",IF($EY7=0,IF($DU7=1,"sem cura","sem dano"),IF($DU7=1,"cura ","")&amp;$EY7&amp;"d8")))</f>
        <v/>
      </c>
      <c r="FG7" s="141">
        <f>IF($DG7=0,"",TEXTJOIN(" · ",TRUE,IF(AND($CV7=1,$CW7&gt;$GF$9),"O nível "&amp;$GF$2&amp;" dá "&amp;$GF$9&amp;" Liberação Máxima",""),IF($CX7&gt;$GF$4,"Classe "&amp;$CX7&amp;": o nível "&amp;$GF$2&amp;" libera até a "&amp;$GF$4,""),IF($DN7=1,"Família Fechada: a Forma "&amp;$CZ7,""),IF($DO7=1,"Família Fechada: "&amp;$DA7,""),IF($DP7=1,"Família Fechada: "&amp;$DB7,""),IF($DQ7=1,"Família Fechada: "&amp;$DC7,""),IF($DR7=1,"Família Fechada: "&amp;$DD7,""),IF($EI7&gt;INDEX($O$2:$O$8,$CX7),$EI7&amp;" Melhorias: a Classe "&amp;$CX7&amp;" aceita "&amp;INDEX($O$2:$O$8,$CX7),""),IF($EJ7&gt;2,$EJ7&amp;" Restrições"&amp;IF($DT7=1,", contando a que a Forma "&amp;$CZ7&amp;" já traz","")&amp;": o limite é 2",""),IF($EP7&lt;0,"Orçamento estourado: faltam "&amp;(-$EP7)&amp;IF($EP7&lt;-1," pontos"," ponto"),""),IF(IFERROR(VLOOKUP($DE7,$BD$2:$BH$24,4,FALSE),0)+IFERROR(VLOOKUP($DF7,$BD$2:$BH$24,4,FALSE),0)&gt;1,$DY7&amp;" e "&amp;$DZ7&amp;" são as duas de frequência",""),IF(AND((COUNTIF($DA7:$DD7,"Rápido")+COUNTIF($DY7:$DZ7,"Rápido"))&gt;0,(COUNTIF($DA7:$DD7,"Reação")+COUNTIF($DY7:$DZ7,"Reação"))&gt;0),"Rápido não entra com Reação",""),IF(AND((COUNTIF($DA7:$DD7,"Rápido")+COUNTIF($DY7:$DZ7,"Rápido"))&gt;0,(COUNTIF($DA7:$DD7,"Atrasar")+COUNTIF($DY7:$DZ7,"Atrasar"))&gt;0),"Rápido não entra com Atrasar",""),IF(AND((COUNTIF($DA7:$DD7,"Reação")+COUNTIF($DY7:$DZ7,"Reação"))&gt;0,(COUNTIF($DA7:$DD7,"Atrasar")+COUNTIF($DY7:$DZ7,"Atrasar"))&gt;0),"Reação não entra com Atrasar",""),IF(AND((COUNTIF($DA7:$DD7,"Reação")+COUNTIF($DY7:$DZ7,"Reação"))&gt;0,(COUNTIF($DA7:$DD7,"Parado")+COUNTIF($DY7:$DZ7,"Parado"))&gt;0),"Reação não entra com Parado",""),IF(AND(COUNTIF($DY7:$DZ7,"Corpo a Corpo")&gt;0,$DT7=0,OR($CZ7="Cone",$CZ7="Linha")),"Corpo a Corpo não entra em "&amp;$CZ7,""),IF(AND(COUNTIF($DY7:$DZ7,"Corpo a Corpo")&gt;0,$DT7=1),"A Forma "&amp;$CZ7&amp;" já traz o Corpo a Corpo",""),IF(AND(COUNTIF($DY7:$DZ7,"Tudo ou Nada")&gt;0,$DV7=0),"Tudo ou Nada só entra em feitiço de Teste de Resistência",""),IF(AND(COUNTIF($DA7:$DD7,"Inescapável")&gt;0,OR($EI7&gt;1,$EJ7&gt;0)),"Inescapável não aceita outra peça",""),IF(AND($CV7=1,$CX7&lt;3),"Liberação Máxima é de Classe 3 ou mais",""),IF(AND($CV7=1,OR($DU7=1,$DU7=2)),"Liberação Máxima não serve para cura",""),IF(AND($CV7=1,COUNTIF($DA7:$DD7,"Inescapável")+COUNTIF($DA7:$DD7,"Toca a Alma")&gt;0),"Esta peça não entra numa Liberação Máxima",""),IF($EQ7+$ER7&gt;4*$CX7,($EQ7+$ER7)&amp;" dados somando alvos e repetições: o teto da Classe "&amp;$CX7&amp;" é "&amp;4*$CX7,"")))</f>
        <v/>
      </c>
      <c r="FH7" s="141">
        <f>IF($FG7="",0,(LEN($FG7)-LEN(SUBSTITUTE($FG7," · ","")))/3+1)</f>
        <v/>
      </c>
      <c r="FI7" s="141">
        <f>IF($DG7=0,"",TEXTJOIN(" · ",TRUE,IF($EL7&gt;2*$CX7,"A devolução parou no teto de "&amp;2*$CX7,""),IF($EO7&gt;0,"Devolução perdida: "&amp;$EO7&amp;IF($EO7&gt;1," pontos"," ponto")&amp;" sem peça para pagar",""),IF(AND($DS7&gt;0,$EQ7=0),"Controle sem dano: uma rodada a mais e CD +2",""),IF(AND($DS7&gt;0,$EQ7&gt;0,$EQ7&lt;=$CX7),"Controle com um quarto do teto: uma rodada a mais","")))</f>
        <v/>
      </c>
      <c r="FJ7" s="141">
        <f>IF($FI7="",0,(LEN($FI7)-LEN(SUBSTITUTE($FI7," · ","")))/3+1)</f>
        <v/>
      </c>
      <c r="FK7" s="141">
        <f>IF($DG7=0,IF($EI7+$EJ7-$DT7&gt;0,"Dê um nome",""),IF($FH7&gt;0,"⚠ "&amp;$FH7&amp;IF($FH7&gt;1," erros"," erro"),IF($FJ7&gt;0,"! "&amp;$FJ7&amp;IF($FJ7&gt;1," avisos"," aviso"),"Na regra")))</f>
        <v/>
      </c>
      <c r="FL7" s="141">
        <f>IF($DG7=0,"",IF($FH7+$FJ7=0,"Dentro das regras que a ficha confere",$FG7&amp;IF(AND($FH7&gt;0,$FJ7&gt;0)," · ","")&amp;$FI7))</f>
        <v/>
      </c>
      <c r="FM7" s="141">
        <f>IF($DG7=0,"",IF($CV7=1,CEILING(4.5*$CX7,1),3*$CX7)&amp;" PE")</f>
        <v/>
      </c>
      <c r="FN7" s="141">
        <f>IF($DG7=0,"",IF($CV7=1,"Rodada inteira",IF(COUNTIF($DY7:$DZ7,"Atrasar")&gt;0,IF(COUNTIF($DY7:$DZ7,"Carregar")&gt;0,"Rodada +1 turno","Rodada inteira"),IF(COUNTIF($DA7:$DD7,"Rápido")&gt;0,"Bônus",IF(COUNTIF($DA7:$DD7,"Reação")&gt;0,"Reação","Padrão"))&amp;IF(COUNTIF($DY7:$DZ7,"Carregar")&gt;0," +1 turno",""))))</f>
        <v/>
      </c>
      <c r="FO7" s="141">
        <f>IF(OR($DG7=0,$DH7=0),"",IF(COUNTIF($DA7:$DD7,"Inescapável")&gt;0,"Automático",IF(COUNTIF($DA7:$DD7,"Certeiro")&gt;0,"TR para metade",INDEX($X$2:$X$11,$DH7))))</f>
        <v/>
      </c>
      <c r="FP7" s="141">
        <f>IF(OR($DG7=0,$DH7=0),"",IF(OR($DU7&gt;=2,$EQ7=0),UPPER(LEFT(INDEX($EZ7:$FF7,1,$CX7),1))&amp;MID(INDEX($EZ7:$FF7,1,$CX7),2,99),UPPER(LEFT(INDEX($EZ7:$FF7,1,$CX7),1))&amp;MID(INDEX($EZ7:$FF7,1,$CX7),2,99)&amp;" = "&amp;FLOOR($EQ7*4.5,1)&amp;IF($ER7&gt;0," · +"&amp;$ER7&amp;"d8","")))</f>
        <v/>
      </c>
      <c r="FQ7" s="141">
        <f>COUNTIF($DA7:$DD7,"Longe")+3*COUNTIF($DA7:$DD7,"Muito Longe")</f>
        <v/>
      </c>
      <c r="FR7" s="141">
        <f>COUNTIF($DA7:$DD7,"Maior")+3*COUNTIF($DA7:$DD7,"Muito Maior")</f>
        <v/>
      </c>
      <c r="FS7" s="141">
        <f>IF($DH7=0,0,CHOOSE(1+INDEX($Z$2:$Z$11,$DH7),0,$FQ7,$FR7,$FQ7+$FR7))</f>
        <v/>
      </c>
      <c r="FT7" s="141">
        <f>IF($DH7=0,0,CHOOSE(1+INDEX($AA$2:$AA$11,$DH7),0,$FQ7,$FR7,$FQ7+$FR7))</f>
        <v/>
      </c>
      <c r="FU7" s="141">
        <f>IF(OR($DG7=0,$DH7=0),"",INDEX($AH$2:$AM$31,($DH7-1)*3+IF($CX7&gt;=6,3,2),1+MIN(5,$FS7))&amp;INDEX($AN$2:$AS$31,($DH7-1)*3+IF($CX7&gt;=6,3,2),1+MIN(5,$FT7))&amp;IF(INDEX($AB$2:$AB$11,$DH7)=1,IF(COUNTIF($DA7:$DD7,"Mais Um")&gt;0," · +"&amp;COUNTIF($DA7:$DD7,"Mais Um")&amp;IF(COUNTIF($DA7:$DD7,"Mais Um")&gt;1," alvos"," alvo"),"")&amp;IF(COUNTIF($DA7:$DD7,"Rajada")&gt;0," · "&amp;($CX7+1)&amp;" tiros",""),""))</f>
        <v/>
      </c>
      <c r="FV7" s="141">
        <f>IF($DG7=0,"",3*$CX7&amp;" − "&amp;$EK7&amp;" + "&amp;$EN7&amp;IF($CV7=1," + "&amp;$CX7,"")&amp;" = "&amp;$EQ7&amp;"d8 · teto "&amp;4*$CX7&amp;IF($DT7=1," · a Forma devolve "&amp;$CX7,"")&amp;IF($EO7&gt;0," · perde "&amp;$EO7,""))</f>
        <v/>
      </c>
      <c r="FW7" s="141">
        <f>IF($DG7=0,"",IF($CX7&gt;=$GF$4,"Já está na maior Classe que o nível liberou",TEXTJOIN(" · ",TRUE,IF(AND(2&gt;$CX7,2&lt;=$GF$4),"2 → "&amp;$FA7&amp;", "&amp;IF($CV7=1,9,6)&amp;" PE",""),IF(AND(3&gt;$CX7,3&lt;=$GF$4),"3 → "&amp;$FB7&amp;", "&amp;IF($CV7=1,14,9)&amp;" PE",""),IF(AND(4&gt;$CX7,4&lt;=$GF$4),"4 → "&amp;$FC7&amp;", "&amp;IF($CV7=1,18,12)&amp;" PE",""),IF(AND(5&gt;$CX7,5&lt;=$GF$4),"5 → "&amp;$FD7&amp;", "&amp;IF($CV7=1,23,15)&amp;" PE",""),IF(AND(6&gt;$CX7,6&lt;=$GF$4),"6 → "&amp;$FE7&amp;", "&amp;IF($CV7=1,27,18)&amp;" PE",""),IF(AND(7&gt;$CX7,7&lt;=$GF$4),"7 → "&amp;$FF7&amp;", "&amp;IF($CV7=1,32,21)&amp;" PE",""))))</f>
        <v/>
      </c>
      <c r="FX7" s="141">
        <f>IF(OR($DG7=0,$DJ7=0),"","−"&amp;INDEX($I$2:$N$8,$CX7,$DJ7)&amp;" · "&amp;CHOOSE($DJ7,"Leve","Média","Pesada","Leve · Livre","Média · Livre","Pesada · Livre"))</f>
        <v/>
      </c>
      <c r="FY7" s="141">
        <f>IF(OR($DG7=0,$DK7=0),"","−"&amp;INDEX($I$2:$N$8,$CX7,$DK7)&amp;" · "&amp;CHOOSE($DK7,"Leve","Média","Pesada","Leve · Livre","Média · Livre","Pesada · Livre"))</f>
        <v/>
      </c>
      <c r="FZ7" s="141">
        <f>IF(OR($DG7=0,$DL7=0),"","−"&amp;INDEX($I$2:$N$8,$CX7,$DL7)&amp;" · "&amp;CHOOSE($DL7,"Leve","Média","Pesada","Leve · Livre","Média · Livre","Pesada · Livre"))</f>
        <v/>
      </c>
      <c r="GA7" s="141">
        <f>IF(OR($DG7=0,$DM7=0),"","−"&amp;INDEX($I$2:$N$8,$CX7,$DM7)&amp;" · "&amp;CHOOSE($DM7,"Leve","Média","Pesada","Leve · Livre","Média · Livre","Pesada · Livre"))</f>
        <v/>
      </c>
      <c r="GB7" s="141">
        <f>IF(OR($DG7=0,$DE7=""),"","+"&amp;IF($DW7=1,CEILING($CX7/2,1),$CX7))</f>
        <v/>
      </c>
      <c r="GC7" s="141">
        <f>IF(OR($DG7=0,$DF7=""),"","+"&amp;IF($DX7=1,CEILING($CX7/2,1),$CX7))</f>
        <v/>
      </c>
      <c r="GE7" s="114" t="inlineStr">
        <is>
          <t>essência</t>
        </is>
      </c>
      <c r="GF7" s="141">
        <f>N(FICHA!$AJ$19)</f>
        <v/>
      </c>
      <c r="GH7" s="114" t="inlineStr">
        <is>
          <t>Passiva 6 · Leque</t>
        </is>
      </c>
      <c r="GI7" s="141">
        <f>'FICHA AMALDIÇOADA'!$D$391&amp;""</f>
        <v/>
      </c>
      <c r="GJ7" s="141">
        <f>IFERROR(VLOOKUP($GI7,$BJ$2:$BL$20,2,FALSE),0)</f>
        <v/>
      </c>
      <c r="GK7" s="141">
        <f>IFERROR(VLOOKUP($GJ7,$BN$2:$BO$4,2,FALSE),0)</f>
        <v/>
      </c>
      <c r="GL7" s="141">
        <f>IFERROR(VLOOKUP($GI7,$BJ$2:$BL$20,3,FALSE),"")</f>
        <v/>
      </c>
      <c r="GM7" s="141">
        <f>IF($GJ7=0,"",IF($GK7&gt;$GF$2,"⚠ Nível "&amp;$GK7,"CP "&amp;$GJ7))</f>
        <v/>
      </c>
      <c r="GN7" s="141">
        <f>IF($GJ7=0,"",IF(1&gt;$GF$8,"⚠ Vaga","Grátis"))</f>
        <v/>
      </c>
      <c r="GP7" s="114" t="inlineStr">
        <is>
          <t>Aptidão 6</t>
        </is>
      </c>
      <c r="GQ7" s="141">
        <f>'FICHA AMALDIÇOADA'!$P$441&amp;""</f>
        <v/>
      </c>
      <c r="GR7" s="141">
        <f>IF($GQ7="","","Requisito: "&amp;IFERROR(VLOOKUP($GQ7,$BQ$2:$BV$17,2,FALSE),""))</f>
        <v/>
      </c>
      <c r="GS7" s="141">
        <f>IF($GQ7="","",IFERROR(IF(ISNUMBER(VLOOKUP($GQ7,$BQ$2:$BV$17,3,FALSE)),"CP "&amp;VLOOKUP($GQ7,$BQ$2:$BV$17,3,FALSE),VLOOKUP($GQ7,$BQ$2:$BV$17,3,FALSE)),""))</f>
        <v/>
      </c>
      <c r="GT7" s="141">
        <f>IF($GQ7="","",IFERROR(VLOOKUP($GQ7,$BQ$2:$BV$17,4,FALSE),""))</f>
        <v/>
      </c>
      <c r="GU7" s="141">
        <f>IF($GQ7="","",IFERROR(VLOOKUP($GQ7,$BQ$2:$BV$17,5,FALSE),""))</f>
        <v/>
      </c>
      <c r="HF7" s="114" t="inlineStr">
        <is>
          <t>T. Máxima</t>
        </is>
      </c>
      <c r="HG7" s="141">
        <f>ADDRESS(ROW('FICHA AMALDIÇOADA'!K7),COLUMN('FICHA AMALDIÇOADA'!K7),4)</f>
        <v/>
      </c>
      <c r="HH7" s="141">
        <f>ADDRESS(ROW('FICHA AMALDIÇOADA'!D334),COLUMN('FICHA AMALDIÇOADA'!D334),4)</f>
        <v/>
      </c>
      <c r="HJ7" s="114" t="inlineStr">
        <is>
          <t>R36</t>
        </is>
      </c>
      <c r="HK7" s="141">
        <f>IF(DADOS_AM!$GF$22&lt;0,"⚠ ","")&amp;DADOS_AM!$GF$22</f>
        <v/>
      </c>
    </row>
    <row r="8">
      <c r="A8" s="114" t="inlineStr">
        <is>
          <t>Tempo</t>
        </is>
      </c>
      <c r="B8" s="141">
        <f>'FICHA AMALDIÇOADA'!$L$31&amp;""</f>
        <v/>
      </c>
      <c r="C8" s="141">
        <f>IF($B8="Livre",1,0)</f>
        <v/>
      </c>
      <c r="D8" s="141">
        <f>IF($B8="Fechada",1,0)</f>
        <v/>
      </c>
      <c r="H8" s="141" t="n">
        <v>7</v>
      </c>
      <c r="I8" s="141" t="n">
        <v>4</v>
      </c>
      <c r="J8" s="141" t="n">
        <v>7</v>
      </c>
      <c r="K8" s="141" t="n">
        <v>11</v>
      </c>
      <c r="L8" s="141" t="n">
        <v>1</v>
      </c>
      <c r="M8" s="141" t="n">
        <v>3</v>
      </c>
      <c r="N8" s="141" t="n">
        <v>7</v>
      </c>
      <c r="O8" s="141" t="n">
        <v>4</v>
      </c>
      <c r="Q8" s="114" t="inlineStr">
        <is>
          <t>Cura</t>
        </is>
      </c>
      <c r="R8" s="114" t="inlineStr">
        <is>
          <t>Amparo</t>
        </is>
      </c>
      <c r="S8" s="141" t="n">
        <v>2</v>
      </c>
      <c r="T8" s="141">
        <f>IF($S8=0,0,$S8+3*IFERROR(VLOOKUP($R8,$A$2:$D$10,3,FALSE),0))</f>
        <v/>
      </c>
      <c r="U8" s="141">
        <f>IFERROR(VLOOKUP($R8,$A$2:$D$10,4,FALSE),0)</f>
        <v/>
      </c>
      <c r="V8" s="141" t="n">
        <v>0</v>
      </c>
      <c r="W8" s="141" t="n">
        <v>1</v>
      </c>
      <c r="X8" s="114" t="inlineStr">
        <is>
          <t>Automático</t>
        </is>
      </c>
      <c r="Y8" s="141" t="n">
        <v>0</v>
      </c>
      <c r="Z8" s="141" t="n">
        <v>1</v>
      </c>
      <c r="AA8" s="141" t="n">
        <v>0</v>
      </c>
      <c r="AB8" s="141" t="n">
        <v>0</v>
      </c>
      <c r="AC8" s="141" t="n">
        <v>0</v>
      </c>
      <c r="AD8" s="141">
        <f>IF($U8=1,"",$Q8)</f>
        <v/>
      </c>
      <c r="AE8" s="141">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41" t="n">
        <v>2</v>
      </c>
      <c r="AX8" s="141">
        <f>$AW8+3*IFERROR(VLOOKUP($AV8,$A$2:$D$10,3,FALSE),0)</f>
        <v/>
      </c>
      <c r="AY8" s="141">
        <f>IFERROR(VLOOKUP($AV8,$A$2:$D$10,4,FALSE),0)</f>
        <v/>
      </c>
      <c r="AZ8" s="141" t="n">
        <v>0</v>
      </c>
      <c r="BA8" s="141">
        <f>IF($AY8=1,"",$AU8)</f>
        <v/>
      </c>
      <c r="BB8" s="141">
        <f>IF(AND($AW8=1,$AY8=0),$AU8,"")</f>
        <v/>
      </c>
      <c r="BD8" s="114" t="inlineStr">
        <is>
          <t>Recuo (Média)</t>
        </is>
      </c>
      <c r="BE8" s="114" t="inlineStr">
        <is>
          <t>Recuo</t>
        </is>
      </c>
      <c r="BF8" s="141" t="n">
        <v>2</v>
      </c>
      <c r="BG8" s="141" t="n">
        <v>0</v>
      </c>
      <c r="BH8" s="114" t="inlineStr"/>
      <c r="BJ8" s="114" t="inlineStr">
        <is>
          <t>Fluxo</t>
        </is>
      </c>
      <c r="BK8" s="141"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41" t="n">
        <v>0</v>
      </c>
      <c r="CW8" s="141" t="n">
        <v>7</v>
      </c>
      <c r="CX8" s="141">
        <f>MAX(1,MIN(7,N('FICHA AMALDIÇOADA'!$D$87)))</f>
        <v/>
      </c>
      <c r="CY8" s="141">
        <f>'FICHA AMALDIÇOADA'!$E$87&amp;""</f>
        <v/>
      </c>
      <c r="CZ8" s="141">
        <f>'FICHA AMALDIÇOADA'!$D$94&amp;""</f>
        <v/>
      </c>
      <c r="DA8" s="141">
        <f>'FICHA AMALDIÇOADA'!$E$96&amp;""</f>
        <v/>
      </c>
      <c r="DB8" s="141">
        <f>'FICHA AMALDIÇOADA'!$E$97&amp;""</f>
        <v/>
      </c>
      <c r="DC8" s="141">
        <f>'FICHA AMALDIÇOADA'!$E$98&amp;""</f>
        <v/>
      </c>
      <c r="DD8" s="141">
        <f>'FICHA AMALDIÇOADA'!$E$99&amp;""</f>
        <v/>
      </c>
      <c r="DE8" s="141">
        <f>'FICHA AMALDIÇOADA'!$E$100&amp;""</f>
        <v/>
      </c>
      <c r="DF8" s="141">
        <f>'FICHA AMALDIÇOADA'!$E$101&amp;""</f>
        <v/>
      </c>
      <c r="DG8" s="141">
        <f>IF($CY8&lt;&gt;"",1,0)</f>
        <v/>
      </c>
      <c r="DH8" s="141">
        <f>IFERROR(MATCH($CZ8,$Q$2:$Q$11,0),0)</f>
        <v/>
      </c>
      <c r="DI8" s="141">
        <f>IF($DH8=0,0,INDEX($T$2:$T$11,$DH8))</f>
        <v/>
      </c>
      <c r="DJ8" s="141">
        <f>IFERROR(VLOOKUP($DA8,$AU$2:$BB$84,4,FALSE),0)</f>
        <v/>
      </c>
      <c r="DK8" s="141">
        <f>IFERROR(VLOOKUP($DB8,$AU$2:$BB$84,4,FALSE),0)</f>
        <v/>
      </c>
      <c r="DL8" s="141">
        <f>IFERROR(VLOOKUP($DC8,$AU$2:$BB$84,4,FALSE),0)</f>
        <v/>
      </c>
      <c r="DM8" s="141">
        <f>IFERROR(VLOOKUP($DD8,$AU$2:$BB$84,4,FALSE),0)</f>
        <v/>
      </c>
      <c r="DN8" s="141">
        <f>IF($DH8=0,0,INDEX($U$2:$U$11,$DH8))</f>
        <v/>
      </c>
      <c r="DO8" s="141">
        <f>IFERROR(VLOOKUP($DA8,$AU$2:$BB$84,5,FALSE),0)</f>
        <v/>
      </c>
      <c r="DP8" s="141">
        <f>IFERROR(VLOOKUP($DB8,$AU$2:$BB$84,5,FALSE),0)</f>
        <v/>
      </c>
      <c r="DQ8" s="141">
        <f>IFERROR(VLOOKUP($DC8,$AU$2:$BB$84,5,FALSE),0)</f>
        <v/>
      </c>
      <c r="DR8" s="141">
        <f>IFERROR(VLOOKUP($DD8,$AU$2:$BB$84,5,FALSE),0)</f>
        <v/>
      </c>
      <c r="DS8" s="141">
        <f>IFERROR(VLOOKUP($DA8,$AU$2:$BB$84,6,FALSE),0)+IFERROR(VLOOKUP($DB8,$AU$2:$BB$84,6,FALSE),0)+IFERROR(VLOOKUP($DC8,$AU$2:$BB$84,6,FALSE),0)+IFERROR(VLOOKUP($DD8,$AU$2:$BB$84,6,FALSE),0)</f>
        <v/>
      </c>
      <c r="DT8" s="141">
        <f>IF($DH8=0,0,INDEX($V$2:$V$11,$DH8))</f>
        <v/>
      </c>
      <c r="DU8" s="141">
        <f>IF($DH8=0,0,INDEX($W$2:$W$11,$DH8))</f>
        <v/>
      </c>
      <c r="DV8" s="141">
        <f>IF($DH8=0,0,INDEX($Y$2:$Y$11,$DH8))</f>
        <v/>
      </c>
      <c r="DW8" s="141">
        <f>IFERROR(VLOOKUP($DE8,$BD$2:$BH$24,3,FALSE),0)</f>
        <v/>
      </c>
      <c r="DX8" s="141">
        <f>IFERROR(VLOOKUP($DF8,$BD$2:$BH$24,3,FALSE),0)</f>
        <v/>
      </c>
      <c r="DY8" s="141">
        <f>IFERROR(VLOOKUP($DE8,$BD$2:$BH$24,2,FALSE),"")</f>
        <v/>
      </c>
      <c r="DZ8" s="141">
        <f>IFERROR(VLOOKUP($DF8,$BD$2:$BH$24,2,FALSE),"")</f>
        <v/>
      </c>
      <c r="EA8" s="141">
        <f>COUNTIF($DI8:$DM8,1)</f>
        <v/>
      </c>
      <c r="EB8" s="141">
        <f>COUNTIF($DI8:$DM8,2)</f>
        <v/>
      </c>
      <c r="EC8" s="141">
        <f>COUNTIF($DI8:$DM8,3)</f>
        <v/>
      </c>
      <c r="ED8" s="141">
        <f>COUNTIF($DI8:$DM8,4)</f>
        <v/>
      </c>
      <c r="EE8" s="141">
        <f>COUNTIF($DI8:$DM8,5)</f>
        <v/>
      </c>
      <c r="EF8" s="141">
        <f>COUNTIF($DI8:$DM8,6)</f>
        <v/>
      </c>
      <c r="EG8" s="141">
        <f>COUNTIF($DW8:$DX8,1)</f>
        <v/>
      </c>
      <c r="EH8" s="141">
        <f>COUNTIF($DW8:$DX8,2)+$DT8</f>
        <v/>
      </c>
      <c r="EI8" s="141">
        <f>COUNTIF($DA8:$DD8,"?*")</f>
        <v/>
      </c>
      <c r="EJ8" s="141">
        <f>COUNTIF($DE8:$DF8,"?*")+$DT8</f>
        <v/>
      </c>
      <c r="EK8" s="141">
        <f>SUMPRODUCT($EA8:$EF8,INDEX($I$2:$N$8,$CX8,0))</f>
        <v/>
      </c>
      <c r="EL8" s="141">
        <f>$EG8*CEILING($CX8/2,1)+$EH8*$CX8</f>
        <v/>
      </c>
      <c r="EM8" s="141">
        <f>MIN(2*$CX8,$EL8)</f>
        <v/>
      </c>
      <c r="EN8" s="141">
        <f>MIN($EM8,$EK8)</f>
        <v/>
      </c>
      <c r="EO8" s="141">
        <f>$EM8-$EN8</f>
        <v/>
      </c>
      <c r="EP8" s="141">
        <f>3*$CX8-$EK8+$EN8</f>
        <v/>
      </c>
      <c r="EQ8" s="141">
        <f>MAX(0,$EP8)+$CV8*$CX8</f>
        <v/>
      </c>
      <c r="ER8" s="141">
        <f>(IF(COUNTIF($DA8:$DD8,"Salto")&gt;0,1,0)+IF(COUNTIF($DA8:$DD8,"Queima")&gt;0,1,0))*FLOOR($EQ8/2,1)</f>
        <v/>
      </c>
      <c r="ES8" s="141">
        <f>MAX(0,3-SUMPRODUCT($EA8:$EF8,$I$2:$N$2)+MIN(2,$EG8*1+$EH8*1,SUMPRODUCT($EA8:$EF8,$I$2:$N$2)))+$CV8*1</f>
        <v/>
      </c>
      <c r="ET8" s="141">
        <f>MAX(0,6-SUMPRODUCT($EA8:$EF8,$I$3:$N$3)+MIN(4,$EG8*1+$EH8*2,SUMPRODUCT($EA8:$EF8,$I$3:$N$3)))+$CV8*2</f>
        <v/>
      </c>
      <c r="EU8" s="141">
        <f>MAX(0,9-SUMPRODUCT($EA8:$EF8,$I$4:$N$4)+MIN(6,$EG8*2+$EH8*3,SUMPRODUCT($EA8:$EF8,$I$4:$N$4)))+$CV8*3</f>
        <v/>
      </c>
      <c r="EV8" s="141">
        <f>MAX(0,12-SUMPRODUCT($EA8:$EF8,$I$5:$N$5)+MIN(8,$EG8*2+$EH8*4,SUMPRODUCT($EA8:$EF8,$I$5:$N$5)))+$CV8*4</f>
        <v/>
      </c>
      <c r="EW8" s="141">
        <f>MAX(0,15-SUMPRODUCT($EA8:$EF8,$I$6:$N$6)+MIN(10,$EG8*3+$EH8*5,SUMPRODUCT($EA8:$EF8,$I$6:$N$6)))+$CV8*5</f>
        <v/>
      </c>
      <c r="EX8" s="141">
        <f>MAX(0,18-SUMPRODUCT($EA8:$EF8,$I$7:$N$7)+MIN(12,$EG8*3+$EH8*6,SUMPRODUCT($EA8:$EF8,$I$7:$N$7)))+$CV8*6</f>
        <v/>
      </c>
      <c r="EY8" s="141">
        <f>MAX(0,21-SUMPRODUCT($EA8:$EF8,$I$8:$N$8)+MIN(14,$EG8*4+$EH8*7,SUMPRODUCT($EA8:$EF8,$I$8:$N$8)))+$CV8*7</f>
        <v/>
      </c>
      <c r="EZ8" s="141">
        <f>IF($DU8=2,3*$ES8&amp;" de vida temp.",IF($DU8=3,"sem dano",IF($ES8=0,IF($DU8=1,"sem cura","sem dano"),IF($DU8=1,"cura ","")&amp;$ES8&amp;"d8")))</f>
        <v/>
      </c>
      <c r="FA8" s="141">
        <f>IF($DU8=2,3*$ET8&amp;" de vida temp.",IF($DU8=3,"sem dano",IF($ET8=0,IF($DU8=1,"sem cura","sem dano"),IF($DU8=1,"cura ","")&amp;$ET8&amp;"d8")))</f>
        <v/>
      </c>
      <c r="FB8" s="141">
        <f>IF($DU8=2,3*$EU8&amp;" de vida temp.",IF($DU8=3,"sem dano",IF($EU8=0,IF($DU8=1,"sem cura","sem dano"),IF($DU8=1,"cura ","")&amp;$EU8&amp;"d8")))</f>
        <v/>
      </c>
      <c r="FC8" s="141">
        <f>IF($DU8=2,3*$EV8&amp;" de vida temp.",IF($DU8=3,"sem dano",IF($EV8=0,IF($DU8=1,"sem cura","sem dano"),IF($DU8=1,"cura ","")&amp;$EV8&amp;"d8")))</f>
        <v/>
      </c>
      <c r="FD8" s="141">
        <f>IF($DU8=2,3*$EW8&amp;" de vida temp.",IF($DU8=3,"sem dano",IF($EW8=0,IF($DU8=1,"sem cura","sem dano"),IF($DU8=1,"cura ","")&amp;$EW8&amp;"d8")))</f>
        <v/>
      </c>
      <c r="FE8" s="141">
        <f>IF($DU8=2,3*$EX8&amp;" de vida temp.",IF($DU8=3,"sem dano",IF($EX8=0,IF($DU8=1,"sem cura","sem dano"),IF($DU8=1,"cura ","")&amp;$EX8&amp;"d8")))</f>
        <v/>
      </c>
      <c r="FF8" s="141">
        <f>IF($DU8=2,3*$EY8&amp;" de vida temp.",IF($DU8=3,"sem dano",IF($EY8=0,IF($DU8=1,"sem cura","sem dano"),IF($DU8=1,"cura ","")&amp;$EY8&amp;"d8")))</f>
        <v/>
      </c>
      <c r="FG8" s="141">
        <f>IF($DG8=0,"",TEXTJOIN(" · ",TRUE,IF(AND($CV8=1,$CW8&gt;$GF$9),"O nível "&amp;$GF$2&amp;" dá "&amp;$GF$9&amp;" Liberação Máxima",""),IF($CX8&gt;$GF$4,"Classe "&amp;$CX8&amp;": o nível "&amp;$GF$2&amp;" libera até a "&amp;$GF$4,""),IF($DN8=1,"Família Fechada: a Forma "&amp;$CZ8,""),IF($DO8=1,"Família Fechada: "&amp;$DA8,""),IF($DP8=1,"Família Fechada: "&amp;$DB8,""),IF($DQ8=1,"Família Fechada: "&amp;$DC8,""),IF($DR8=1,"Família Fechada: "&amp;$DD8,""),IF($EI8&gt;INDEX($O$2:$O$8,$CX8),$EI8&amp;" Melhorias: a Classe "&amp;$CX8&amp;" aceita "&amp;INDEX($O$2:$O$8,$CX8),""),IF($EJ8&gt;2,$EJ8&amp;" Restrições"&amp;IF($DT8=1,", contando a que a Forma "&amp;$CZ8&amp;" já traz","")&amp;": o limite é 2",""),IF($EP8&lt;0,"Orçamento estourado: faltam "&amp;(-$EP8)&amp;IF($EP8&lt;-1," pontos"," ponto"),""),IF(IFERROR(VLOOKUP($DE8,$BD$2:$BH$24,4,FALSE),0)+IFERROR(VLOOKUP($DF8,$BD$2:$BH$24,4,FALSE),0)&gt;1,$DY8&amp;" e "&amp;$DZ8&amp;" são as duas de frequência",""),IF(AND((COUNTIF($DA8:$DD8,"Rápido")+COUNTIF($DY8:$DZ8,"Rápido"))&gt;0,(COUNTIF($DA8:$DD8,"Reação")+COUNTIF($DY8:$DZ8,"Reação"))&gt;0),"Rápido não entra com Reação",""),IF(AND((COUNTIF($DA8:$DD8,"Rápido")+COUNTIF($DY8:$DZ8,"Rápido"))&gt;0,(COUNTIF($DA8:$DD8,"Atrasar")+COUNTIF($DY8:$DZ8,"Atrasar"))&gt;0),"Rápido não entra com Atrasar",""),IF(AND((COUNTIF($DA8:$DD8,"Reação")+COUNTIF($DY8:$DZ8,"Reação"))&gt;0,(COUNTIF($DA8:$DD8,"Atrasar")+COUNTIF($DY8:$DZ8,"Atrasar"))&gt;0),"Reação não entra com Atrasar",""),IF(AND((COUNTIF($DA8:$DD8,"Reação")+COUNTIF($DY8:$DZ8,"Reação"))&gt;0,(COUNTIF($DA8:$DD8,"Parado")+COUNTIF($DY8:$DZ8,"Parado"))&gt;0),"Reação não entra com Parado",""),IF(AND(COUNTIF($DY8:$DZ8,"Corpo a Corpo")&gt;0,$DT8=0,OR($CZ8="Cone",$CZ8="Linha")),"Corpo a Corpo não entra em "&amp;$CZ8,""),IF(AND(COUNTIF($DY8:$DZ8,"Corpo a Corpo")&gt;0,$DT8=1),"A Forma "&amp;$CZ8&amp;" já traz o Corpo a Corpo",""),IF(AND(COUNTIF($DY8:$DZ8,"Tudo ou Nada")&gt;0,$DV8=0),"Tudo ou Nada só entra em feitiço de Teste de Resistência",""),IF(AND(COUNTIF($DA8:$DD8,"Inescapável")&gt;0,OR($EI8&gt;1,$EJ8&gt;0)),"Inescapável não aceita outra peça",""),IF(AND($CV8=1,$CX8&lt;3),"Liberação Máxima é de Classe 3 ou mais",""),IF(AND($CV8=1,OR($DU8=1,$DU8=2)),"Liberação Máxima não serve para cura",""),IF(AND($CV8=1,COUNTIF($DA8:$DD8,"Inescapável")+COUNTIF($DA8:$DD8,"Toca a Alma")&gt;0),"Esta peça não entra numa Liberação Máxima",""),IF($EQ8+$ER8&gt;4*$CX8,($EQ8+$ER8)&amp;" dados somando alvos e repetições: o teto da Classe "&amp;$CX8&amp;" é "&amp;4*$CX8,"")))</f>
        <v/>
      </c>
      <c r="FH8" s="141">
        <f>IF($FG8="",0,(LEN($FG8)-LEN(SUBSTITUTE($FG8," · ","")))/3+1)</f>
        <v/>
      </c>
      <c r="FI8" s="141">
        <f>IF($DG8=0,"",TEXTJOIN(" · ",TRUE,IF($EL8&gt;2*$CX8,"A devolução parou no teto de "&amp;2*$CX8,""),IF($EO8&gt;0,"Devolução perdida: "&amp;$EO8&amp;IF($EO8&gt;1," pontos"," ponto")&amp;" sem peça para pagar",""),IF(AND($DS8&gt;0,$EQ8=0),"Controle sem dano: uma rodada a mais e CD +2",""),IF(AND($DS8&gt;0,$EQ8&gt;0,$EQ8&lt;=$CX8),"Controle com um quarto do teto: uma rodada a mais","")))</f>
        <v/>
      </c>
      <c r="FJ8" s="141">
        <f>IF($FI8="",0,(LEN($FI8)-LEN(SUBSTITUTE($FI8," · ","")))/3+1)</f>
        <v/>
      </c>
      <c r="FK8" s="141">
        <f>IF($DG8=0,IF($EI8+$EJ8-$DT8&gt;0,"Dê um nome",""),IF($FH8&gt;0,"⚠ "&amp;$FH8&amp;IF($FH8&gt;1," erros"," erro"),IF($FJ8&gt;0,"! "&amp;$FJ8&amp;IF($FJ8&gt;1," avisos"," aviso"),"Na regra")))</f>
        <v/>
      </c>
      <c r="FL8" s="141">
        <f>IF($DG8=0,"",IF($FH8+$FJ8=0,"Dentro das regras que a ficha confere",$FG8&amp;IF(AND($FH8&gt;0,$FJ8&gt;0)," · ","")&amp;$FI8))</f>
        <v/>
      </c>
      <c r="FM8" s="141">
        <f>IF($DG8=0,"",IF($CV8=1,CEILING(4.5*$CX8,1),3*$CX8)&amp;" PE")</f>
        <v/>
      </c>
      <c r="FN8" s="141">
        <f>IF($DG8=0,"",IF($CV8=1,"Rodada inteira",IF(COUNTIF($DY8:$DZ8,"Atrasar")&gt;0,IF(COUNTIF($DY8:$DZ8,"Carregar")&gt;0,"Rodada +1 turno","Rodada inteira"),IF(COUNTIF($DA8:$DD8,"Rápido")&gt;0,"Bônus",IF(COUNTIF($DA8:$DD8,"Reação")&gt;0,"Reação","Padrão"))&amp;IF(COUNTIF($DY8:$DZ8,"Carregar")&gt;0," +1 turno",""))))</f>
        <v/>
      </c>
      <c r="FO8" s="141">
        <f>IF(OR($DG8=0,$DH8=0),"",IF(COUNTIF($DA8:$DD8,"Inescapável")&gt;0,"Automático",IF(COUNTIF($DA8:$DD8,"Certeiro")&gt;0,"TR para metade",INDEX($X$2:$X$11,$DH8))))</f>
        <v/>
      </c>
      <c r="FP8" s="141">
        <f>IF(OR($DG8=0,$DH8=0),"",IF(OR($DU8&gt;=2,$EQ8=0),UPPER(LEFT(INDEX($EZ8:$FF8,1,$CX8),1))&amp;MID(INDEX($EZ8:$FF8,1,$CX8),2,99),UPPER(LEFT(INDEX($EZ8:$FF8,1,$CX8),1))&amp;MID(INDEX($EZ8:$FF8,1,$CX8),2,99)&amp;" = "&amp;FLOOR($EQ8*4.5,1)&amp;IF($ER8&gt;0," · +"&amp;$ER8&amp;"d8","")))</f>
        <v/>
      </c>
      <c r="FQ8" s="141">
        <f>COUNTIF($DA8:$DD8,"Longe")+3*COUNTIF($DA8:$DD8,"Muito Longe")</f>
        <v/>
      </c>
      <c r="FR8" s="141">
        <f>COUNTIF($DA8:$DD8,"Maior")+3*COUNTIF($DA8:$DD8,"Muito Maior")</f>
        <v/>
      </c>
      <c r="FS8" s="141">
        <f>IF($DH8=0,0,CHOOSE(1+INDEX($Z$2:$Z$11,$DH8),0,$FQ8,$FR8,$FQ8+$FR8))</f>
        <v/>
      </c>
      <c r="FT8" s="141">
        <f>IF($DH8=0,0,CHOOSE(1+INDEX($AA$2:$AA$11,$DH8),0,$FQ8,$FR8,$FQ8+$FR8))</f>
        <v/>
      </c>
      <c r="FU8" s="141">
        <f>IF(OR($DG8=0,$DH8=0),"",INDEX($AH$2:$AM$31,($DH8-1)*3+IF($CX8&gt;=6,3,2),1+MIN(5,$FS8))&amp;INDEX($AN$2:$AS$31,($DH8-1)*3+IF($CX8&gt;=6,3,2),1+MIN(5,$FT8))&amp;IF(INDEX($AB$2:$AB$11,$DH8)=1,IF(COUNTIF($DA8:$DD8,"Mais Um")&gt;0," · +"&amp;COUNTIF($DA8:$DD8,"Mais Um")&amp;IF(COUNTIF($DA8:$DD8,"Mais Um")&gt;1," alvos"," alvo"),"")&amp;IF(COUNTIF($DA8:$DD8,"Rajada")&gt;0," · "&amp;($CX8+1)&amp;" tiros",""),""))</f>
        <v/>
      </c>
      <c r="FV8" s="141">
        <f>IF($DG8=0,"",3*$CX8&amp;" − "&amp;$EK8&amp;" + "&amp;$EN8&amp;IF($CV8=1," + "&amp;$CX8,"")&amp;" = "&amp;$EQ8&amp;"d8 · teto "&amp;4*$CX8&amp;IF($DT8=1," · a Forma devolve "&amp;$CX8,"")&amp;IF($EO8&gt;0," · perde "&amp;$EO8,""))</f>
        <v/>
      </c>
      <c r="FW8" s="141">
        <f>IF($DG8=0,"",IF($CX8&gt;=$GF$4,"Já está na maior Classe que o nível liberou",TEXTJOIN(" · ",TRUE,IF(AND(2&gt;$CX8,2&lt;=$GF$4),"2 → "&amp;$FA8&amp;", "&amp;IF($CV8=1,9,6)&amp;" PE",""),IF(AND(3&gt;$CX8,3&lt;=$GF$4),"3 → "&amp;$FB8&amp;", "&amp;IF($CV8=1,14,9)&amp;" PE",""),IF(AND(4&gt;$CX8,4&lt;=$GF$4),"4 → "&amp;$FC8&amp;", "&amp;IF($CV8=1,18,12)&amp;" PE",""),IF(AND(5&gt;$CX8,5&lt;=$GF$4),"5 → "&amp;$FD8&amp;", "&amp;IF($CV8=1,23,15)&amp;" PE",""),IF(AND(6&gt;$CX8,6&lt;=$GF$4),"6 → "&amp;$FE8&amp;", "&amp;IF($CV8=1,27,18)&amp;" PE",""),IF(AND(7&gt;$CX8,7&lt;=$GF$4),"7 → "&amp;$FF8&amp;", "&amp;IF($CV8=1,32,21)&amp;" PE",""))))</f>
        <v/>
      </c>
      <c r="FX8" s="141">
        <f>IF(OR($DG8=0,$DJ8=0),"","−"&amp;INDEX($I$2:$N$8,$CX8,$DJ8)&amp;" · "&amp;CHOOSE($DJ8,"Leve","Média","Pesada","Leve · Livre","Média · Livre","Pesada · Livre"))</f>
        <v/>
      </c>
      <c r="FY8" s="141">
        <f>IF(OR($DG8=0,$DK8=0),"","−"&amp;INDEX($I$2:$N$8,$CX8,$DK8)&amp;" · "&amp;CHOOSE($DK8,"Leve","Média","Pesada","Leve · Livre","Média · Livre","Pesada · Livre"))</f>
        <v/>
      </c>
      <c r="FZ8" s="141">
        <f>IF(OR($DG8=0,$DL8=0),"","−"&amp;INDEX($I$2:$N$8,$CX8,$DL8)&amp;" · "&amp;CHOOSE($DL8,"Leve","Média","Pesada","Leve · Livre","Média · Livre","Pesada · Livre"))</f>
        <v/>
      </c>
      <c r="GA8" s="141">
        <f>IF(OR($DG8=0,$DM8=0),"","−"&amp;INDEX($I$2:$N$8,$CX8,$DM8)&amp;" · "&amp;CHOOSE($DM8,"Leve","Média","Pesada","Leve · Livre","Média · Livre","Pesada · Livre"))</f>
        <v/>
      </c>
      <c r="GB8" s="141">
        <f>IF(OR($DG8=0,$DE8=""),"","+"&amp;IF($DW8=1,CEILING($CX8/2,1),$CX8))</f>
        <v/>
      </c>
      <c r="GC8" s="141">
        <f>IF(OR($DG8=0,$DF8=""),"","+"&amp;IF($DX8=1,CEILING($CX8/2,1),$CX8))</f>
        <v/>
      </c>
      <c r="GE8" s="114" t="inlineStr">
        <is>
          <t>escolhas de Leque</t>
        </is>
      </c>
      <c r="GF8" s="141">
        <f>MIN(N(DADOS!$AK$38),$GF$5)</f>
        <v/>
      </c>
      <c r="GH8" s="114" t="inlineStr">
        <is>
          <t>Passiva 7 · Leque</t>
        </is>
      </c>
      <c r="GI8" s="141">
        <f>'FICHA AMALDIÇOADA'!$J$391&amp;""</f>
        <v/>
      </c>
      <c r="GJ8" s="141">
        <f>IFERROR(VLOOKUP($GI8,$BJ$2:$BL$20,2,FALSE),0)</f>
        <v/>
      </c>
      <c r="GK8" s="141">
        <f>IFERROR(VLOOKUP($GJ8,$BN$2:$BO$4,2,FALSE),0)</f>
        <v/>
      </c>
      <c r="GL8" s="141">
        <f>IFERROR(VLOOKUP($GI8,$BJ$2:$BL$20,3,FALSE),"")</f>
        <v/>
      </c>
      <c r="GM8" s="141">
        <f>IF($GJ8=0,"",IF($GK8&gt;$GF$2,"⚠ Nível "&amp;$GK8,"CP "&amp;$GJ8))</f>
        <v/>
      </c>
      <c r="GN8" s="141">
        <f>IF($GJ8=0,"",IF(2&gt;$GF$8,"⚠ Vaga","Grátis"))</f>
        <v/>
      </c>
      <c r="GP8" s="114" t="inlineStr">
        <is>
          <t>Aptidão 7</t>
        </is>
      </c>
      <c r="GQ8" s="141">
        <f>'FICHA AMALDIÇOADA'!$D$463&amp;""</f>
        <v/>
      </c>
      <c r="GR8" s="141">
        <f>IF($GQ8="","","Requisito: "&amp;IFERROR(VLOOKUP($GQ8,$BQ$2:$BV$17,2,FALSE),""))</f>
        <v/>
      </c>
      <c r="GS8" s="141">
        <f>IF($GQ8="","",IFERROR(IF(ISNUMBER(VLOOKUP($GQ8,$BQ$2:$BV$17,3,FALSE)),"CP "&amp;VLOOKUP($GQ8,$BQ$2:$BV$17,3,FALSE),VLOOKUP($GQ8,$BQ$2:$BV$17,3,FALSE)),""))</f>
        <v/>
      </c>
      <c r="GT8" s="141">
        <f>IF($GQ8="","",IFERROR(VLOOKUP($GQ8,$BQ$2:$BV$17,4,FALSE),""))</f>
        <v/>
      </c>
      <c r="GU8" s="141">
        <f>IF($GQ8="","",IFERROR(VLOOKUP($GQ8,$BQ$2:$BV$17,5,FALSE),""))</f>
        <v/>
      </c>
      <c r="HF8" s="114" t="inlineStr">
        <is>
          <t>Domínio</t>
        </is>
      </c>
      <c r="HG8" s="141">
        <f>ADDRESS(ROW('FICHA AMALDIÇOADA'!L7),COLUMN('FICHA AMALDIÇOADA'!L7),4)</f>
        <v/>
      </c>
      <c r="HH8" s="141">
        <f>ADDRESS(ROW('FICHA AMALDIÇOADA'!D348),COLUMN('FICHA AMALDIÇOADA'!D348),4)</f>
        <v/>
      </c>
      <c r="HJ8" s="114" t="inlineStr">
        <is>
          <t>E40</t>
        </is>
      </c>
      <c r="HK8" s="141">
        <f>3*DADOS_AM!$GF$29</f>
        <v/>
      </c>
    </row>
    <row r="9">
      <c r="A9" s="114" t="inlineStr">
        <is>
          <t>Marca</t>
        </is>
      </c>
      <c r="B9" s="141">
        <f>'FICHA AMALDIÇOADA'!$M$31&amp;""</f>
        <v/>
      </c>
      <c r="C9" s="141">
        <f>IF($B9="Livre",1,0)</f>
        <v/>
      </c>
      <c r="D9" s="141">
        <f>IF($B9="Fechada",1,0)</f>
        <v/>
      </c>
      <c r="Q9" s="114" t="inlineStr">
        <is>
          <t>Apoio</t>
        </is>
      </c>
      <c r="R9" s="114" t="inlineStr">
        <is>
          <t>Amparo</t>
        </is>
      </c>
      <c r="S9" s="141" t="n">
        <v>0</v>
      </c>
      <c r="T9" s="141">
        <f>IF($S9=0,0,$S9+3*IFERROR(VLOOKUP($R9,$A$2:$D$10,3,FALSE),0))</f>
        <v/>
      </c>
      <c r="U9" s="141">
        <f>IFERROR(VLOOKUP($R9,$A$2:$D$10,4,FALSE),0)</f>
        <v/>
      </c>
      <c r="V9" s="141" t="n">
        <v>0</v>
      </c>
      <c r="W9" s="141" t="n">
        <v>2</v>
      </c>
      <c r="X9" s="114" t="inlineStr">
        <is>
          <t>Automático</t>
        </is>
      </c>
      <c r="Y9" s="141" t="n">
        <v>0</v>
      </c>
      <c r="Z9" s="141" t="n">
        <v>1</v>
      </c>
      <c r="AA9" s="141" t="n">
        <v>0</v>
      </c>
      <c r="AB9" s="141" t="n">
        <v>0</v>
      </c>
      <c r="AC9" s="141" t="n">
        <v>1</v>
      </c>
      <c r="AD9" s="141">
        <f>IF($U9=1,"",$Q9)</f>
        <v/>
      </c>
      <c r="AE9" s="141">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41" t="n">
        <v>1</v>
      </c>
      <c r="AX9" s="141">
        <f>$AW9+3*IFERROR(VLOOKUP($AV9,$A$2:$D$10,3,FALSE),0)</f>
        <v/>
      </c>
      <c r="AY9" s="141">
        <f>IFERROR(VLOOKUP($AV9,$A$2:$D$10,4,FALSE),0)</f>
        <v/>
      </c>
      <c r="AZ9" s="141" t="n">
        <v>0</v>
      </c>
      <c r="BA9" s="141">
        <f>IF($AY9=1,"",$AU9)</f>
        <v/>
      </c>
      <c r="BB9" s="141">
        <f>IF(AND($AW9=1,$AY9=0),$AU9,"")</f>
        <v/>
      </c>
      <c r="BD9" s="114" t="inlineStr">
        <is>
          <t>Carregar</t>
        </is>
      </c>
      <c r="BE9" s="114" t="inlineStr">
        <is>
          <t>Carregar</t>
        </is>
      </c>
      <c r="BF9" s="141" t="n">
        <v>2</v>
      </c>
      <c r="BG9" s="141" t="n">
        <v>0</v>
      </c>
      <c r="BH9" s="114" t="inlineStr"/>
      <c r="BJ9" s="114" t="inlineStr">
        <is>
          <t>Recomposição</t>
        </is>
      </c>
      <c r="BK9" s="141"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41" t="n">
        <v>0</v>
      </c>
      <c r="CW9" s="141" t="n">
        <v>8</v>
      </c>
      <c r="CX9" s="141">
        <f>MAX(1,MIN(7,N('FICHA AMALDIÇOADA'!$J$87)))</f>
        <v/>
      </c>
      <c r="CY9" s="141">
        <f>'FICHA AMALDIÇOADA'!$K$87&amp;""</f>
        <v/>
      </c>
      <c r="CZ9" s="141">
        <f>'FICHA AMALDIÇOADA'!$J$94&amp;""</f>
        <v/>
      </c>
      <c r="DA9" s="141">
        <f>'FICHA AMALDIÇOADA'!$K$96&amp;""</f>
        <v/>
      </c>
      <c r="DB9" s="141">
        <f>'FICHA AMALDIÇOADA'!$K$97&amp;""</f>
        <v/>
      </c>
      <c r="DC9" s="141">
        <f>'FICHA AMALDIÇOADA'!$K$98&amp;""</f>
        <v/>
      </c>
      <c r="DD9" s="141">
        <f>'FICHA AMALDIÇOADA'!$K$99&amp;""</f>
        <v/>
      </c>
      <c r="DE9" s="141">
        <f>'FICHA AMALDIÇOADA'!$K$100&amp;""</f>
        <v/>
      </c>
      <c r="DF9" s="141">
        <f>'FICHA AMALDIÇOADA'!$K$101&amp;""</f>
        <v/>
      </c>
      <c r="DG9" s="141">
        <f>IF($CY9&lt;&gt;"",1,0)</f>
        <v/>
      </c>
      <c r="DH9" s="141">
        <f>IFERROR(MATCH($CZ9,$Q$2:$Q$11,0),0)</f>
        <v/>
      </c>
      <c r="DI9" s="141">
        <f>IF($DH9=0,0,INDEX($T$2:$T$11,$DH9))</f>
        <v/>
      </c>
      <c r="DJ9" s="141">
        <f>IFERROR(VLOOKUP($DA9,$AU$2:$BB$84,4,FALSE),0)</f>
        <v/>
      </c>
      <c r="DK9" s="141">
        <f>IFERROR(VLOOKUP($DB9,$AU$2:$BB$84,4,FALSE),0)</f>
        <v/>
      </c>
      <c r="DL9" s="141">
        <f>IFERROR(VLOOKUP($DC9,$AU$2:$BB$84,4,FALSE),0)</f>
        <v/>
      </c>
      <c r="DM9" s="141">
        <f>IFERROR(VLOOKUP($DD9,$AU$2:$BB$84,4,FALSE),0)</f>
        <v/>
      </c>
      <c r="DN9" s="141">
        <f>IF($DH9=0,0,INDEX($U$2:$U$11,$DH9))</f>
        <v/>
      </c>
      <c r="DO9" s="141">
        <f>IFERROR(VLOOKUP($DA9,$AU$2:$BB$84,5,FALSE),0)</f>
        <v/>
      </c>
      <c r="DP9" s="141">
        <f>IFERROR(VLOOKUP($DB9,$AU$2:$BB$84,5,FALSE),0)</f>
        <v/>
      </c>
      <c r="DQ9" s="141">
        <f>IFERROR(VLOOKUP($DC9,$AU$2:$BB$84,5,FALSE),0)</f>
        <v/>
      </c>
      <c r="DR9" s="141">
        <f>IFERROR(VLOOKUP($DD9,$AU$2:$BB$84,5,FALSE),0)</f>
        <v/>
      </c>
      <c r="DS9" s="141">
        <f>IFERROR(VLOOKUP($DA9,$AU$2:$BB$84,6,FALSE),0)+IFERROR(VLOOKUP($DB9,$AU$2:$BB$84,6,FALSE),0)+IFERROR(VLOOKUP($DC9,$AU$2:$BB$84,6,FALSE),0)+IFERROR(VLOOKUP($DD9,$AU$2:$BB$84,6,FALSE),0)</f>
        <v/>
      </c>
      <c r="DT9" s="141">
        <f>IF($DH9=0,0,INDEX($V$2:$V$11,$DH9))</f>
        <v/>
      </c>
      <c r="DU9" s="141">
        <f>IF($DH9=0,0,INDEX($W$2:$W$11,$DH9))</f>
        <v/>
      </c>
      <c r="DV9" s="141">
        <f>IF($DH9=0,0,INDEX($Y$2:$Y$11,$DH9))</f>
        <v/>
      </c>
      <c r="DW9" s="141">
        <f>IFERROR(VLOOKUP($DE9,$BD$2:$BH$24,3,FALSE),0)</f>
        <v/>
      </c>
      <c r="DX9" s="141">
        <f>IFERROR(VLOOKUP($DF9,$BD$2:$BH$24,3,FALSE),0)</f>
        <v/>
      </c>
      <c r="DY9" s="141">
        <f>IFERROR(VLOOKUP($DE9,$BD$2:$BH$24,2,FALSE),"")</f>
        <v/>
      </c>
      <c r="DZ9" s="141">
        <f>IFERROR(VLOOKUP($DF9,$BD$2:$BH$24,2,FALSE),"")</f>
        <v/>
      </c>
      <c r="EA9" s="141">
        <f>COUNTIF($DI9:$DM9,1)</f>
        <v/>
      </c>
      <c r="EB9" s="141">
        <f>COUNTIF($DI9:$DM9,2)</f>
        <v/>
      </c>
      <c r="EC9" s="141">
        <f>COUNTIF($DI9:$DM9,3)</f>
        <v/>
      </c>
      <c r="ED9" s="141">
        <f>COUNTIF($DI9:$DM9,4)</f>
        <v/>
      </c>
      <c r="EE9" s="141">
        <f>COUNTIF($DI9:$DM9,5)</f>
        <v/>
      </c>
      <c r="EF9" s="141">
        <f>COUNTIF($DI9:$DM9,6)</f>
        <v/>
      </c>
      <c r="EG9" s="141">
        <f>COUNTIF($DW9:$DX9,1)</f>
        <v/>
      </c>
      <c r="EH9" s="141">
        <f>COUNTIF($DW9:$DX9,2)+$DT9</f>
        <v/>
      </c>
      <c r="EI9" s="141">
        <f>COUNTIF($DA9:$DD9,"?*")</f>
        <v/>
      </c>
      <c r="EJ9" s="141">
        <f>COUNTIF($DE9:$DF9,"?*")+$DT9</f>
        <v/>
      </c>
      <c r="EK9" s="141">
        <f>SUMPRODUCT($EA9:$EF9,INDEX($I$2:$N$8,$CX9,0))</f>
        <v/>
      </c>
      <c r="EL9" s="141">
        <f>$EG9*CEILING($CX9/2,1)+$EH9*$CX9</f>
        <v/>
      </c>
      <c r="EM9" s="141">
        <f>MIN(2*$CX9,$EL9)</f>
        <v/>
      </c>
      <c r="EN9" s="141">
        <f>MIN($EM9,$EK9)</f>
        <v/>
      </c>
      <c r="EO9" s="141">
        <f>$EM9-$EN9</f>
        <v/>
      </c>
      <c r="EP9" s="141">
        <f>3*$CX9-$EK9+$EN9</f>
        <v/>
      </c>
      <c r="EQ9" s="141">
        <f>MAX(0,$EP9)+$CV9*$CX9</f>
        <v/>
      </c>
      <c r="ER9" s="141">
        <f>(IF(COUNTIF($DA9:$DD9,"Salto")&gt;0,1,0)+IF(COUNTIF($DA9:$DD9,"Queima")&gt;0,1,0))*FLOOR($EQ9/2,1)</f>
        <v/>
      </c>
      <c r="ES9" s="141">
        <f>MAX(0,3-SUMPRODUCT($EA9:$EF9,$I$2:$N$2)+MIN(2,$EG9*1+$EH9*1,SUMPRODUCT($EA9:$EF9,$I$2:$N$2)))+$CV9*1</f>
        <v/>
      </c>
      <c r="ET9" s="141">
        <f>MAX(0,6-SUMPRODUCT($EA9:$EF9,$I$3:$N$3)+MIN(4,$EG9*1+$EH9*2,SUMPRODUCT($EA9:$EF9,$I$3:$N$3)))+$CV9*2</f>
        <v/>
      </c>
      <c r="EU9" s="141">
        <f>MAX(0,9-SUMPRODUCT($EA9:$EF9,$I$4:$N$4)+MIN(6,$EG9*2+$EH9*3,SUMPRODUCT($EA9:$EF9,$I$4:$N$4)))+$CV9*3</f>
        <v/>
      </c>
      <c r="EV9" s="141">
        <f>MAX(0,12-SUMPRODUCT($EA9:$EF9,$I$5:$N$5)+MIN(8,$EG9*2+$EH9*4,SUMPRODUCT($EA9:$EF9,$I$5:$N$5)))+$CV9*4</f>
        <v/>
      </c>
      <c r="EW9" s="141">
        <f>MAX(0,15-SUMPRODUCT($EA9:$EF9,$I$6:$N$6)+MIN(10,$EG9*3+$EH9*5,SUMPRODUCT($EA9:$EF9,$I$6:$N$6)))+$CV9*5</f>
        <v/>
      </c>
      <c r="EX9" s="141">
        <f>MAX(0,18-SUMPRODUCT($EA9:$EF9,$I$7:$N$7)+MIN(12,$EG9*3+$EH9*6,SUMPRODUCT($EA9:$EF9,$I$7:$N$7)))+$CV9*6</f>
        <v/>
      </c>
      <c r="EY9" s="141">
        <f>MAX(0,21-SUMPRODUCT($EA9:$EF9,$I$8:$N$8)+MIN(14,$EG9*4+$EH9*7,SUMPRODUCT($EA9:$EF9,$I$8:$N$8)))+$CV9*7</f>
        <v/>
      </c>
      <c r="EZ9" s="141">
        <f>IF($DU9=2,3*$ES9&amp;" de vida temp.",IF($DU9=3,"sem dano",IF($ES9=0,IF($DU9=1,"sem cura","sem dano"),IF($DU9=1,"cura ","")&amp;$ES9&amp;"d8")))</f>
        <v/>
      </c>
      <c r="FA9" s="141">
        <f>IF($DU9=2,3*$ET9&amp;" de vida temp.",IF($DU9=3,"sem dano",IF($ET9=0,IF($DU9=1,"sem cura","sem dano"),IF($DU9=1,"cura ","")&amp;$ET9&amp;"d8")))</f>
        <v/>
      </c>
      <c r="FB9" s="141">
        <f>IF($DU9=2,3*$EU9&amp;" de vida temp.",IF($DU9=3,"sem dano",IF($EU9=0,IF($DU9=1,"sem cura","sem dano"),IF($DU9=1,"cura ","")&amp;$EU9&amp;"d8")))</f>
        <v/>
      </c>
      <c r="FC9" s="141">
        <f>IF($DU9=2,3*$EV9&amp;" de vida temp.",IF($DU9=3,"sem dano",IF($EV9=0,IF($DU9=1,"sem cura","sem dano"),IF($DU9=1,"cura ","")&amp;$EV9&amp;"d8")))</f>
        <v/>
      </c>
      <c r="FD9" s="141">
        <f>IF($DU9=2,3*$EW9&amp;" de vida temp.",IF($DU9=3,"sem dano",IF($EW9=0,IF($DU9=1,"sem cura","sem dano"),IF($DU9=1,"cura ","")&amp;$EW9&amp;"d8")))</f>
        <v/>
      </c>
      <c r="FE9" s="141">
        <f>IF($DU9=2,3*$EX9&amp;" de vida temp.",IF($DU9=3,"sem dano",IF($EX9=0,IF($DU9=1,"sem cura","sem dano"),IF($DU9=1,"cura ","")&amp;$EX9&amp;"d8")))</f>
        <v/>
      </c>
      <c r="FF9" s="141">
        <f>IF($DU9=2,3*$EY9&amp;" de vida temp.",IF($DU9=3,"sem dano",IF($EY9=0,IF($DU9=1,"sem cura","sem dano"),IF($DU9=1,"cura ","")&amp;$EY9&amp;"d8")))</f>
        <v/>
      </c>
      <c r="FG9" s="141">
        <f>IF($DG9=0,"",TEXTJOIN(" · ",TRUE,IF(AND($CV9=1,$CW9&gt;$GF$9),"O nível "&amp;$GF$2&amp;" dá "&amp;$GF$9&amp;" Liberação Máxima",""),IF($CX9&gt;$GF$4,"Classe "&amp;$CX9&amp;": o nível "&amp;$GF$2&amp;" libera até a "&amp;$GF$4,""),IF($DN9=1,"Família Fechada: a Forma "&amp;$CZ9,""),IF($DO9=1,"Família Fechada: "&amp;$DA9,""),IF($DP9=1,"Família Fechada: "&amp;$DB9,""),IF($DQ9=1,"Família Fechada: "&amp;$DC9,""),IF($DR9=1,"Família Fechada: "&amp;$DD9,""),IF($EI9&gt;INDEX($O$2:$O$8,$CX9),$EI9&amp;" Melhorias: a Classe "&amp;$CX9&amp;" aceita "&amp;INDEX($O$2:$O$8,$CX9),""),IF($EJ9&gt;2,$EJ9&amp;" Restrições"&amp;IF($DT9=1,", contando a que a Forma "&amp;$CZ9&amp;" já traz","")&amp;": o limite é 2",""),IF($EP9&lt;0,"Orçamento estourado: faltam "&amp;(-$EP9)&amp;IF($EP9&lt;-1," pontos"," ponto"),""),IF(IFERROR(VLOOKUP($DE9,$BD$2:$BH$24,4,FALSE),0)+IFERROR(VLOOKUP($DF9,$BD$2:$BH$24,4,FALSE),0)&gt;1,$DY9&amp;" e "&amp;$DZ9&amp;" são as duas de frequência",""),IF(AND((COUNTIF($DA9:$DD9,"Rápido")+COUNTIF($DY9:$DZ9,"Rápido"))&gt;0,(COUNTIF($DA9:$DD9,"Reação")+COUNTIF($DY9:$DZ9,"Reação"))&gt;0),"Rápido não entra com Reação",""),IF(AND((COUNTIF($DA9:$DD9,"Rápido")+COUNTIF($DY9:$DZ9,"Rápido"))&gt;0,(COUNTIF($DA9:$DD9,"Atrasar")+COUNTIF($DY9:$DZ9,"Atrasar"))&gt;0),"Rápido não entra com Atrasar",""),IF(AND((COUNTIF($DA9:$DD9,"Reação")+COUNTIF($DY9:$DZ9,"Reação"))&gt;0,(COUNTIF($DA9:$DD9,"Atrasar")+COUNTIF($DY9:$DZ9,"Atrasar"))&gt;0),"Reação não entra com Atrasar",""),IF(AND((COUNTIF($DA9:$DD9,"Reação")+COUNTIF($DY9:$DZ9,"Reação"))&gt;0,(COUNTIF($DA9:$DD9,"Parado")+COUNTIF($DY9:$DZ9,"Parado"))&gt;0),"Reação não entra com Parado",""),IF(AND(COUNTIF($DY9:$DZ9,"Corpo a Corpo")&gt;0,$DT9=0,OR($CZ9="Cone",$CZ9="Linha")),"Corpo a Corpo não entra em "&amp;$CZ9,""),IF(AND(COUNTIF($DY9:$DZ9,"Corpo a Corpo")&gt;0,$DT9=1),"A Forma "&amp;$CZ9&amp;" já traz o Corpo a Corpo",""),IF(AND(COUNTIF($DY9:$DZ9,"Tudo ou Nada")&gt;0,$DV9=0),"Tudo ou Nada só entra em feitiço de Teste de Resistência",""),IF(AND(COUNTIF($DA9:$DD9,"Inescapável")&gt;0,OR($EI9&gt;1,$EJ9&gt;0)),"Inescapável não aceita outra peça",""),IF(AND($CV9=1,$CX9&lt;3),"Liberação Máxima é de Classe 3 ou mais",""),IF(AND($CV9=1,OR($DU9=1,$DU9=2)),"Liberação Máxima não serve para cura",""),IF(AND($CV9=1,COUNTIF($DA9:$DD9,"Inescapável")+COUNTIF($DA9:$DD9,"Toca a Alma")&gt;0),"Esta peça não entra numa Liberação Máxima",""),IF($EQ9+$ER9&gt;4*$CX9,($EQ9+$ER9)&amp;" dados somando alvos e repetições: o teto da Classe "&amp;$CX9&amp;" é "&amp;4*$CX9,"")))</f>
        <v/>
      </c>
      <c r="FH9" s="141">
        <f>IF($FG9="",0,(LEN($FG9)-LEN(SUBSTITUTE($FG9," · ","")))/3+1)</f>
        <v/>
      </c>
      <c r="FI9" s="141">
        <f>IF($DG9=0,"",TEXTJOIN(" · ",TRUE,IF($EL9&gt;2*$CX9,"A devolução parou no teto de "&amp;2*$CX9,""),IF($EO9&gt;0,"Devolução perdida: "&amp;$EO9&amp;IF($EO9&gt;1," pontos"," ponto")&amp;" sem peça para pagar",""),IF(AND($DS9&gt;0,$EQ9=0),"Controle sem dano: uma rodada a mais e CD +2",""),IF(AND($DS9&gt;0,$EQ9&gt;0,$EQ9&lt;=$CX9),"Controle com um quarto do teto: uma rodada a mais","")))</f>
        <v/>
      </c>
      <c r="FJ9" s="141">
        <f>IF($FI9="",0,(LEN($FI9)-LEN(SUBSTITUTE($FI9," · ","")))/3+1)</f>
        <v/>
      </c>
      <c r="FK9" s="141">
        <f>IF($DG9=0,IF($EI9+$EJ9-$DT9&gt;0,"Dê um nome",""),IF($FH9&gt;0,"⚠ "&amp;$FH9&amp;IF($FH9&gt;1," erros"," erro"),IF($FJ9&gt;0,"! "&amp;$FJ9&amp;IF($FJ9&gt;1," avisos"," aviso"),"Na regra")))</f>
        <v/>
      </c>
      <c r="FL9" s="141">
        <f>IF($DG9=0,"",IF($FH9+$FJ9=0,"Dentro das regras que a ficha confere",$FG9&amp;IF(AND($FH9&gt;0,$FJ9&gt;0)," · ","")&amp;$FI9))</f>
        <v/>
      </c>
      <c r="FM9" s="141">
        <f>IF($DG9=0,"",IF($CV9=1,CEILING(4.5*$CX9,1),3*$CX9)&amp;" PE")</f>
        <v/>
      </c>
      <c r="FN9" s="141">
        <f>IF($DG9=0,"",IF($CV9=1,"Rodada inteira",IF(COUNTIF($DY9:$DZ9,"Atrasar")&gt;0,IF(COUNTIF($DY9:$DZ9,"Carregar")&gt;0,"Rodada +1 turno","Rodada inteira"),IF(COUNTIF($DA9:$DD9,"Rápido")&gt;0,"Bônus",IF(COUNTIF($DA9:$DD9,"Reação")&gt;0,"Reação","Padrão"))&amp;IF(COUNTIF($DY9:$DZ9,"Carregar")&gt;0," +1 turno",""))))</f>
        <v/>
      </c>
      <c r="FO9" s="141">
        <f>IF(OR($DG9=0,$DH9=0),"",IF(COUNTIF($DA9:$DD9,"Inescapável")&gt;0,"Automático",IF(COUNTIF($DA9:$DD9,"Certeiro")&gt;0,"TR para metade",INDEX($X$2:$X$11,$DH9))))</f>
        <v/>
      </c>
      <c r="FP9" s="141">
        <f>IF(OR($DG9=0,$DH9=0),"",IF(OR($DU9&gt;=2,$EQ9=0),UPPER(LEFT(INDEX($EZ9:$FF9,1,$CX9),1))&amp;MID(INDEX($EZ9:$FF9,1,$CX9),2,99),UPPER(LEFT(INDEX($EZ9:$FF9,1,$CX9),1))&amp;MID(INDEX($EZ9:$FF9,1,$CX9),2,99)&amp;" = "&amp;FLOOR($EQ9*4.5,1)&amp;IF($ER9&gt;0," · +"&amp;$ER9&amp;"d8","")))</f>
        <v/>
      </c>
      <c r="FQ9" s="141">
        <f>COUNTIF($DA9:$DD9,"Longe")+3*COUNTIF($DA9:$DD9,"Muito Longe")</f>
        <v/>
      </c>
      <c r="FR9" s="141">
        <f>COUNTIF($DA9:$DD9,"Maior")+3*COUNTIF($DA9:$DD9,"Muito Maior")</f>
        <v/>
      </c>
      <c r="FS9" s="141">
        <f>IF($DH9=0,0,CHOOSE(1+INDEX($Z$2:$Z$11,$DH9),0,$FQ9,$FR9,$FQ9+$FR9))</f>
        <v/>
      </c>
      <c r="FT9" s="141">
        <f>IF($DH9=0,0,CHOOSE(1+INDEX($AA$2:$AA$11,$DH9),0,$FQ9,$FR9,$FQ9+$FR9))</f>
        <v/>
      </c>
      <c r="FU9" s="141">
        <f>IF(OR($DG9=0,$DH9=0),"",INDEX($AH$2:$AM$31,($DH9-1)*3+IF($CX9&gt;=6,3,2),1+MIN(5,$FS9))&amp;INDEX($AN$2:$AS$31,($DH9-1)*3+IF($CX9&gt;=6,3,2),1+MIN(5,$FT9))&amp;IF(INDEX($AB$2:$AB$11,$DH9)=1,IF(COUNTIF($DA9:$DD9,"Mais Um")&gt;0," · +"&amp;COUNTIF($DA9:$DD9,"Mais Um")&amp;IF(COUNTIF($DA9:$DD9,"Mais Um")&gt;1," alvos"," alvo"),"")&amp;IF(COUNTIF($DA9:$DD9,"Rajada")&gt;0," · "&amp;($CX9+1)&amp;" tiros",""),""))</f>
        <v/>
      </c>
      <c r="FV9" s="141">
        <f>IF($DG9=0,"",3*$CX9&amp;" − "&amp;$EK9&amp;" + "&amp;$EN9&amp;IF($CV9=1," + "&amp;$CX9,"")&amp;" = "&amp;$EQ9&amp;"d8 · teto "&amp;4*$CX9&amp;IF($DT9=1," · a Forma devolve "&amp;$CX9,"")&amp;IF($EO9&gt;0," · perde "&amp;$EO9,""))</f>
        <v/>
      </c>
      <c r="FW9" s="141">
        <f>IF($DG9=0,"",IF($CX9&gt;=$GF$4,"Já está na maior Classe que o nível liberou",TEXTJOIN(" · ",TRUE,IF(AND(2&gt;$CX9,2&lt;=$GF$4),"2 → "&amp;$FA9&amp;", "&amp;IF($CV9=1,9,6)&amp;" PE",""),IF(AND(3&gt;$CX9,3&lt;=$GF$4),"3 → "&amp;$FB9&amp;", "&amp;IF($CV9=1,14,9)&amp;" PE",""),IF(AND(4&gt;$CX9,4&lt;=$GF$4),"4 → "&amp;$FC9&amp;", "&amp;IF($CV9=1,18,12)&amp;" PE",""),IF(AND(5&gt;$CX9,5&lt;=$GF$4),"5 → "&amp;$FD9&amp;", "&amp;IF($CV9=1,23,15)&amp;" PE",""),IF(AND(6&gt;$CX9,6&lt;=$GF$4),"6 → "&amp;$FE9&amp;", "&amp;IF($CV9=1,27,18)&amp;" PE",""),IF(AND(7&gt;$CX9,7&lt;=$GF$4),"7 → "&amp;$FF9&amp;", "&amp;IF($CV9=1,32,21)&amp;" PE",""))))</f>
        <v/>
      </c>
      <c r="FX9" s="141">
        <f>IF(OR($DG9=0,$DJ9=0),"","−"&amp;INDEX($I$2:$N$8,$CX9,$DJ9)&amp;" · "&amp;CHOOSE($DJ9,"Leve","Média","Pesada","Leve · Livre","Média · Livre","Pesada · Livre"))</f>
        <v/>
      </c>
      <c r="FY9" s="141">
        <f>IF(OR($DG9=0,$DK9=0),"","−"&amp;INDEX($I$2:$N$8,$CX9,$DK9)&amp;" · "&amp;CHOOSE($DK9,"Leve","Média","Pesada","Leve · Livre","Média · Livre","Pesada · Livre"))</f>
        <v/>
      </c>
      <c r="FZ9" s="141">
        <f>IF(OR($DG9=0,$DL9=0),"","−"&amp;INDEX($I$2:$N$8,$CX9,$DL9)&amp;" · "&amp;CHOOSE($DL9,"Leve","Média","Pesada","Leve · Livre","Média · Livre","Pesada · Livre"))</f>
        <v/>
      </c>
      <c r="GA9" s="141">
        <f>IF(OR($DG9=0,$DM9=0),"","−"&amp;INDEX($I$2:$N$8,$CX9,$DM9)&amp;" · "&amp;CHOOSE($DM9,"Leve","Média","Pesada","Leve · Livre","Média · Livre","Pesada · Livre"))</f>
        <v/>
      </c>
      <c r="GB9" s="141">
        <f>IF(OR($DG9=0,$DE9=""),"","+"&amp;IF($DW9=1,CEILING($CX9/2,1),$CX9))</f>
        <v/>
      </c>
      <c r="GC9" s="141">
        <f>IF(OR($DG9=0,$DF9=""),"","+"&amp;IF($DX9=1,CEILING($CX9/2,1),$CX9))</f>
        <v/>
      </c>
      <c r="GE9" s="114" t="inlineStr">
        <is>
          <t>liberações</t>
        </is>
      </c>
      <c r="GF9" s="141">
        <f>COUNTIF($CB$2:$CB$4,"&lt;="&amp;$GF$2)</f>
        <v/>
      </c>
      <c r="GH9" s="114" t="inlineStr">
        <is>
          <t>Passiva 8 · Leque</t>
        </is>
      </c>
      <c r="GI9" s="141">
        <f>'FICHA AMALDIÇOADA'!$P$391&amp;""</f>
        <v/>
      </c>
      <c r="GJ9" s="141">
        <f>IFERROR(VLOOKUP($GI9,$BJ$2:$BL$20,2,FALSE),0)</f>
        <v/>
      </c>
      <c r="GK9" s="141">
        <f>IFERROR(VLOOKUP($GJ9,$BN$2:$BO$4,2,FALSE),0)</f>
        <v/>
      </c>
      <c r="GL9" s="141">
        <f>IFERROR(VLOOKUP($GI9,$BJ$2:$BL$20,3,FALSE),"")</f>
        <v/>
      </c>
      <c r="GM9" s="141">
        <f>IF($GJ9=0,"",IF($GK9&gt;$GF$2,"⚠ Nível "&amp;$GK9,"CP "&amp;$GJ9))</f>
        <v/>
      </c>
      <c r="GN9" s="141">
        <f>IF($GJ9=0,"",IF(3&gt;$GF$8,"⚠ Vaga","Grátis"))</f>
        <v/>
      </c>
      <c r="GP9" s="114" t="inlineStr">
        <is>
          <t>Aptidão 8</t>
        </is>
      </c>
      <c r="GQ9" s="141">
        <f>'FICHA AMALDIÇOADA'!$J$463&amp;""</f>
        <v/>
      </c>
      <c r="GR9" s="141">
        <f>IF($GQ9="","","Requisito: "&amp;IFERROR(VLOOKUP($GQ9,$BQ$2:$BV$17,2,FALSE),""))</f>
        <v/>
      </c>
      <c r="GS9" s="141">
        <f>IF($GQ9="","",IFERROR(IF(ISNUMBER(VLOOKUP($GQ9,$BQ$2:$BV$17,3,FALSE)),"CP "&amp;VLOOKUP($GQ9,$BQ$2:$BV$17,3,FALSE),VLOOKUP($GQ9,$BQ$2:$BV$17,3,FALSE)),""))</f>
        <v/>
      </c>
      <c r="GT9" s="141">
        <f>IF($GQ9="","",IFERROR(VLOOKUP($GQ9,$BQ$2:$BV$17,4,FALSE),""))</f>
        <v/>
      </c>
      <c r="GU9" s="141">
        <f>IF($GQ9="","",IFERROR(VLOOKUP($GQ9,$BQ$2:$BV$17,5,FALSE),""))</f>
        <v/>
      </c>
      <c r="HF9" s="114" t="inlineStr">
        <is>
          <t>Passivas</t>
        </is>
      </c>
      <c r="HG9" s="141">
        <f>ADDRESS(ROW('FICHA AMALDIÇOADA'!M7),COLUMN('FICHA AMALDIÇOADA'!M7),4)</f>
        <v/>
      </c>
      <c r="HH9" s="141">
        <f>ADDRESS(ROW('FICHA AMALDIÇOADA'!D370),COLUMN('FICHA AMALDIÇOADA'!D370),4)</f>
        <v/>
      </c>
      <c r="HJ9" s="114" t="inlineStr">
        <is>
          <t>F40</t>
        </is>
      </c>
      <c r="HK9" s="141">
        <f>INDEX(DADOS_AM!$H$2:$O$8,DADOS_AM!$GF$29,2)</f>
        <v/>
      </c>
    </row>
    <row r="10">
      <c r="A10" s="114" t="inlineStr">
        <is>
          <t>Amparo</t>
        </is>
      </c>
      <c r="B10" s="141">
        <f>'FICHA AMALDIÇOADA'!$P$31&amp;""</f>
        <v/>
      </c>
      <c r="C10" s="141">
        <f>IF($B10="Livre",1,0)</f>
        <v/>
      </c>
      <c r="D10" s="141">
        <f>IF($B10="Fechada",1,0)</f>
        <v/>
      </c>
      <c r="Q10" s="114" t="inlineStr">
        <is>
          <t>Onda</t>
        </is>
      </c>
      <c r="R10" s="114" t="inlineStr">
        <is>
          <t>Amparo</t>
        </is>
      </c>
      <c r="S10" s="141" t="n">
        <v>3</v>
      </c>
      <c r="T10" s="141">
        <f>IF($S10=0,0,$S10+3*IFERROR(VLOOKUP($R10,$A$2:$D$10,3,FALSE),0))</f>
        <v/>
      </c>
      <c r="U10" s="141">
        <f>IFERROR(VLOOKUP($R10,$A$2:$D$10,4,FALSE),0)</f>
        <v/>
      </c>
      <c r="V10" s="141" t="n">
        <v>0</v>
      </c>
      <c r="W10" s="141" t="n">
        <v>1</v>
      </c>
      <c r="X10" s="114" t="inlineStr">
        <is>
          <t>Automático</t>
        </is>
      </c>
      <c r="Y10" s="141" t="n">
        <v>0</v>
      </c>
      <c r="Z10" s="141" t="n">
        <v>2</v>
      </c>
      <c r="AA10" s="141" t="n">
        <v>0</v>
      </c>
      <c r="AB10" s="141" t="n">
        <v>0</v>
      </c>
      <c r="AC10" s="141" t="n">
        <v>0</v>
      </c>
      <c r="AD10" s="141">
        <f>IF($U10=1,"",$Q10)</f>
        <v/>
      </c>
      <c r="AE10" s="141">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41" t="n">
        <v>3</v>
      </c>
      <c r="AX10" s="141">
        <f>$AW10+3*IFERROR(VLOOKUP($AV10,$A$2:$D$10,3,FALSE),0)</f>
        <v/>
      </c>
      <c r="AY10" s="141">
        <f>IFERROR(VLOOKUP($AV10,$A$2:$D$10,4,FALSE),0)</f>
        <v/>
      </c>
      <c r="AZ10" s="141" t="n">
        <v>0</v>
      </c>
      <c r="BA10" s="141">
        <f>IF($AY10=1,"",$AU10)</f>
        <v/>
      </c>
      <c r="BB10" s="141">
        <f>IF(AND($AW10=1,$AY10=0),$AU10,"")</f>
        <v/>
      </c>
      <c r="BD10" s="114" t="inlineStr">
        <is>
          <t>Tudo ou Nada</t>
        </is>
      </c>
      <c r="BE10" s="114" t="inlineStr">
        <is>
          <t>Tudo ou Nada</t>
        </is>
      </c>
      <c r="BF10" s="141" t="n">
        <v>1</v>
      </c>
      <c r="BG10" s="141" t="n">
        <v>0</v>
      </c>
      <c r="BH10" s="114" t="inlineStr">
        <is>
          <t>Tudo ou Nada</t>
        </is>
      </c>
      <c r="BJ10" s="114" t="inlineStr">
        <is>
          <t>Segunda Natureza</t>
        </is>
      </c>
      <c r="BK10" s="141" t="n">
        <v>2</v>
      </c>
      <c r="BL10" s="114" t="inlineStr">
        <is>
          <t>Uma vez por dia, conjura um feitiço de Classe até metade da sua maior sem gastar PE.</t>
        </is>
      </c>
      <c r="BQ10" s="114" t="inlineStr">
        <is>
          <t>Cesta Oca de Vime</t>
        </is>
      </c>
      <c r="BR10" s="114" t="inlineStr">
        <is>
          <t>ser Reencarnado, ou treinado em História</t>
        </is>
      </c>
      <c r="BS10" s="141"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41" t="n">
        <v>0</v>
      </c>
      <c r="CW10" s="141" t="n">
        <v>9</v>
      </c>
      <c r="CX10" s="141">
        <f>MAX(1,MIN(7,N('FICHA AMALDIÇOADA'!$P$87)))</f>
        <v/>
      </c>
      <c r="CY10" s="141">
        <f>'FICHA AMALDIÇOADA'!$Q$87&amp;""</f>
        <v/>
      </c>
      <c r="CZ10" s="141">
        <f>'FICHA AMALDIÇOADA'!$P$94&amp;""</f>
        <v/>
      </c>
      <c r="DA10" s="141">
        <f>'FICHA AMALDIÇOADA'!$Q$96&amp;""</f>
        <v/>
      </c>
      <c r="DB10" s="141">
        <f>'FICHA AMALDIÇOADA'!$Q$97&amp;""</f>
        <v/>
      </c>
      <c r="DC10" s="141">
        <f>'FICHA AMALDIÇOADA'!$Q$98&amp;""</f>
        <v/>
      </c>
      <c r="DD10" s="141">
        <f>'FICHA AMALDIÇOADA'!$Q$99&amp;""</f>
        <v/>
      </c>
      <c r="DE10" s="141">
        <f>'FICHA AMALDIÇOADA'!$Q$100&amp;""</f>
        <v/>
      </c>
      <c r="DF10" s="141">
        <f>'FICHA AMALDIÇOADA'!$Q$101&amp;""</f>
        <v/>
      </c>
      <c r="DG10" s="141">
        <f>IF($CY10&lt;&gt;"",1,0)</f>
        <v/>
      </c>
      <c r="DH10" s="141">
        <f>IFERROR(MATCH($CZ10,$Q$2:$Q$11,0),0)</f>
        <v/>
      </c>
      <c r="DI10" s="141">
        <f>IF($DH10=0,0,INDEX($T$2:$T$11,$DH10))</f>
        <v/>
      </c>
      <c r="DJ10" s="141">
        <f>IFERROR(VLOOKUP($DA10,$AU$2:$BB$84,4,FALSE),0)</f>
        <v/>
      </c>
      <c r="DK10" s="141">
        <f>IFERROR(VLOOKUP($DB10,$AU$2:$BB$84,4,FALSE),0)</f>
        <v/>
      </c>
      <c r="DL10" s="141">
        <f>IFERROR(VLOOKUP($DC10,$AU$2:$BB$84,4,FALSE),0)</f>
        <v/>
      </c>
      <c r="DM10" s="141">
        <f>IFERROR(VLOOKUP($DD10,$AU$2:$BB$84,4,FALSE),0)</f>
        <v/>
      </c>
      <c r="DN10" s="141">
        <f>IF($DH10=0,0,INDEX($U$2:$U$11,$DH10))</f>
        <v/>
      </c>
      <c r="DO10" s="141">
        <f>IFERROR(VLOOKUP($DA10,$AU$2:$BB$84,5,FALSE),0)</f>
        <v/>
      </c>
      <c r="DP10" s="141">
        <f>IFERROR(VLOOKUP($DB10,$AU$2:$BB$84,5,FALSE),0)</f>
        <v/>
      </c>
      <c r="DQ10" s="141">
        <f>IFERROR(VLOOKUP($DC10,$AU$2:$BB$84,5,FALSE),0)</f>
        <v/>
      </c>
      <c r="DR10" s="141">
        <f>IFERROR(VLOOKUP($DD10,$AU$2:$BB$84,5,FALSE),0)</f>
        <v/>
      </c>
      <c r="DS10" s="141">
        <f>IFERROR(VLOOKUP($DA10,$AU$2:$BB$84,6,FALSE),0)+IFERROR(VLOOKUP($DB10,$AU$2:$BB$84,6,FALSE),0)+IFERROR(VLOOKUP($DC10,$AU$2:$BB$84,6,FALSE),0)+IFERROR(VLOOKUP($DD10,$AU$2:$BB$84,6,FALSE),0)</f>
        <v/>
      </c>
      <c r="DT10" s="141">
        <f>IF($DH10=0,0,INDEX($V$2:$V$11,$DH10))</f>
        <v/>
      </c>
      <c r="DU10" s="141">
        <f>IF($DH10=0,0,INDEX($W$2:$W$11,$DH10))</f>
        <v/>
      </c>
      <c r="DV10" s="141">
        <f>IF($DH10=0,0,INDEX($Y$2:$Y$11,$DH10))</f>
        <v/>
      </c>
      <c r="DW10" s="141">
        <f>IFERROR(VLOOKUP($DE10,$BD$2:$BH$24,3,FALSE),0)</f>
        <v/>
      </c>
      <c r="DX10" s="141">
        <f>IFERROR(VLOOKUP($DF10,$BD$2:$BH$24,3,FALSE),0)</f>
        <v/>
      </c>
      <c r="DY10" s="141">
        <f>IFERROR(VLOOKUP($DE10,$BD$2:$BH$24,2,FALSE),"")</f>
        <v/>
      </c>
      <c r="DZ10" s="141">
        <f>IFERROR(VLOOKUP($DF10,$BD$2:$BH$24,2,FALSE),"")</f>
        <v/>
      </c>
      <c r="EA10" s="141">
        <f>COUNTIF($DI10:$DM10,1)</f>
        <v/>
      </c>
      <c r="EB10" s="141">
        <f>COUNTIF($DI10:$DM10,2)</f>
        <v/>
      </c>
      <c r="EC10" s="141">
        <f>COUNTIF($DI10:$DM10,3)</f>
        <v/>
      </c>
      <c r="ED10" s="141">
        <f>COUNTIF($DI10:$DM10,4)</f>
        <v/>
      </c>
      <c r="EE10" s="141">
        <f>COUNTIF($DI10:$DM10,5)</f>
        <v/>
      </c>
      <c r="EF10" s="141">
        <f>COUNTIF($DI10:$DM10,6)</f>
        <v/>
      </c>
      <c r="EG10" s="141">
        <f>COUNTIF($DW10:$DX10,1)</f>
        <v/>
      </c>
      <c r="EH10" s="141">
        <f>COUNTIF($DW10:$DX10,2)+$DT10</f>
        <v/>
      </c>
      <c r="EI10" s="141">
        <f>COUNTIF($DA10:$DD10,"?*")</f>
        <v/>
      </c>
      <c r="EJ10" s="141">
        <f>COUNTIF($DE10:$DF10,"?*")+$DT10</f>
        <v/>
      </c>
      <c r="EK10" s="141">
        <f>SUMPRODUCT($EA10:$EF10,INDEX($I$2:$N$8,$CX10,0))</f>
        <v/>
      </c>
      <c r="EL10" s="141">
        <f>$EG10*CEILING($CX10/2,1)+$EH10*$CX10</f>
        <v/>
      </c>
      <c r="EM10" s="141">
        <f>MIN(2*$CX10,$EL10)</f>
        <v/>
      </c>
      <c r="EN10" s="141">
        <f>MIN($EM10,$EK10)</f>
        <v/>
      </c>
      <c r="EO10" s="141">
        <f>$EM10-$EN10</f>
        <v/>
      </c>
      <c r="EP10" s="141">
        <f>3*$CX10-$EK10+$EN10</f>
        <v/>
      </c>
      <c r="EQ10" s="141">
        <f>MAX(0,$EP10)+$CV10*$CX10</f>
        <v/>
      </c>
      <c r="ER10" s="141">
        <f>(IF(COUNTIF($DA10:$DD10,"Salto")&gt;0,1,0)+IF(COUNTIF($DA10:$DD10,"Queima")&gt;0,1,0))*FLOOR($EQ10/2,1)</f>
        <v/>
      </c>
      <c r="ES10" s="141">
        <f>MAX(0,3-SUMPRODUCT($EA10:$EF10,$I$2:$N$2)+MIN(2,$EG10*1+$EH10*1,SUMPRODUCT($EA10:$EF10,$I$2:$N$2)))+$CV10*1</f>
        <v/>
      </c>
      <c r="ET10" s="141">
        <f>MAX(0,6-SUMPRODUCT($EA10:$EF10,$I$3:$N$3)+MIN(4,$EG10*1+$EH10*2,SUMPRODUCT($EA10:$EF10,$I$3:$N$3)))+$CV10*2</f>
        <v/>
      </c>
      <c r="EU10" s="141">
        <f>MAX(0,9-SUMPRODUCT($EA10:$EF10,$I$4:$N$4)+MIN(6,$EG10*2+$EH10*3,SUMPRODUCT($EA10:$EF10,$I$4:$N$4)))+$CV10*3</f>
        <v/>
      </c>
      <c r="EV10" s="141">
        <f>MAX(0,12-SUMPRODUCT($EA10:$EF10,$I$5:$N$5)+MIN(8,$EG10*2+$EH10*4,SUMPRODUCT($EA10:$EF10,$I$5:$N$5)))+$CV10*4</f>
        <v/>
      </c>
      <c r="EW10" s="141">
        <f>MAX(0,15-SUMPRODUCT($EA10:$EF10,$I$6:$N$6)+MIN(10,$EG10*3+$EH10*5,SUMPRODUCT($EA10:$EF10,$I$6:$N$6)))+$CV10*5</f>
        <v/>
      </c>
      <c r="EX10" s="141">
        <f>MAX(0,18-SUMPRODUCT($EA10:$EF10,$I$7:$N$7)+MIN(12,$EG10*3+$EH10*6,SUMPRODUCT($EA10:$EF10,$I$7:$N$7)))+$CV10*6</f>
        <v/>
      </c>
      <c r="EY10" s="141">
        <f>MAX(0,21-SUMPRODUCT($EA10:$EF10,$I$8:$N$8)+MIN(14,$EG10*4+$EH10*7,SUMPRODUCT($EA10:$EF10,$I$8:$N$8)))+$CV10*7</f>
        <v/>
      </c>
      <c r="EZ10" s="141">
        <f>IF($DU10=2,3*$ES10&amp;" de vida temp.",IF($DU10=3,"sem dano",IF($ES10=0,IF($DU10=1,"sem cura","sem dano"),IF($DU10=1,"cura ","")&amp;$ES10&amp;"d8")))</f>
        <v/>
      </c>
      <c r="FA10" s="141">
        <f>IF($DU10=2,3*$ET10&amp;" de vida temp.",IF($DU10=3,"sem dano",IF($ET10=0,IF($DU10=1,"sem cura","sem dano"),IF($DU10=1,"cura ","")&amp;$ET10&amp;"d8")))</f>
        <v/>
      </c>
      <c r="FB10" s="141">
        <f>IF($DU10=2,3*$EU10&amp;" de vida temp.",IF($DU10=3,"sem dano",IF($EU10=0,IF($DU10=1,"sem cura","sem dano"),IF($DU10=1,"cura ","")&amp;$EU10&amp;"d8")))</f>
        <v/>
      </c>
      <c r="FC10" s="141">
        <f>IF($DU10=2,3*$EV10&amp;" de vida temp.",IF($DU10=3,"sem dano",IF($EV10=0,IF($DU10=1,"sem cura","sem dano"),IF($DU10=1,"cura ","")&amp;$EV10&amp;"d8")))</f>
        <v/>
      </c>
      <c r="FD10" s="141">
        <f>IF($DU10=2,3*$EW10&amp;" de vida temp.",IF($DU10=3,"sem dano",IF($EW10=0,IF($DU10=1,"sem cura","sem dano"),IF($DU10=1,"cura ","")&amp;$EW10&amp;"d8")))</f>
        <v/>
      </c>
      <c r="FE10" s="141">
        <f>IF($DU10=2,3*$EX10&amp;" de vida temp.",IF($DU10=3,"sem dano",IF($EX10=0,IF($DU10=1,"sem cura","sem dano"),IF($DU10=1,"cura ","")&amp;$EX10&amp;"d8")))</f>
        <v/>
      </c>
      <c r="FF10" s="141">
        <f>IF($DU10=2,3*$EY10&amp;" de vida temp.",IF($DU10=3,"sem dano",IF($EY10=0,IF($DU10=1,"sem cura","sem dano"),IF($DU10=1,"cura ","")&amp;$EY10&amp;"d8")))</f>
        <v/>
      </c>
      <c r="FG10" s="141">
        <f>IF($DG10=0,"",TEXTJOIN(" · ",TRUE,IF(AND($CV10=1,$CW10&gt;$GF$9),"O nível "&amp;$GF$2&amp;" dá "&amp;$GF$9&amp;" Liberação Máxima",""),IF($CX10&gt;$GF$4,"Classe "&amp;$CX10&amp;": o nível "&amp;$GF$2&amp;" libera até a "&amp;$GF$4,""),IF($DN10=1,"Família Fechada: a Forma "&amp;$CZ10,""),IF($DO10=1,"Família Fechada: "&amp;$DA10,""),IF($DP10=1,"Família Fechada: "&amp;$DB10,""),IF($DQ10=1,"Família Fechada: "&amp;$DC10,""),IF($DR10=1,"Família Fechada: "&amp;$DD10,""),IF($EI10&gt;INDEX($O$2:$O$8,$CX10),$EI10&amp;" Melhorias: a Classe "&amp;$CX10&amp;" aceita "&amp;INDEX($O$2:$O$8,$CX10),""),IF($EJ10&gt;2,$EJ10&amp;" Restrições"&amp;IF($DT10=1,", contando a que a Forma "&amp;$CZ10&amp;" já traz","")&amp;": o limite é 2",""),IF($EP10&lt;0,"Orçamento estourado: faltam "&amp;(-$EP10)&amp;IF($EP10&lt;-1," pontos"," ponto"),""),IF(IFERROR(VLOOKUP($DE10,$BD$2:$BH$24,4,FALSE),0)+IFERROR(VLOOKUP($DF10,$BD$2:$BH$24,4,FALSE),0)&gt;1,$DY10&amp;" e "&amp;$DZ10&amp;" são as duas de frequência",""),IF(AND((COUNTIF($DA10:$DD10,"Rápido")+COUNTIF($DY10:$DZ10,"Rápido"))&gt;0,(COUNTIF($DA10:$DD10,"Reação")+COUNTIF($DY10:$DZ10,"Reação"))&gt;0),"Rápido não entra com Reação",""),IF(AND((COUNTIF($DA10:$DD10,"Rápido")+COUNTIF($DY10:$DZ10,"Rápido"))&gt;0,(COUNTIF($DA10:$DD10,"Atrasar")+COUNTIF($DY10:$DZ10,"Atrasar"))&gt;0),"Rápido não entra com Atrasar",""),IF(AND((COUNTIF($DA10:$DD10,"Reação")+COUNTIF($DY10:$DZ10,"Reação"))&gt;0,(COUNTIF($DA10:$DD10,"Atrasar")+COUNTIF($DY10:$DZ10,"Atrasar"))&gt;0),"Reação não entra com Atrasar",""),IF(AND((COUNTIF($DA10:$DD10,"Reação")+COUNTIF($DY10:$DZ10,"Reação"))&gt;0,(COUNTIF($DA10:$DD10,"Parado")+COUNTIF($DY10:$DZ10,"Parado"))&gt;0),"Reação não entra com Parado",""),IF(AND(COUNTIF($DY10:$DZ10,"Corpo a Corpo")&gt;0,$DT10=0,OR($CZ10="Cone",$CZ10="Linha")),"Corpo a Corpo não entra em "&amp;$CZ10,""),IF(AND(COUNTIF($DY10:$DZ10,"Corpo a Corpo")&gt;0,$DT10=1),"A Forma "&amp;$CZ10&amp;" já traz o Corpo a Corpo",""),IF(AND(COUNTIF($DY10:$DZ10,"Tudo ou Nada")&gt;0,$DV10=0),"Tudo ou Nada só entra em feitiço de Teste de Resistência",""),IF(AND(COUNTIF($DA10:$DD10,"Inescapável")&gt;0,OR($EI10&gt;1,$EJ10&gt;0)),"Inescapável não aceita outra peça",""),IF(AND($CV10=1,$CX10&lt;3),"Liberação Máxima é de Classe 3 ou mais",""),IF(AND($CV10=1,OR($DU10=1,$DU10=2)),"Liberação Máxima não serve para cura",""),IF(AND($CV10=1,COUNTIF($DA10:$DD10,"Inescapável")+COUNTIF($DA10:$DD10,"Toca a Alma")&gt;0),"Esta peça não entra numa Liberação Máxima",""),IF($EQ10+$ER10&gt;4*$CX10,($EQ10+$ER10)&amp;" dados somando alvos e repetições: o teto da Classe "&amp;$CX10&amp;" é "&amp;4*$CX10,"")))</f>
        <v/>
      </c>
      <c r="FH10" s="141">
        <f>IF($FG10="",0,(LEN($FG10)-LEN(SUBSTITUTE($FG10," · ","")))/3+1)</f>
        <v/>
      </c>
      <c r="FI10" s="141">
        <f>IF($DG10=0,"",TEXTJOIN(" · ",TRUE,IF($EL10&gt;2*$CX10,"A devolução parou no teto de "&amp;2*$CX10,""),IF($EO10&gt;0,"Devolução perdida: "&amp;$EO10&amp;IF($EO10&gt;1," pontos"," ponto")&amp;" sem peça para pagar",""),IF(AND($DS10&gt;0,$EQ10=0),"Controle sem dano: uma rodada a mais e CD +2",""),IF(AND($DS10&gt;0,$EQ10&gt;0,$EQ10&lt;=$CX10),"Controle com um quarto do teto: uma rodada a mais","")))</f>
        <v/>
      </c>
      <c r="FJ10" s="141">
        <f>IF($FI10="",0,(LEN($FI10)-LEN(SUBSTITUTE($FI10," · ","")))/3+1)</f>
        <v/>
      </c>
      <c r="FK10" s="141">
        <f>IF($DG10=0,IF($EI10+$EJ10-$DT10&gt;0,"Dê um nome",""),IF($FH10&gt;0,"⚠ "&amp;$FH10&amp;IF($FH10&gt;1," erros"," erro"),IF($FJ10&gt;0,"! "&amp;$FJ10&amp;IF($FJ10&gt;1," avisos"," aviso"),"Na regra")))</f>
        <v/>
      </c>
      <c r="FL10" s="141">
        <f>IF($DG10=0,"",IF($FH10+$FJ10=0,"Dentro das regras que a ficha confere",$FG10&amp;IF(AND($FH10&gt;0,$FJ10&gt;0)," · ","")&amp;$FI10))</f>
        <v/>
      </c>
      <c r="FM10" s="141">
        <f>IF($DG10=0,"",IF($CV10=1,CEILING(4.5*$CX10,1),3*$CX10)&amp;" PE")</f>
        <v/>
      </c>
      <c r="FN10" s="141">
        <f>IF($DG10=0,"",IF($CV10=1,"Rodada inteira",IF(COUNTIF($DY10:$DZ10,"Atrasar")&gt;0,IF(COUNTIF($DY10:$DZ10,"Carregar")&gt;0,"Rodada +1 turno","Rodada inteira"),IF(COUNTIF($DA10:$DD10,"Rápido")&gt;0,"Bônus",IF(COUNTIF($DA10:$DD10,"Reação")&gt;0,"Reação","Padrão"))&amp;IF(COUNTIF($DY10:$DZ10,"Carregar")&gt;0," +1 turno",""))))</f>
        <v/>
      </c>
      <c r="FO10" s="141">
        <f>IF(OR($DG10=0,$DH10=0),"",IF(COUNTIF($DA10:$DD10,"Inescapável")&gt;0,"Automático",IF(COUNTIF($DA10:$DD10,"Certeiro")&gt;0,"TR para metade",INDEX($X$2:$X$11,$DH10))))</f>
        <v/>
      </c>
      <c r="FP10" s="141">
        <f>IF(OR($DG10=0,$DH10=0),"",IF(OR($DU10&gt;=2,$EQ10=0),UPPER(LEFT(INDEX($EZ10:$FF10,1,$CX10),1))&amp;MID(INDEX($EZ10:$FF10,1,$CX10),2,99),UPPER(LEFT(INDEX($EZ10:$FF10,1,$CX10),1))&amp;MID(INDEX($EZ10:$FF10,1,$CX10),2,99)&amp;" = "&amp;FLOOR($EQ10*4.5,1)&amp;IF($ER10&gt;0," · +"&amp;$ER10&amp;"d8","")))</f>
        <v/>
      </c>
      <c r="FQ10" s="141">
        <f>COUNTIF($DA10:$DD10,"Longe")+3*COUNTIF($DA10:$DD10,"Muito Longe")</f>
        <v/>
      </c>
      <c r="FR10" s="141">
        <f>COUNTIF($DA10:$DD10,"Maior")+3*COUNTIF($DA10:$DD10,"Muito Maior")</f>
        <v/>
      </c>
      <c r="FS10" s="141">
        <f>IF($DH10=0,0,CHOOSE(1+INDEX($Z$2:$Z$11,$DH10),0,$FQ10,$FR10,$FQ10+$FR10))</f>
        <v/>
      </c>
      <c r="FT10" s="141">
        <f>IF($DH10=0,0,CHOOSE(1+INDEX($AA$2:$AA$11,$DH10),0,$FQ10,$FR10,$FQ10+$FR10))</f>
        <v/>
      </c>
      <c r="FU10" s="141">
        <f>IF(OR($DG10=0,$DH10=0),"",INDEX($AH$2:$AM$31,($DH10-1)*3+IF($CX10&gt;=6,3,2),1+MIN(5,$FS10))&amp;INDEX($AN$2:$AS$31,($DH10-1)*3+IF($CX10&gt;=6,3,2),1+MIN(5,$FT10))&amp;IF(INDEX($AB$2:$AB$11,$DH10)=1,IF(COUNTIF($DA10:$DD10,"Mais Um")&gt;0," · +"&amp;COUNTIF($DA10:$DD10,"Mais Um")&amp;IF(COUNTIF($DA10:$DD10,"Mais Um")&gt;1," alvos"," alvo"),"")&amp;IF(COUNTIF($DA10:$DD10,"Rajada")&gt;0," · "&amp;($CX10+1)&amp;" tiros",""),""))</f>
        <v/>
      </c>
      <c r="FV10" s="141">
        <f>IF($DG10=0,"",3*$CX10&amp;" − "&amp;$EK10&amp;" + "&amp;$EN10&amp;IF($CV10=1," + "&amp;$CX10,"")&amp;" = "&amp;$EQ10&amp;"d8 · teto "&amp;4*$CX10&amp;IF($DT10=1," · a Forma devolve "&amp;$CX10,"")&amp;IF($EO10&gt;0," · perde "&amp;$EO10,""))</f>
        <v/>
      </c>
      <c r="FW10" s="141">
        <f>IF($DG10=0,"",IF($CX10&gt;=$GF$4,"Já está na maior Classe que o nível liberou",TEXTJOIN(" · ",TRUE,IF(AND(2&gt;$CX10,2&lt;=$GF$4),"2 → "&amp;$FA10&amp;", "&amp;IF($CV10=1,9,6)&amp;" PE",""),IF(AND(3&gt;$CX10,3&lt;=$GF$4),"3 → "&amp;$FB10&amp;", "&amp;IF($CV10=1,14,9)&amp;" PE",""),IF(AND(4&gt;$CX10,4&lt;=$GF$4),"4 → "&amp;$FC10&amp;", "&amp;IF($CV10=1,18,12)&amp;" PE",""),IF(AND(5&gt;$CX10,5&lt;=$GF$4),"5 → "&amp;$FD10&amp;", "&amp;IF($CV10=1,23,15)&amp;" PE",""),IF(AND(6&gt;$CX10,6&lt;=$GF$4),"6 → "&amp;$FE10&amp;", "&amp;IF($CV10=1,27,18)&amp;" PE",""),IF(AND(7&gt;$CX10,7&lt;=$GF$4),"7 → "&amp;$FF10&amp;", "&amp;IF($CV10=1,32,21)&amp;" PE",""))))</f>
        <v/>
      </c>
      <c r="FX10" s="141">
        <f>IF(OR($DG10=0,$DJ10=0),"","−"&amp;INDEX($I$2:$N$8,$CX10,$DJ10)&amp;" · "&amp;CHOOSE($DJ10,"Leve","Média","Pesada","Leve · Livre","Média · Livre","Pesada · Livre"))</f>
        <v/>
      </c>
      <c r="FY10" s="141">
        <f>IF(OR($DG10=0,$DK10=0),"","−"&amp;INDEX($I$2:$N$8,$CX10,$DK10)&amp;" · "&amp;CHOOSE($DK10,"Leve","Média","Pesada","Leve · Livre","Média · Livre","Pesada · Livre"))</f>
        <v/>
      </c>
      <c r="FZ10" s="141">
        <f>IF(OR($DG10=0,$DL10=0),"","−"&amp;INDEX($I$2:$N$8,$CX10,$DL10)&amp;" · "&amp;CHOOSE($DL10,"Leve","Média","Pesada","Leve · Livre","Média · Livre","Pesada · Livre"))</f>
        <v/>
      </c>
      <c r="GA10" s="141">
        <f>IF(OR($DG10=0,$DM10=0),"","−"&amp;INDEX($I$2:$N$8,$CX10,$DM10)&amp;" · "&amp;CHOOSE($DM10,"Leve","Média","Pesada","Leve · Livre","Média · Livre","Pesada · Livre"))</f>
        <v/>
      </c>
      <c r="GB10" s="141">
        <f>IF(OR($DG10=0,$DE10=""),"","+"&amp;IF($DW10=1,CEILING($CX10/2,1),$CX10))</f>
        <v/>
      </c>
      <c r="GC10" s="141">
        <f>IF(OR($DG10=0,$DF10=""),"","+"&amp;IF($DX10=1,CEILING($CX10/2,1),$CX10))</f>
        <v/>
      </c>
      <c r="GE10" s="114" t="inlineStr">
        <is>
          <t>classe 0 quantos</t>
        </is>
      </c>
      <c r="GF10" s="141">
        <f>IFERROR(INDEX($BY$2:$BY$6,MATCH($GF$2,$BX$2:$BX$6,1)),0)</f>
        <v/>
      </c>
      <c r="GH10" s="114" t="inlineStr">
        <is>
          <t>Passiva 9 · Leque</t>
        </is>
      </c>
      <c r="GI10" s="141">
        <f>'FICHA AMALDIÇOADA'!$D$399&amp;""</f>
        <v/>
      </c>
      <c r="GJ10" s="141">
        <f>IFERROR(VLOOKUP($GI10,$BJ$2:$BL$20,2,FALSE),0)</f>
        <v/>
      </c>
      <c r="GK10" s="141">
        <f>IFERROR(VLOOKUP($GJ10,$BN$2:$BO$4,2,FALSE),0)</f>
        <v/>
      </c>
      <c r="GL10" s="141">
        <f>IFERROR(VLOOKUP($GI10,$BJ$2:$BL$20,3,FALSE),"")</f>
        <v/>
      </c>
      <c r="GM10" s="141">
        <f>IF($GJ10=0,"",IF($GK10&gt;$GF$2,"⚠ Nível "&amp;$GK10,"CP "&amp;$GJ10))</f>
        <v/>
      </c>
      <c r="GN10" s="141">
        <f>IF($GJ10=0,"",IF(4&gt;$GF$8,"⚠ Vaga","Grátis"))</f>
        <v/>
      </c>
      <c r="GP10" s="114" t="inlineStr">
        <is>
          <t>Aptidão 9</t>
        </is>
      </c>
      <c r="GQ10" s="141">
        <f>'FICHA AMALDIÇOADA'!$P$463&amp;""</f>
        <v/>
      </c>
      <c r="GR10" s="141">
        <f>IF($GQ10="","","Requisito: "&amp;IFERROR(VLOOKUP($GQ10,$BQ$2:$BV$17,2,FALSE),""))</f>
        <v/>
      </c>
      <c r="GS10" s="141">
        <f>IF($GQ10="","",IFERROR(IF(ISNUMBER(VLOOKUP($GQ10,$BQ$2:$BV$17,3,FALSE)),"CP "&amp;VLOOKUP($GQ10,$BQ$2:$BV$17,3,FALSE),VLOOKUP($GQ10,$BQ$2:$BV$17,3,FALSE)),""))</f>
        <v/>
      </c>
      <c r="GT10" s="141">
        <f>IF($GQ10="","",IFERROR(VLOOKUP($GQ10,$BQ$2:$BV$17,4,FALSE),""))</f>
        <v/>
      </c>
      <c r="GU10" s="141">
        <f>IF($GQ10="","",IFERROR(VLOOKUP($GQ10,$BQ$2:$BV$17,5,FALSE),""))</f>
        <v/>
      </c>
      <c r="HF10" s="114" t="inlineStr">
        <is>
          <t>Aptidões</t>
        </is>
      </c>
      <c r="HG10" s="141">
        <f>ADDRESS(ROW('FICHA AMALDIÇOADA'!P7),COLUMN('FICHA AMALDIÇOADA'!P7),4)</f>
        <v/>
      </c>
      <c r="HH10" s="141">
        <f>ADDRESS(ROW('FICHA AMALDIÇOADA'!D415),COLUMN('FICHA AMALDIÇOADA'!D415),4)</f>
        <v/>
      </c>
      <c r="HJ10" s="114" t="inlineStr">
        <is>
          <t>G40</t>
        </is>
      </c>
      <c r="HK10" s="141">
        <f>INDEX(DADOS_AM!$H$2:$O$8,DADOS_AM!$GF$29,3)</f>
        <v/>
      </c>
    </row>
    <row r="11">
      <c r="Q11" s="114" t="inlineStr">
        <is>
          <t>Efeito</t>
        </is>
      </c>
      <c r="R11" s="114" t="inlineStr"/>
      <c r="S11" s="141" t="n">
        <v>0</v>
      </c>
      <c r="T11" s="141">
        <f>IF($S11=0,0,$S11+3*IFERROR(VLOOKUP($R11,$A$2:$D$10,3,FALSE),0))</f>
        <v/>
      </c>
      <c r="U11" s="141">
        <f>IFERROR(VLOOKUP($R11,$A$2:$D$10,4,FALSE),0)</f>
        <v/>
      </c>
      <c r="V11" s="141" t="n">
        <v>0</v>
      </c>
      <c r="W11" s="141" t="n">
        <v>3</v>
      </c>
      <c r="X11" s="114" t="inlineStr">
        <is>
          <t>Automático</t>
        </is>
      </c>
      <c r="Y11" s="141" t="n">
        <v>0</v>
      </c>
      <c r="Z11" s="141" t="n">
        <v>0</v>
      </c>
      <c r="AA11" s="141" t="n">
        <v>0</v>
      </c>
      <c r="AB11" s="141" t="n">
        <v>0</v>
      </c>
      <c r="AC11" s="141" t="n">
        <v>1</v>
      </c>
      <c r="AD11" s="141">
        <f>IF($U11=1,"",$Q11)</f>
        <v/>
      </c>
      <c r="AE11" s="141">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41" t="n">
        <v>2</v>
      </c>
      <c r="AX11" s="141">
        <f>$AW11+3*IFERROR(VLOOKUP($AV11,$A$2:$D$10,3,FALSE),0)</f>
        <v/>
      </c>
      <c r="AY11" s="141">
        <f>IFERROR(VLOOKUP($AV11,$A$2:$D$10,4,FALSE),0)</f>
        <v/>
      </c>
      <c r="AZ11" s="141" t="n">
        <v>0</v>
      </c>
      <c r="BA11" s="141">
        <f>IF($AY11=1,"",$AU11)</f>
        <v/>
      </c>
      <c r="BB11" s="141">
        <f>IF(AND($AW11=1,$AY11=0),$AU11,"")</f>
        <v/>
      </c>
      <c r="BD11" s="114" t="inlineStr">
        <is>
          <t>Uma Vez</t>
        </is>
      </c>
      <c r="BE11" s="114" t="inlineStr">
        <is>
          <t>Uma Vez</t>
        </is>
      </c>
      <c r="BF11" s="141" t="n">
        <v>1</v>
      </c>
      <c r="BG11" s="141" t="n">
        <v>1</v>
      </c>
      <c r="BH11" s="114" t="inlineStr">
        <is>
          <t>Uma Vez</t>
        </is>
      </c>
      <c r="BJ11" s="114" t="inlineStr">
        <is>
          <t>Eco</t>
        </is>
      </c>
      <c r="BK11" s="141"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41"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41" t="n">
        <v>0</v>
      </c>
      <c r="CW11" s="141" t="n">
        <v>10</v>
      </c>
      <c r="CX11" s="141">
        <f>MAX(1,MIN(7,N('FICHA AMALDIÇOADA'!$D$108)))</f>
        <v/>
      </c>
      <c r="CY11" s="141">
        <f>'FICHA AMALDIÇOADA'!$E$108&amp;""</f>
        <v/>
      </c>
      <c r="CZ11" s="141">
        <f>'FICHA AMALDIÇOADA'!$D$115&amp;""</f>
        <v/>
      </c>
      <c r="DA11" s="141">
        <f>'FICHA AMALDIÇOADA'!$E$117&amp;""</f>
        <v/>
      </c>
      <c r="DB11" s="141">
        <f>'FICHA AMALDIÇOADA'!$E$118&amp;""</f>
        <v/>
      </c>
      <c r="DC11" s="141">
        <f>'FICHA AMALDIÇOADA'!$E$119&amp;""</f>
        <v/>
      </c>
      <c r="DD11" s="141">
        <f>'FICHA AMALDIÇOADA'!$E$120&amp;""</f>
        <v/>
      </c>
      <c r="DE11" s="141">
        <f>'FICHA AMALDIÇOADA'!$E$121&amp;""</f>
        <v/>
      </c>
      <c r="DF11" s="141">
        <f>'FICHA AMALDIÇOADA'!$E$122&amp;""</f>
        <v/>
      </c>
      <c r="DG11" s="141">
        <f>IF($CY11&lt;&gt;"",1,0)</f>
        <v/>
      </c>
      <c r="DH11" s="141">
        <f>IFERROR(MATCH($CZ11,$Q$2:$Q$11,0),0)</f>
        <v/>
      </c>
      <c r="DI11" s="141">
        <f>IF($DH11=0,0,INDEX($T$2:$T$11,$DH11))</f>
        <v/>
      </c>
      <c r="DJ11" s="141">
        <f>IFERROR(VLOOKUP($DA11,$AU$2:$BB$84,4,FALSE),0)</f>
        <v/>
      </c>
      <c r="DK11" s="141">
        <f>IFERROR(VLOOKUP($DB11,$AU$2:$BB$84,4,FALSE),0)</f>
        <v/>
      </c>
      <c r="DL11" s="141">
        <f>IFERROR(VLOOKUP($DC11,$AU$2:$BB$84,4,FALSE),0)</f>
        <v/>
      </c>
      <c r="DM11" s="141">
        <f>IFERROR(VLOOKUP($DD11,$AU$2:$BB$84,4,FALSE),0)</f>
        <v/>
      </c>
      <c r="DN11" s="141">
        <f>IF($DH11=0,0,INDEX($U$2:$U$11,$DH11))</f>
        <v/>
      </c>
      <c r="DO11" s="141">
        <f>IFERROR(VLOOKUP($DA11,$AU$2:$BB$84,5,FALSE),0)</f>
        <v/>
      </c>
      <c r="DP11" s="141">
        <f>IFERROR(VLOOKUP($DB11,$AU$2:$BB$84,5,FALSE),0)</f>
        <v/>
      </c>
      <c r="DQ11" s="141">
        <f>IFERROR(VLOOKUP($DC11,$AU$2:$BB$84,5,FALSE),0)</f>
        <v/>
      </c>
      <c r="DR11" s="141">
        <f>IFERROR(VLOOKUP($DD11,$AU$2:$BB$84,5,FALSE),0)</f>
        <v/>
      </c>
      <c r="DS11" s="141">
        <f>IFERROR(VLOOKUP($DA11,$AU$2:$BB$84,6,FALSE),0)+IFERROR(VLOOKUP($DB11,$AU$2:$BB$84,6,FALSE),0)+IFERROR(VLOOKUP($DC11,$AU$2:$BB$84,6,FALSE),0)+IFERROR(VLOOKUP($DD11,$AU$2:$BB$84,6,FALSE),0)</f>
        <v/>
      </c>
      <c r="DT11" s="141">
        <f>IF($DH11=0,0,INDEX($V$2:$V$11,$DH11))</f>
        <v/>
      </c>
      <c r="DU11" s="141">
        <f>IF($DH11=0,0,INDEX($W$2:$W$11,$DH11))</f>
        <v/>
      </c>
      <c r="DV11" s="141">
        <f>IF($DH11=0,0,INDEX($Y$2:$Y$11,$DH11))</f>
        <v/>
      </c>
      <c r="DW11" s="141">
        <f>IFERROR(VLOOKUP($DE11,$BD$2:$BH$24,3,FALSE),0)</f>
        <v/>
      </c>
      <c r="DX11" s="141">
        <f>IFERROR(VLOOKUP($DF11,$BD$2:$BH$24,3,FALSE),0)</f>
        <v/>
      </c>
      <c r="DY11" s="141">
        <f>IFERROR(VLOOKUP($DE11,$BD$2:$BH$24,2,FALSE),"")</f>
        <v/>
      </c>
      <c r="DZ11" s="141">
        <f>IFERROR(VLOOKUP($DF11,$BD$2:$BH$24,2,FALSE),"")</f>
        <v/>
      </c>
      <c r="EA11" s="141">
        <f>COUNTIF($DI11:$DM11,1)</f>
        <v/>
      </c>
      <c r="EB11" s="141">
        <f>COUNTIF($DI11:$DM11,2)</f>
        <v/>
      </c>
      <c r="EC11" s="141">
        <f>COUNTIF($DI11:$DM11,3)</f>
        <v/>
      </c>
      <c r="ED11" s="141">
        <f>COUNTIF($DI11:$DM11,4)</f>
        <v/>
      </c>
      <c r="EE11" s="141">
        <f>COUNTIF($DI11:$DM11,5)</f>
        <v/>
      </c>
      <c r="EF11" s="141">
        <f>COUNTIF($DI11:$DM11,6)</f>
        <v/>
      </c>
      <c r="EG11" s="141">
        <f>COUNTIF($DW11:$DX11,1)</f>
        <v/>
      </c>
      <c r="EH11" s="141">
        <f>COUNTIF($DW11:$DX11,2)+$DT11</f>
        <v/>
      </c>
      <c r="EI11" s="141">
        <f>COUNTIF($DA11:$DD11,"?*")</f>
        <v/>
      </c>
      <c r="EJ11" s="141">
        <f>COUNTIF($DE11:$DF11,"?*")+$DT11</f>
        <v/>
      </c>
      <c r="EK11" s="141">
        <f>SUMPRODUCT($EA11:$EF11,INDEX($I$2:$N$8,$CX11,0))</f>
        <v/>
      </c>
      <c r="EL11" s="141">
        <f>$EG11*CEILING($CX11/2,1)+$EH11*$CX11</f>
        <v/>
      </c>
      <c r="EM11" s="141">
        <f>MIN(2*$CX11,$EL11)</f>
        <v/>
      </c>
      <c r="EN11" s="141">
        <f>MIN($EM11,$EK11)</f>
        <v/>
      </c>
      <c r="EO11" s="141">
        <f>$EM11-$EN11</f>
        <v/>
      </c>
      <c r="EP11" s="141">
        <f>3*$CX11-$EK11+$EN11</f>
        <v/>
      </c>
      <c r="EQ11" s="141">
        <f>MAX(0,$EP11)+$CV11*$CX11</f>
        <v/>
      </c>
      <c r="ER11" s="141">
        <f>(IF(COUNTIF($DA11:$DD11,"Salto")&gt;0,1,0)+IF(COUNTIF($DA11:$DD11,"Queima")&gt;0,1,0))*FLOOR($EQ11/2,1)</f>
        <v/>
      </c>
      <c r="ES11" s="141">
        <f>MAX(0,3-SUMPRODUCT($EA11:$EF11,$I$2:$N$2)+MIN(2,$EG11*1+$EH11*1,SUMPRODUCT($EA11:$EF11,$I$2:$N$2)))+$CV11*1</f>
        <v/>
      </c>
      <c r="ET11" s="141">
        <f>MAX(0,6-SUMPRODUCT($EA11:$EF11,$I$3:$N$3)+MIN(4,$EG11*1+$EH11*2,SUMPRODUCT($EA11:$EF11,$I$3:$N$3)))+$CV11*2</f>
        <v/>
      </c>
      <c r="EU11" s="141">
        <f>MAX(0,9-SUMPRODUCT($EA11:$EF11,$I$4:$N$4)+MIN(6,$EG11*2+$EH11*3,SUMPRODUCT($EA11:$EF11,$I$4:$N$4)))+$CV11*3</f>
        <v/>
      </c>
      <c r="EV11" s="141">
        <f>MAX(0,12-SUMPRODUCT($EA11:$EF11,$I$5:$N$5)+MIN(8,$EG11*2+$EH11*4,SUMPRODUCT($EA11:$EF11,$I$5:$N$5)))+$CV11*4</f>
        <v/>
      </c>
      <c r="EW11" s="141">
        <f>MAX(0,15-SUMPRODUCT($EA11:$EF11,$I$6:$N$6)+MIN(10,$EG11*3+$EH11*5,SUMPRODUCT($EA11:$EF11,$I$6:$N$6)))+$CV11*5</f>
        <v/>
      </c>
      <c r="EX11" s="141">
        <f>MAX(0,18-SUMPRODUCT($EA11:$EF11,$I$7:$N$7)+MIN(12,$EG11*3+$EH11*6,SUMPRODUCT($EA11:$EF11,$I$7:$N$7)))+$CV11*6</f>
        <v/>
      </c>
      <c r="EY11" s="141">
        <f>MAX(0,21-SUMPRODUCT($EA11:$EF11,$I$8:$N$8)+MIN(14,$EG11*4+$EH11*7,SUMPRODUCT($EA11:$EF11,$I$8:$N$8)))+$CV11*7</f>
        <v/>
      </c>
      <c r="EZ11" s="141">
        <f>IF($DU11=2,3*$ES11&amp;" de vida temp.",IF($DU11=3,"sem dano",IF($ES11=0,IF($DU11=1,"sem cura","sem dano"),IF($DU11=1,"cura ","")&amp;$ES11&amp;"d8")))</f>
        <v/>
      </c>
      <c r="FA11" s="141">
        <f>IF($DU11=2,3*$ET11&amp;" de vida temp.",IF($DU11=3,"sem dano",IF($ET11=0,IF($DU11=1,"sem cura","sem dano"),IF($DU11=1,"cura ","")&amp;$ET11&amp;"d8")))</f>
        <v/>
      </c>
      <c r="FB11" s="141">
        <f>IF($DU11=2,3*$EU11&amp;" de vida temp.",IF($DU11=3,"sem dano",IF($EU11=0,IF($DU11=1,"sem cura","sem dano"),IF($DU11=1,"cura ","")&amp;$EU11&amp;"d8")))</f>
        <v/>
      </c>
      <c r="FC11" s="141">
        <f>IF($DU11=2,3*$EV11&amp;" de vida temp.",IF($DU11=3,"sem dano",IF($EV11=0,IF($DU11=1,"sem cura","sem dano"),IF($DU11=1,"cura ","")&amp;$EV11&amp;"d8")))</f>
        <v/>
      </c>
      <c r="FD11" s="141">
        <f>IF($DU11=2,3*$EW11&amp;" de vida temp.",IF($DU11=3,"sem dano",IF($EW11=0,IF($DU11=1,"sem cura","sem dano"),IF($DU11=1,"cura ","")&amp;$EW11&amp;"d8")))</f>
        <v/>
      </c>
      <c r="FE11" s="141">
        <f>IF($DU11=2,3*$EX11&amp;" de vida temp.",IF($DU11=3,"sem dano",IF($EX11=0,IF($DU11=1,"sem cura","sem dano"),IF($DU11=1,"cura ","")&amp;$EX11&amp;"d8")))</f>
        <v/>
      </c>
      <c r="FF11" s="141">
        <f>IF($DU11=2,3*$EY11&amp;" de vida temp.",IF($DU11=3,"sem dano",IF($EY11=0,IF($DU11=1,"sem cura","sem dano"),IF($DU11=1,"cura ","")&amp;$EY11&amp;"d8")))</f>
        <v/>
      </c>
      <c r="FG11" s="141">
        <f>IF($DG11=0,"",TEXTJOIN(" · ",TRUE,IF(AND($CV11=1,$CW11&gt;$GF$9),"O nível "&amp;$GF$2&amp;" dá "&amp;$GF$9&amp;" Liberação Máxima",""),IF($CX11&gt;$GF$4,"Classe "&amp;$CX11&amp;": o nível "&amp;$GF$2&amp;" libera até a "&amp;$GF$4,""),IF($DN11=1,"Família Fechada: a Forma "&amp;$CZ11,""),IF($DO11=1,"Família Fechada: "&amp;$DA11,""),IF($DP11=1,"Família Fechada: "&amp;$DB11,""),IF($DQ11=1,"Família Fechada: "&amp;$DC11,""),IF($DR11=1,"Família Fechada: "&amp;$DD11,""),IF($EI11&gt;INDEX($O$2:$O$8,$CX11),$EI11&amp;" Melhorias: a Classe "&amp;$CX11&amp;" aceita "&amp;INDEX($O$2:$O$8,$CX11),""),IF($EJ11&gt;2,$EJ11&amp;" Restrições"&amp;IF($DT11=1,", contando a que a Forma "&amp;$CZ11&amp;" já traz","")&amp;": o limite é 2",""),IF($EP11&lt;0,"Orçamento estourado: faltam "&amp;(-$EP11)&amp;IF($EP11&lt;-1," pontos"," ponto"),""),IF(IFERROR(VLOOKUP($DE11,$BD$2:$BH$24,4,FALSE),0)+IFERROR(VLOOKUP($DF11,$BD$2:$BH$24,4,FALSE),0)&gt;1,$DY11&amp;" e "&amp;$DZ11&amp;" são as duas de frequência",""),IF(AND((COUNTIF($DA11:$DD11,"Rápido")+COUNTIF($DY11:$DZ11,"Rápido"))&gt;0,(COUNTIF($DA11:$DD11,"Reação")+COUNTIF($DY11:$DZ11,"Reação"))&gt;0),"Rápido não entra com Reação",""),IF(AND((COUNTIF($DA11:$DD11,"Rápido")+COUNTIF($DY11:$DZ11,"Rápido"))&gt;0,(COUNTIF($DA11:$DD11,"Atrasar")+COUNTIF($DY11:$DZ11,"Atrasar"))&gt;0),"Rápido não entra com Atrasar",""),IF(AND((COUNTIF($DA11:$DD11,"Reação")+COUNTIF($DY11:$DZ11,"Reação"))&gt;0,(COUNTIF($DA11:$DD11,"Atrasar")+COUNTIF($DY11:$DZ11,"Atrasar"))&gt;0),"Reação não entra com Atrasar",""),IF(AND((COUNTIF($DA11:$DD11,"Reação")+COUNTIF($DY11:$DZ11,"Reação"))&gt;0,(COUNTIF($DA11:$DD11,"Parado")+COUNTIF($DY11:$DZ11,"Parado"))&gt;0),"Reação não entra com Parado",""),IF(AND(COUNTIF($DY11:$DZ11,"Corpo a Corpo")&gt;0,$DT11=0,OR($CZ11="Cone",$CZ11="Linha")),"Corpo a Corpo não entra em "&amp;$CZ11,""),IF(AND(COUNTIF($DY11:$DZ11,"Corpo a Corpo")&gt;0,$DT11=1),"A Forma "&amp;$CZ11&amp;" já traz o Corpo a Corpo",""),IF(AND(COUNTIF($DY11:$DZ11,"Tudo ou Nada")&gt;0,$DV11=0),"Tudo ou Nada só entra em feitiço de Teste de Resistência",""),IF(AND(COUNTIF($DA11:$DD11,"Inescapável")&gt;0,OR($EI11&gt;1,$EJ11&gt;0)),"Inescapável não aceita outra peça",""),IF(AND($CV11=1,$CX11&lt;3),"Liberação Máxima é de Classe 3 ou mais",""),IF(AND($CV11=1,OR($DU11=1,$DU11=2)),"Liberação Máxima não serve para cura",""),IF(AND($CV11=1,COUNTIF($DA11:$DD11,"Inescapável")+COUNTIF($DA11:$DD11,"Toca a Alma")&gt;0),"Esta peça não entra numa Liberação Máxima",""),IF($EQ11+$ER11&gt;4*$CX11,($EQ11+$ER11)&amp;" dados somando alvos e repetições: o teto da Classe "&amp;$CX11&amp;" é "&amp;4*$CX11,"")))</f>
        <v/>
      </c>
      <c r="FH11" s="141">
        <f>IF($FG11="",0,(LEN($FG11)-LEN(SUBSTITUTE($FG11," · ","")))/3+1)</f>
        <v/>
      </c>
      <c r="FI11" s="141">
        <f>IF($DG11=0,"",TEXTJOIN(" · ",TRUE,IF($EL11&gt;2*$CX11,"A devolução parou no teto de "&amp;2*$CX11,""),IF($EO11&gt;0,"Devolução perdida: "&amp;$EO11&amp;IF($EO11&gt;1," pontos"," ponto")&amp;" sem peça para pagar",""),IF(AND($DS11&gt;0,$EQ11=0),"Controle sem dano: uma rodada a mais e CD +2",""),IF(AND($DS11&gt;0,$EQ11&gt;0,$EQ11&lt;=$CX11),"Controle com um quarto do teto: uma rodada a mais","")))</f>
        <v/>
      </c>
      <c r="FJ11" s="141">
        <f>IF($FI11="",0,(LEN($FI11)-LEN(SUBSTITUTE($FI11," · ","")))/3+1)</f>
        <v/>
      </c>
      <c r="FK11" s="141">
        <f>IF($DG11=0,IF($EI11+$EJ11-$DT11&gt;0,"Dê um nome",""),IF($FH11&gt;0,"⚠ "&amp;$FH11&amp;IF($FH11&gt;1," erros"," erro"),IF($FJ11&gt;0,"! "&amp;$FJ11&amp;IF($FJ11&gt;1," avisos"," aviso"),"Na regra")))</f>
        <v/>
      </c>
      <c r="FL11" s="141">
        <f>IF($DG11=0,"",IF($FH11+$FJ11=0,"Dentro das regras que a ficha confere",$FG11&amp;IF(AND($FH11&gt;0,$FJ11&gt;0)," · ","")&amp;$FI11))</f>
        <v/>
      </c>
      <c r="FM11" s="141">
        <f>IF($DG11=0,"",IF($CV11=1,CEILING(4.5*$CX11,1),3*$CX11)&amp;" PE")</f>
        <v/>
      </c>
      <c r="FN11" s="141">
        <f>IF($DG11=0,"",IF($CV11=1,"Rodada inteira",IF(COUNTIF($DY11:$DZ11,"Atrasar")&gt;0,IF(COUNTIF($DY11:$DZ11,"Carregar")&gt;0,"Rodada +1 turno","Rodada inteira"),IF(COUNTIF($DA11:$DD11,"Rápido")&gt;0,"Bônus",IF(COUNTIF($DA11:$DD11,"Reação")&gt;0,"Reação","Padrão"))&amp;IF(COUNTIF($DY11:$DZ11,"Carregar")&gt;0," +1 turno",""))))</f>
        <v/>
      </c>
      <c r="FO11" s="141">
        <f>IF(OR($DG11=0,$DH11=0),"",IF(COUNTIF($DA11:$DD11,"Inescapável")&gt;0,"Automático",IF(COUNTIF($DA11:$DD11,"Certeiro")&gt;0,"TR para metade",INDEX($X$2:$X$11,$DH11))))</f>
        <v/>
      </c>
      <c r="FP11" s="141">
        <f>IF(OR($DG11=0,$DH11=0),"",IF(OR($DU11&gt;=2,$EQ11=0),UPPER(LEFT(INDEX($EZ11:$FF11,1,$CX11),1))&amp;MID(INDEX($EZ11:$FF11,1,$CX11),2,99),UPPER(LEFT(INDEX($EZ11:$FF11,1,$CX11),1))&amp;MID(INDEX($EZ11:$FF11,1,$CX11),2,99)&amp;" = "&amp;FLOOR($EQ11*4.5,1)&amp;IF($ER11&gt;0," · +"&amp;$ER11&amp;"d8","")))</f>
        <v/>
      </c>
      <c r="FQ11" s="141">
        <f>COUNTIF($DA11:$DD11,"Longe")+3*COUNTIF($DA11:$DD11,"Muito Longe")</f>
        <v/>
      </c>
      <c r="FR11" s="141">
        <f>COUNTIF($DA11:$DD11,"Maior")+3*COUNTIF($DA11:$DD11,"Muito Maior")</f>
        <v/>
      </c>
      <c r="FS11" s="141">
        <f>IF($DH11=0,0,CHOOSE(1+INDEX($Z$2:$Z$11,$DH11),0,$FQ11,$FR11,$FQ11+$FR11))</f>
        <v/>
      </c>
      <c r="FT11" s="141">
        <f>IF($DH11=0,0,CHOOSE(1+INDEX($AA$2:$AA$11,$DH11),0,$FQ11,$FR11,$FQ11+$FR11))</f>
        <v/>
      </c>
      <c r="FU11" s="141">
        <f>IF(OR($DG11=0,$DH11=0),"",INDEX($AH$2:$AM$31,($DH11-1)*3+IF($CX11&gt;=6,3,2),1+MIN(5,$FS11))&amp;INDEX($AN$2:$AS$31,($DH11-1)*3+IF($CX11&gt;=6,3,2),1+MIN(5,$FT11))&amp;IF(INDEX($AB$2:$AB$11,$DH11)=1,IF(COUNTIF($DA11:$DD11,"Mais Um")&gt;0," · +"&amp;COUNTIF($DA11:$DD11,"Mais Um")&amp;IF(COUNTIF($DA11:$DD11,"Mais Um")&gt;1," alvos"," alvo"),"")&amp;IF(COUNTIF($DA11:$DD11,"Rajada")&gt;0," · "&amp;($CX11+1)&amp;" tiros",""),""))</f>
        <v/>
      </c>
      <c r="FV11" s="141">
        <f>IF($DG11=0,"",3*$CX11&amp;" − "&amp;$EK11&amp;" + "&amp;$EN11&amp;IF($CV11=1," + "&amp;$CX11,"")&amp;" = "&amp;$EQ11&amp;"d8 · teto "&amp;4*$CX11&amp;IF($DT11=1," · a Forma devolve "&amp;$CX11,"")&amp;IF($EO11&gt;0," · perde "&amp;$EO11,""))</f>
        <v/>
      </c>
      <c r="FW11" s="141">
        <f>IF($DG11=0,"",IF($CX11&gt;=$GF$4,"Já está na maior Classe que o nível liberou",TEXTJOIN(" · ",TRUE,IF(AND(2&gt;$CX11,2&lt;=$GF$4),"2 → "&amp;$FA11&amp;", "&amp;IF($CV11=1,9,6)&amp;" PE",""),IF(AND(3&gt;$CX11,3&lt;=$GF$4),"3 → "&amp;$FB11&amp;", "&amp;IF($CV11=1,14,9)&amp;" PE",""),IF(AND(4&gt;$CX11,4&lt;=$GF$4),"4 → "&amp;$FC11&amp;", "&amp;IF($CV11=1,18,12)&amp;" PE",""),IF(AND(5&gt;$CX11,5&lt;=$GF$4),"5 → "&amp;$FD11&amp;", "&amp;IF($CV11=1,23,15)&amp;" PE",""),IF(AND(6&gt;$CX11,6&lt;=$GF$4),"6 → "&amp;$FE11&amp;", "&amp;IF($CV11=1,27,18)&amp;" PE",""),IF(AND(7&gt;$CX11,7&lt;=$GF$4),"7 → "&amp;$FF11&amp;", "&amp;IF($CV11=1,32,21)&amp;" PE",""))))</f>
        <v/>
      </c>
      <c r="FX11" s="141">
        <f>IF(OR($DG11=0,$DJ11=0),"","−"&amp;INDEX($I$2:$N$8,$CX11,$DJ11)&amp;" · "&amp;CHOOSE($DJ11,"Leve","Média","Pesada","Leve · Livre","Média · Livre","Pesada · Livre"))</f>
        <v/>
      </c>
      <c r="FY11" s="141">
        <f>IF(OR($DG11=0,$DK11=0),"","−"&amp;INDEX($I$2:$N$8,$CX11,$DK11)&amp;" · "&amp;CHOOSE($DK11,"Leve","Média","Pesada","Leve · Livre","Média · Livre","Pesada · Livre"))</f>
        <v/>
      </c>
      <c r="FZ11" s="141">
        <f>IF(OR($DG11=0,$DL11=0),"","−"&amp;INDEX($I$2:$N$8,$CX11,$DL11)&amp;" · "&amp;CHOOSE($DL11,"Leve","Média","Pesada","Leve · Livre","Média · Livre","Pesada · Livre"))</f>
        <v/>
      </c>
      <c r="GA11" s="141">
        <f>IF(OR($DG11=0,$DM11=0),"","−"&amp;INDEX($I$2:$N$8,$CX11,$DM11)&amp;" · "&amp;CHOOSE($DM11,"Leve","Média","Pesada","Leve · Livre","Média · Livre","Pesada · Livre"))</f>
        <v/>
      </c>
      <c r="GB11" s="141">
        <f>IF(OR($DG11=0,$DE11=""),"","+"&amp;IF($DW11=1,CEILING($CX11/2,1),$CX11))</f>
        <v/>
      </c>
      <c r="GC11" s="141">
        <f>IF(OR($DG11=0,$DF11=""),"","+"&amp;IF($DX11=1,CEILING($CX11/2,1),$CX11))</f>
        <v/>
      </c>
      <c r="GE11" s="114" t="inlineStr">
        <is>
          <t>classe 0 dados</t>
        </is>
      </c>
      <c r="GF11" s="141">
        <f>IFERROR(INDEX($BZ$2:$BZ$6,MATCH($GF$2,$BX$2:$BX$6,1)),0)</f>
        <v/>
      </c>
      <c r="GH11" s="114" t="inlineStr">
        <is>
          <t>Passiva 10 · Leque</t>
        </is>
      </c>
      <c r="GI11" s="141">
        <f>'FICHA AMALDIÇOADA'!$J$399&amp;""</f>
        <v/>
      </c>
      <c r="GJ11" s="141">
        <f>IFERROR(VLOOKUP($GI11,$BJ$2:$BL$20,2,FALSE),0)</f>
        <v/>
      </c>
      <c r="GK11" s="141">
        <f>IFERROR(VLOOKUP($GJ11,$BN$2:$BO$4,2,FALSE),0)</f>
        <v/>
      </c>
      <c r="GL11" s="141">
        <f>IFERROR(VLOOKUP($GI11,$BJ$2:$BL$20,3,FALSE),"")</f>
        <v/>
      </c>
      <c r="GM11" s="141">
        <f>IF($GJ11=0,"",IF($GK11&gt;$GF$2,"⚠ Nível "&amp;$GK11,"CP "&amp;$GJ11))</f>
        <v/>
      </c>
      <c r="GN11" s="141">
        <f>IF($GJ11=0,"",IF(5&gt;$GF$8,"⚠ Vaga","Grátis"))</f>
        <v/>
      </c>
      <c r="GP11" s="114" t="inlineStr">
        <is>
          <t>Aptidão 10</t>
        </is>
      </c>
      <c r="GQ11" s="141">
        <f>'FICHA AMALDIÇOADA'!$D$483&amp;""</f>
        <v/>
      </c>
      <c r="GR11" s="141">
        <f>IF($GQ11="","","Requisito: "&amp;IFERROR(VLOOKUP($GQ11,$BQ$2:$BV$17,2,FALSE),""))</f>
        <v/>
      </c>
      <c r="GS11" s="141">
        <f>IF($GQ11="","",IFERROR(IF(ISNUMBER(VLOOKUP($GQ11,$BQ$2:$BV$17,3,FALSE)),"CP "&amp;VLOOKUP($GQ11,$BQ$2:$BV$17,3,FALSE),VLOOKUP($GQ11,$BQ$2:$BV$17,3,FALSE)),""))</f>
        <v/>
      </c>
      <c r="GT11" s="141">
        <f>IF($GQ11="","",IFERROR(VLOOKUP($GQ11,$BQ$2:$BV$17,4,FALSE),""))</f>
        <v/>
      </c>
      <c r="GU11" s="141">
        <f>IF($GQ11="","",IFERROR(VLOOKUP($GQ11,$BQ$2:$BV$17,5,FALSE),""))</f>
        <v/>
      </c>
      <c r="HF11" s="114" t="inlineStr">
        <is>
          <t>Pactos</t>
        </is>
      </c>
      <c r="HG11" s="141">
        <f>ADDRESS(ROW('FICHA AMALDIÇOADA'!Q7),COLUMN('FICHA AMALDIÇOADA'!Q7),4)</f>
        <v/>
      </c>
      <c r="HH11" s="141">
        <f>ADDRESS(ROW('FICHA AMALDIÇOADA'!D503),COLUMN('FICHA AMALDIÇOADA'!D503),4)</f>
        <v/>
      </c>
      <c r="HJ11" s="114" t="inlineStr">
        <is>
          <t>J40</t>
        </is>
      </c>
      <c r="HK11" s="141">
        <f>INDEX(DADOS_AM!$H$2:$O$8,DADOS_AM!$GF$29,4)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41" t="n">
        <v>2</v>
      </c>
      <c r="AX12" s="141">
        <f>$AW12+3*IFERROR(VLOOKUP($AV12,$A$2:$D$10,3,FALSE),0)</f>
        <v/>
      </c>
      <c r="AY12" s="141">
        <f>IFERROR(VLOOKUP($AV12,$A$2:$D$10,4,FALSE),0)</f>
        <v/>
      </c>
      <c r="AZ12" s="141" t="n">
        <v>0</v>
      </c>
      <c r="BA12" s="141">
        <f>IF($AY12=1,"",$AU12)</f>
        <v/>
      </c>
      <c r="BB12" s="141">
        <f>IF(AND($AW12=1,$AY12=0),$AU12,"")</f>
        <v/>
      </c>
      <c r="BD12" s="114" t="inlineStr">
        <is>
          <t>Condicional (Leve)</t>
        </is>
      </c>
      <c r="BE12" s="114" t="inlineStr">
        <is>
          <t>Condicional</t>
        </is>
      </c>
      <c r="BF12" s="141" t="n">
        <v>1</v>
      </c>
      <c r="BG12" s="141" t="n">
        <v>1</v>
      </c>
      <c r="BH12" s="114" t="inlineStr">
        <is>
          <t>Condicional (Leve)</t>
        </is>
      </c>
      <c r="BJ12" s="114" t="inlineStr">
        <is>
          <t>Costura</t>
        </is>
      </c>
      <c r="BK12" s="141" t="n">
        <v>2</v>
      </c>
      <c r="BL12" s="114" t="inlineStr">
        <is>
          <t>Uma vez por cena, um aliado a até 9 m que cairia a 0 fica com 1.</t>
        </is>
      </c>
      <c r="BQ12" s="114" t="inlineStr">
        <is>
          <t>Pétala</t>
        </is>
      </c>
      <c r="BR12" s="114" t="inlineStr">
        <is>
          <t>ser Descendente, ou ter aprendido com alguém de um clã; refino 4 e nível 10</t>
        </is>
      </c>
      <c r="BS12" s="141"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41" t="n">
        <v>0</v>
      </c>
      <c r="CW12" s="141" t="n">
        <v>11</v>
      </c>
      <c r="CX12" s="141">
        <f>MAX(1,MIN(7,N('FICHA AMALDIÇOADA'!$J$108)))</f>
        <v/>
      </c>
      <c r="CY12" s="141">
        <f>'FICHA AMALDIÇOADA'!$K$108&amp;""</f>
        <v/>
      </c>
      <c r="CZ12" s="141">
        <f>'FICHA AMALDIÇOADA'!$J$115&amp;""</f>
        <v/>
      </c>
      <c r="DA12" s="141">
        <f>'FICHA AMALDIÇOADA'!$K$117&amp;""</f>
        <v/>
      </c>
      <c r="DB12" s="141">
        <f>'FICHA AMALDIÇOADA'!$K$118&amp;""</f>
        <v/>
      </c>
      <c r="DC12" s="141">
        <f>'FICHA AMALDIÇOADA'!$K$119&amp;""</f>
        <v/>
      </c>
      <c r="DD12" s="141">
        <f>'FICHA AMALDIÇOADA'!$K$120&amp;""</f>
        <v/>
      </c>
      <c r="DE12" s="141">
        <f>'FICHA AMALDIÇOADA'!$K$121&amp;""</f>
        <v/>
      </c>
      <c r="DF12" s="141">
        <f>'FICHA AMALDIÇOADA'!$K$122&amp;""</f>
        <v/>
      </c>
      <c r="DG12" s="141">
        <f>IF($CY12&lt;&gt;"",1,0)</f>
        <v/>
      </c>
      <c r="DH12" s="141">
        <f>IFERROR(MATCH($CZ12,$Q$2:$Q$11,0),0)</f>
        <v/>
      </c>
      <c r="DI12" s="141">
        <f>IF($DH12=0,0,INDEX($T$2:$T$11,$DH12))</f>
        <v/>
      </c>
      <c r="DJ12" s="141">
        <f>IFERROR(VLOOKUP($DA12,$AU$2:$BB$84,4,FALSE),0)</f>
        <v/>
      </c>
      <c r="DK12" s="141">
        <f>IFERROR(VLOOKUP($DB12,$AU$2:$BB$84,4,FALSE),0)</f>
        <v/>
      </c>
      <c r="DL12" s="141">
        <f>IFERROR(VLOOKUP($DC12,$AU$2:$BB$84,4,FALSE),0)</f>
        <v/>
      </c>
      <c r="DM12" s="141">
        <f>IFERROR(VLOOKUP($DD12,$AU$2:$BB$84,4,FALSE),0)</f>
        <v/>
      </c>
      <c r="DN12" s="141">
        <f>IF($DH12=0,0,INDEX($U$2:$U$11,$DH12))</f>
        <v/>
      </c>
      <c r="DO12" s="141">
        <f>IFERROR(VLOOKUP($DA12,$AU$2:$BB$84,5,FALSE),0)</f>
        <v/>
      </c>
      <c r="DP12" s="141">
        <f>IFERROR(VLOOKUP($DB12,$AU$2:$BB$84,5,FALSE),0)</f>
        <v/>
      </c>
      <c r="DQ12" s="141">
        <f>IFERROR(VLOOKUP($DC12,$AU$2:$BB$84,5,FALSE),0)</f>
        <v/>
      </c>
      <c r="DR12" s="141">
        <f>IFERROR(VLOOKUP($DD12,$AU$2:$BB$84,5,FALSE),0)</f>
        <v/>
      </c>
      <c r="DS12" s="141">
        <f>IFERROR(VLOOKUP($DA12,$AU$2:$BB$84,6,FALSE),0)+IFERROR(VLOOKUP($DB12,$AU$2:$BB$84,6,FALSE),0)+IFERROR(VLOOKUP($DC12,$AU$2:$BB$84,6,FALSE),0)+IFERROR(VLOOKUP($DD12,$AU$2:$BB$84,6,FALSE),0)</f>
        <v/>
      </c>
      <c r="DT12" s="141">
        <f>IF($DH12=0,0,INDEX($V$2:$V$11,$DH12))</f>
        <v/>
      </c>
      <c r="DU12" s="141">
        <f>IF($DH12=0,0,INDEX($W$2:$W$11,$DH12))</f>
        <v/>
      </c>
      <c r="DV12" s="141">
        <f>IF($DH12=0,0,INDEX($Y$2:$Y$11,$DH12))</f>
        <v/>
      </c>
      <c r="DW12" s="141">
        <f>IFERROR(VLOOKUP($DE12,$BD$2:$BH$24,3,FALSE),0)</f>
        <v/>
      </c>
      <c r="DX12" s="141">
        <f>IFERROR(VLOOKUP($DF12,$BD$2:$BH$24,3,FALSE),0)</f>
        <v/>
      </c>
      <c r="DY12" s="141">
        <f>IFERROR(VLOOKUP($DE12,$BD$2:$BH$24,2,FALSE),"")</f>
        <v/>
      </c>
      <c r="DZ12" s="141">
        <f>IFERROR(VLOOKUP($DF12,$BD$2:$BH$24,2,FALSE),"")</f>
        <v/>
      </c>
      <c r="EA12" s="141">
        <f>COUNTIF($DI12:$DM12,1)</f>
        <v/>
      </c>
      <c r="EB12" s="141">
        <f>COUNTIF($DI12:$DM12,2)</f>
        <v/>
      </c>
      <c r="EC12" s="141">
        <f>COUNTIF($DI12:$DM12,3)</f>
        <v/>
      </c>
      <c r="ED12" s="141">
        <f>COUNTIF($DI12:$DM12,4)</f>
        <v/>
      </c>
      <c r="EE12" s="141">
        <f>COUNTIF($DI12:$DM12,5)</f>
        <v/>
      </c>
      <c r="EF12" s="141">
        <f>COUNTIF($DI12:$DM12,6)</f>
        <v/>
      </c>
      <c r="EG12" s="141">
        <f>COUNTIF($DW12:$DX12,1)</f>
        <v/>
      </c>
      <c r="EH12" s="141">
        <f>COUNTIF($DW12:$DX12,2)+$DT12</f>
        <v/>
      </c>
      <c r="EI12" s="141">
        <f>COUNTIF($DA12:$DD12,"?*")</f>
        <v/>
      </c>
      <c r="EJ12" s="141">
        <f>COUNTIF($DE12:$DF12,"?*")+$DT12</f>
        <v/>
      </c>
      <c r="EK12" s="141">
        <f>SUMPRODUCT($EA12:$EF12,INDEX($I$2:$N$8,$CX12,0))</f>
        <v/>
      </c>
      <c r="EL12" s="141">
        <f>$EG12*CEILING($CX12/2,1)+$EH12*$CX12</f>
        <v/>
      </c>
      <c r="EM12" s="141">
        <f>MIN(2*$CX12,$EL12)</f>
        <v/>
      </c>
      <c r="EN12" s="141">
        <f>MIN($EM12,$EK12)</f>
        <v/>
      </c>
      <c r="EO12" s="141">
        <f>$EM12-$EN12</f>
        <v/>
      </c>
      <c r="EP12" s="141">
        <f>3*$CX12-$EK12+$EN12</f>
        <v/>
      </c>
      <c r="EQ12" s="141">
        <f>MAX(0,$EP12)+$CV12*$CX12</f>
        <v/>
      </c>
      <c r="ER12" s="141">
        <f>(IF(COUNTIF($DA12:$DD12,"Salto")&gt;0,1,0)+IF(COUNTIF($DA12:$DD12,"Queima")&gt;0,1,0))*FLOOR($EQ12/2,1)</f>
        <v/>
      </c>
      <c r="ES12" s="141">
        <f>MAX(0,3-SUMPRODUCT($EA12:$EF12,$I$2:$N$2)+MIN(2,$EG12*1+$EH12*1,SUMPRODUCT($EA12:$EF12,$I$2:$N$2)))+$CV12*1</f>
        <v/>
      </c>
      <c r="ET12" s="141">
        <f>MAX(0,6-SUMPRODUCT($EA12:$EF12,$I$3:$N$3)+MIN(4,$EG12*1+$EH12*2,SUMPRODUCT($EA12:$EF12,$I$3:$N$3)))+$CV12*2</f>
        <v/>
      </c>
      <c r="EU12" s="141">
        <f>MAX(0,9-SUMPRODUCT($EA12:$EF12,$I$4:$N$4)+MIN(6,$EG12*2+$EH12*3,SUMPRODUCT($EA12:$EF12,$I$4:$N$4)))+$CV12*3</f>
        <v/>
      </c>
      <c r="EV12" s="141">
        <f>MAX(0,12-SUMPRODUCT($EA12:$EF12,$I$5:$N$5)+MIN(8,$EG12*2+$EH12*4,SUMPRODUCT($EA12:$EF12,$I$5:$N$5)))+$CV12*4</f>
        <v/>
      </c>
      <c r="EW12" s="141">
        <f>MAX(0,15-SUMPRODUCT($EA12:$EF12,$I$6:$N$6)+MIN(10,$EG12*3+$EH12*5,SUMPRODUCT($EA12:$EF12,$I$6:$N$6)))+$CV12*5</f>
        <v/>
      </c>
      <c r="EX12" s="141">
        <f>MAX(0,18-SUMPRODUCT($EA12:$EF12,$I$7:$N$7)+MIN(12,$EG12*3+$EH12*6,SUMPRODUCT($EA12:$EF12,$I$7:$N$7)))+$CV12*6</f>
        <v/>
      </c>
      <c r="EY12" s="141">
        <f>MAX(0,21-SUMPRODUCT($EA12:$EF12,$I$8:$N$8)+MIN(14,$EG12*4+$EH12*7,SUMPRODUCT($EA12:$EF12,$I$8:$N$8)))+$CV12*7</f>
        <v/>
      </c>
      <c r="EZ12" s="141">
        <f>IF($DU12=2,3*$ES12&amp;" de vida temp.",IF($DU12=3,"sem dano",IF($ES12=0,IF($DU12=1,"sem cura","sem dano"),IF($DU12=1,"cura ","")&amp;$ES12&amp;"d8")))</f>
        <v/>
      </c>
      <c r="FA12" s="141">
        <f>IF($DU12=2,3*$ET12&amp;" de vida temp.",IF($DU12=3,"sem dano",IF($ET12=0,IF($DU12=1,"sem cura","sem dano"),IF($DU12=1,"cura ","")&amp;$ET12&amp;"d8")))</f>
        <v/>
      </c>
      <c r="FB12" s="141">
        <f>IF($DU12=2,3*$EU12&amp;" de vida temp.",IF($DU12=3,"sem dano",IF($EU12=0,IF($DU12=1,"sem cura","sem dano"),IF($DU12=1,"cura ","")&amp;$EU12&amp;"d8")))</f>
        <v/>
      </c>
      <c r="FC12" s="141">
        <f>IF($DU12=2,3*$EV12&amp;" de vida temp.",IF($DU12=3,"sem dano",IF($EV12=0,IF($DU12=1,"sem cura","sem dano"),IF($DU12=1,"cura ","")&amp;$EV12&amp;"d8")))</f>
        <v/>
      </c>
      <c r="FD12" s="141">
        <f>IF($DU12=2,3*$EW12&amp;" de vida temp.",IF($DU12=3,"sem dano",IF($EW12=0,IF($DU12=1,"sem cura","sem dano"),IF($DU12=1,"cura ","")&amp;$EW12&amp;"d8")))</f>
        <v/>
      </c>
      <c r="FE12" s="141">
        <f>IF($DU12=2,3*$EX12&amp;" de vida temp.",IF($DU12=3,"sem dano",IF($EX12=0,IF($DU12=1,"sem cura","sem dano"),IF($DU12=1,"cura ","")&amp;$EX12&amp;"d8")))</f>
        <v/>
      </c>
      <c r="FF12" s="141">
        <f>IF($DU12=2,3*$EY12&amp;" de vida temp.",IF($DU12=3,"sem dano",IF($EY12=0,IF($DU12=1,"sem cura","sem dano"),IF($DU12=1,"cura ","")&amp;$EY12&amp;"d8")))</f>
        <v/>
      </c>
      <c r="FG12" s="141">
        <f>IF($DG12=0,"",TEXTJOIN(" · ",TRUE,IF(AND($CV12=1,$CW12&gt;$GF$9),"O nível "&amp;$GF$2&amp;" dá "&amp;$GF$9&amp;" Liberação Máxima",""),IF($CX12&gt;$GF$4,"Classe "&amp;$CX12&amp;": o nível "&amp;$GF$2&amp;" libera até a "&amp;$GF$4,""),IF($DN12=1,"Família Fechada: a Forma "&amp;$CZ12,""),IF($DO12=1,"Família Fechada: "&amp;$DA12,""),IF($DP12=1,"Família Fechada: "&amp;$DB12,""),IF($DQ12=1,"Família Fechada: "&amp;$DC12,""),IF($DR12=1,"Família Fechada: "&amp;$DD12,""),IF($EI12&gt;INDEX($O$2:$O$8,$CX12),$EI12&amp;" Melhorias: a Classe "&amp;$CX12&amp;" aceita "&amp;INDEX($O$2:$O$8,$CX12),""),IF($EJ12&gt;2,$EJ12&amp;" Restrições"&amp;IF($DT12=1,", contando a que a Forma "&amp;$CZ12&amp;" já traz","")&amp;": o limite é 2",""),IF($EP12&lt;0,"Orçamento estourado: faltam "&amp;(-$EP12)&amp;IF($EP12&lt;-1," pontos"," ponto"),""),IF(IFERROR(VLOOKUP($DE12,$BD$2:$BH$24,4,FALSE),0)+IFERROR(VLOOKUP($DF12,$BD$2:$BH$24,4,FALSE),0)&gt;1,$DY12&amp;" e "&amp;$DZ12&amp;" são as duas de frequência",""),IF(AND((COUNTIF($DA12:$DD12,"Rápido")+COUNTIF($DY12:$DZ12,"Rápido"))&gt;0,(COUNTIF($DA12:$DD12,"Reação")+COUNTIF($DY12:$DZ12,"Reação"))&gt;0),"Rápido não entra com Reação",""),IF(AND((COUNTIF($DA12:$DD12,"Rápido")+COUNTIF($DY12:$DZ12,"Rápido"))&gt;0,(COUNTIF($DA12:$DD12,"Atrasar")+COUNTIF($DY12:$DZ12,"Atrasar"))&gt;0),"Rápido não entra com Atrasar",""),IF(AND((COUNTIF($DA12:$DD12,"Reação")+COUNTIF($DY12:$DZ12,"Reação"))&gt;0,(COUNTIF($DA12:$DD12,"Atrasar")+COUNTIF($DY12:$DZ12,"Atrasar"))&gt;0),"Reação não entra com Atrasar",""),IF(AND((COUNTIF($DA12:$DD12,"Reação")+COUNTIF($DY12:$DZ12,"Reação"))&gt;0,(COUNTIF($DA12:$DD12,"Parado")+COUNTIF($DY12:$DZ12,"Parado"))&gt;0),"Reação não entra com Parado",""),IF(AND(COUNTIF($DY12:$DZ12,"Corpo a Corpo")&gt;0,$DT12=0,OR($CZ12="Cone",$CZ12="Linha")),"Corpo a Corpo não entra em "&amp;$CZ12,""),IF(AND(COUNTIF($DY12:$DZ12,"Corpo a Corpo")&gt;0,$DT12=1),"A Forma "&amp;$CZ12&amp;" já traz o Corpo a Corpo",""),IF(AND(COUNTIF($DY12:$DZ12,"Tudo ou Nada")&gt;0,$DV12=0),"Tudo ou Nada só entra em feitiço de Teste de Resistência",""),IF(AND(COUNTIF($DA12:$DD12,"Inescapável")&gt;0,OR($EI12&gt;1,$EJ12&gt;0)),"Inescapável não aceita outra peça",""),IF(AND($CV12=1,$CX12&lt;3),"Liberação Máxima é de Classe 3 ou mais",""),IF(AND($CV12=1,OR($DU12=1,$DU12=2)),"Liberação Máxima não serve para cura",""),IF(AND($CV12=1,COUNTIF($DA12:$DD12,"Inescapável")+COUNTIF($DA12:$DD12,"Toca a Alma")&gt;0),"Esta peça não entra numa Liberação Máxima",""),IF($EQ12+$ER12&gt;4*$CX12,($EQ12+$ER12)&amp;" dados somando alvos e repetições: o teto da Classe "&amp;$CX12&amp;" é "&amp;4*$CX12,"")))</f>
        <v/>
      </c>
      <c r="FH12" s="141">
        <f>IF($FG12="",0,(LEN($FG12)-LEN(SUBSTITUTE($FG12," · ","")))/3+1)</f>
        <v/>
      </c>
      <c r="FI12" s="141">
        <f>IF($DG12=0,"",TEXTJOIN(" · ",TRUE,IF($EL12&gt;2*$CX12,"A devolução parou no teto de "&amp;2*$CX12,""),IF($EO12&gt;0,"Devolução perdida: "&amp;$EO12&amp;IF($EO12&gt;1," pontos"," ponto")&amp;" sem peça para pagar",""),IF(AND($DS12&gt;0,$EQ12=0),"Controle sem dano: uma rodada a mais e CD +2",""),IF(AND($DS12&gt;0,$EQ12&gt;0,$EQ12&lt;=$CX12),"Controle com um quarto do teto: uma rodada a mais","")))</f>
        <v/>
      </c>
      <c r="FJ12" s="141">
        <f>IF($FI12="",0,(LEN($FI12)-LEN(SUBSTITUTE($FI12," · ","")))/3+1)</f>
        <v/>
      </c>
      <c r="FK12" s="141">
        <f>IF($DG12=0,IF($EI12+$EJ12-$DT12&gt;0,"Dê um nome",""),IF($FH12&gt;0,"⚠ "&amp;$FH12&amp;IF($FH12&gt;1," erros"," erro"),IF($FJ12&gt;0,"! "&amp;$FJ12&amp;IF($FJ12&gt;1," avisos"," aviso"),"Na regra")))</f>
        <v/>
      </c>
      <c r="FL12" s="141">
        <f>IF($DG12=0,"",IF($FH12+$FJ12=0,"Dentro das regras que a ficha confere",$FG12&amp;IF(AND($FH12&gt;0,$FJ12&gt;0)," · ","")&amp;$FI12))</f>
        <v/>
      </c>
      <c r="FM12" s="141">
        <f>IF($DG12=0,"",IF($CV12=1,CEILING(4.5*$CX12,1),3*$CX12)&amp;" PE")</f>
        <v/>
      </c>
      <c r="FN12" s="141">
        <f>IF($DG12=0,"",IF($CV12=1,"Rodada inteira",IF(COUNTIF($DY12:$DZ12,"Atrasar")&gt;0,IF(COUNTIF($DY12:$DZ12,"Carregar")&gt;0,"Rodada +1 turno","Rodada inteira"),IF(COUNTIF($DA12:$DD12,"Rápido")&gt;0,"Bônus",IF(COUNTIF($DA12:$DD12,"Reação")&gt;0,"Reação","Padrão"))&amp;IF(COUNTIF($DY12:$DZ12,"Carregar")&gt;0," +1 turno",""))))</f>
        <v/>
      </c>
      <c r="FO12" s="141">
        <f>IF(OR($DG12=0,$DH12=0),"",IF(COUNTIF($DA12:$DD12,"Inescapável")&gt;0,"Automático",IF(COUNTIF($DA12:$DD12,"Certeiro")&gt;0,"TR para metade",INDEX($X$2:$X$11,$DH12))))</f>
        <v/>
      </c>
      <c r="FP12" s="141">
        <f>IF(OR($DG12=0,$DH12=0),"",IF(OR($DU12&gt;=2,$EQ12=0),UPPER(LEFT(INDEX($EZ12:$FF12,1,$CX12),1))&amp;MID(INDEX($EZ12:$FF12,1,$CX12),2,99),UPPER(LEFT(INDEX($EZ12:$FF12,1,$CX12),1))&amp;MID(INDEX($EZ12:$FF12,1,$CX12),2,99)&amp;" = "&amp;FLOOR($EQ12*4.5,1)&amp;IF($ER12&gt;0," · +"&amp;$ER12&amp;"d8","")))</f>
        <v/>
      </c>
      <c r="FQ12" s="141">
        <f>COUNTIF($DA12:$DD12,"Longe")+3*COUNTIF($DA12:$DD12,"Muito Longe")</f>
        <v/>
      </c>
      <c r="FR12" s="141">
        <f>COUNTIF($DA12:$DD12,"Maior")+3*COUNTIF($DA12:$DD12,"Muito Maior")</f>
        <v/>
      </c>
      <c r="FS12" s="141">
        <f>IF($DH12=0,0,CHOOSE(1+INDEX($Z$2:$Z$11,$DH12),0,$FQ12,$FR12,$FQ12+$FR12))</f>
        <v/>
      </c>
      <c r="FT12" s="141">
        <f>IF($DH12=0,0,CHOOSE(1+INDEX($AA$2:$AA$11,$DH12),0,$FQ12,$FR12,$FQ12+$FR12))</f>
        <v/>
      </c>
      <c r="FU12" s="141">
        <f>IF(OR($DG12=0,$DH12=0),"",INDEX($AH$2:$AM$31,($DH12-1)*3+IF($CX12&gt;=6,3,2),1+MIN(5,$FS12))&amp;INDEX($AN$2:$AS$31,($DH12-1)*3+IF($CX12&gt;=6,3,2),1+MIN(5,$FT12))&amp;IF(INDEX($AB$2:$AB$11,$DH12)=1,IF(COUNTIF($DA12:$DD12,"Mais Um")&gt;0," · +"&amp;COUNTIF($DA12:$DD12,"Mais Um")&amp;IF(COUNTIF($DA12:$DD12,"Mais Um")&gt;1," alvos"," alvo"),"")&amp;IF(COUNTIF($DA12:$DD12,"Rajada")&gt;0," · "&amp;($CX12+1)&amp;" tiros",""),""))</f>
        <v/>
      </c>
      <c r="FV12" s="141">
        <f>IF($DG12=0,"",3*$CX12&amp;" − "&amp;$EK12&amp;" + "&amp;$EN12&amp;IF($CV12=1," + "&amp;$CX12,"")&amp;" = "&amp;$EQ12&amp;"d8 · teto "&amp;4*$CX12&amp;IF($DT12=1," · a Forma devolve "&amp;$CX12,"")&amp;IF($EO12&gt;0," · perde "&amp;$EO12,""))</f>
        <v/>
      </c>
      <c r="FW12" s="141">
        <f>IF($DG12=0,"",IF($CX12&gt;=$GF$4,"Já está na maior Classe que o nível liberou",TEXTJOIN(" · ",TRUE,IF(AND(2&gt;$CX12,2&lt;=$GF$4),"2 → "&amp;$FA12&amp;", "&amp;IF($CV12=1,9,6)&amp;" PE",""),IF(AND(3&gt;$CX12,3&lt;=$GF$4),"3 → "&amp;$FB12&amp;", "&amp;IF($CV12=1,14,9)&amp;" PE",""),IF(AND(4&gt;$CX12,4&lt;=$GF$4),"4 → "&amp;$FC12&amp;", "&amp;IF($CV12=1,18,12)&amp;" PE",""),IF(AND(5&gt;$CX12,5&lt;=$GF$4),"5 → "&amp;$FD12&amp;", "&amp;IF($CV12=1,23,15)&amp;" PE",""),IF(AND(6&gt;$CX12,6&lt;=$GF$4),"6 → "&amp;$FE12&amp;", "&amp;IF($CV12=1,27,18)&amp;" PE",""),IF(AND(7&gt;$CX12,7&lt;=$GF$4),"7 → "&amp;$FF12&amp;", "&amp;IF($CV12=1,32,21)&amp;" PE",""))))</f>
        <v/>
      </c>
      <c r="FX12" s="141">
        <f>IF(OR($DG12=0,$DJ12=0),"","−"&amp;INDEX($I$2:$N$8,$CX12,$DJ12)&amp;" · "&amp;CHOOSE($DJ12,"Leve","Média","Pesada","Leve · Livre","Média · Livre","Pesada · Livre"))</f>
        <v/>
      </c>
      <c r="FY12" s="141">
        <f>IF(OR($DG12=0,$DK12=0),"","−"&amp;INDEX($I$2:$N$8,$CX12,$DK12)&amp;" · "&amp;CHOOSE($DK12,"Leve","Média","Pesada","Leve · Livre","Média · Livre","Pesada · Livre"))</f>
        <v/>
      </c>
      <c r="FZ12" s="141">
        <f>IF(OR($DG12=0,$DL12=0),"","−"&amp;INDEX($I$2:$N$8,$CX12,$DL12)&amp;" · "&amp;CHOOSE($DL12,"Leve","Média","Pesada","Leve · Livre","Média · Livre","Pesada · Livre"))</f>
        <v/>
      </c>
      <c r="GA12" s="141">
        <f>IF(OR($DG12=0,$DM12=0),"","−"&amp;INDEX($I$2:$N$8,$CX12,$DM12)&amp;" · "&amp;CHOOSE($DM12,"Leve","Média","Pesada","Leve · Livre","Média · Livre","Pesada · Livre"))</f>
        <v/>
      </c>
      <c r="GB12" s="141">
        <f>IF(OR($DG12=0,$DE12=""),"","+"&amp;IF($DW12=1,CEILING($CX12/2,1),$CX12))</f>
        <v/>
      </c>
      <c r="GC12" s="141">
        <f>IF(OR($DG12=0,$DF12=""),"","+"&amp;IF($DX12=1,CEILING($CX12/2,1),$CX12))</f>
        <v/>
      </c>
      <c r="GE12" s="114" t="inlineStr">
        <is>
          <t>espaços do nível</t>
        </is>
      </c>
      <c r="GF12" s="141">
        <f>2+INT($GF$2/2)+$GF$5</f>
        <v/>
      </c>
      <c r="GH12" s="114" t="inlineStr">
        <is>
          <t>Passiva 11 · Leque</t>
        </is>
      </c>
      <c r="GI12" s="141">
        <f>'FICHA AMALDIÇOADA'!$P$399&amp;""</f>
        <v/>
      </c>
      <c r="GJ12" s="141">
        <f>IFERROR(VLOOKUP($GI12,$BJ$2:$BL$20,2,FALSE),0)</f>
        <v/>
      </c>
      <c r="GK12" s="141">
        <f>IFERROR(VLOOKUP($GJ12,$BN$2:$BO$4,2,FALSE),0)</f>
        <v/>
      </c>
      <c r="GL12" s="141">
        <f>IFERROR(VLOOKUP($GI12,$BJ$2:$BL$20,3,FALSE),"")</f>
        <v/>
      </c>
      <c r="GM12" s="141">
        <f>IF($GJ12=0,"",IF($GK12&gt;$GF$2,"⚠ Nível "&amp;$GK12,"CP "&amp;$GJ12))</f>
        <v/>
      </c>
      <c r="GN12" s="141">
        <f>IF($GJ12=0,"",IF(6&gt;$GF$8,"⚠ Vaga","Grátis"))</f>
        <v/>
      </c>
      <c r="GP12" s="114" t="inlineStr">
        <is>
          <t>Aptidão 11</t>
        </is>
      </c>
      <c r="GQ12" s="141">
        <f>'FICHA AMALDIÇOADA'!$J$483&amp;""</f>
        <v/>
      </c>
      <c r="GR12" s="141">
        <f>IF($GQ12="","","Requisito: "&amp;IFERROR(VLOOKUP($GQ12,$BQ$2:$BV$17,2,FALSE),""))</f>
        <v/>
      </c>
      <c r="GS12" s="141">
        <f>IF($GQ12="","",IFERROR(IF(ISNUMBER(VLOOKUP($GQ12,$BQ$2:$BV$17,3,FALSE)),"CP "&amp;VLOOKUP($GQ12,$BQ$2:$BV$17,3,FALSE),VLOOKUP($GQ12,$BQ$2:$BV$17,3,FALSE)),""))</f>
        <v/>
      </c>
      <c r="GT12" s="141">
        <f>IF($GQ12="","",IFERROR(VLOOKUP($GQ12,$BQ$2:$BV$17,4,FALSE),""))</f>
        <v/>
      </c>
      <c r="GU12" s="141">
        <f>IF($GQ12="","",IFERROR(VLOOKUP($GQ12,$BQ$2:$BV$17,5,FALSE),""))</f>
        <v/>
      </c>
      <c r="HJ12" s="114" t="inlineStr">
        <is>
          <t>K40</t>
        </is>
      </c>
      <c r="HK12" s="141">
        <f>2*DADOS_AM!$GF$29</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41" t="n">
        <v>1</v>
      </c>
      <c r="AX13" s="141">
        <f>$AW13+3*IFERROR(VLOOKUP($AV13,$A$2:$D$10,3,FALSE),0)</f>
        <v/>
      </c>
      <c r="AY13" s="141">
        <f>IFERROR(VLOOKUP($AV13,$A$2:$D$10,4,FALSE),0)</f>
        <v/>
      </c>
      <c r="AZ13" s="141" t="n">
        <v>0</v>
      </c>
      <c r="BA13" s="141">
        <f>IF($AY13=1,"",$AU13)</f>
        <v/>
      </c>
      <c r="BB13" s="141">
        <f>IF(AND($AW13=1,$AY13=0),$AU13,"")</f>
        <v/>
      </c>
      <c r="BD13" s="114" t="inlineStr">
        <is>
          <t>Condicional (Média)</t>
        </is>
      </c>
      <c r="BE13" s="114" t="inlineStr">
        <is>
          <t>Condicional</t>
        </is>
      </c>
      <c r="BF13" s="141" t="n">
        <v>2</v>
      </c>
      <c r="BG13" s="141" t="n">
        <v>1</v>
      </c>
      <c r="BH13" s="114" t="inlineStr"/>
      <c r="BJ13" s="114" t="inlineStr">
        <is>
          <t>Contramedida</t>
        </is>
      </c>
      <c r="BK13" s="141"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41"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41" t="n">
        <v>0</v>
      </c>
      <c r="CW13" s="141" t="n">
        <v>12</v>
      </c>
      <c r="CX13" s="141">
        <f>MAX(1,MIN(7,N('FICHA AMALDIÇOADA'!$P$108)))</f>
        <v/>
      </c>
      <c r="CY13" s="141">
        <f>'FICHA AMALDIÇOADA'!$Q$108&amp;""</f>
        <v/>
      </c>
      <c r="CZ13" s="141">
        <f>'FICHA AMALDIÇOADA'!$P$115&amp;""</f>
        <v/>
      </c>
      <c r="DA13" s="141">
        <f>'FICHA AMALDIÇOADA'!$Q$117&amp;""</f>
        <v/>
      </c>
      <c r="DB13" s="141">
        <f>'FICHA AMALDIÇOADA'!$Q$118&amp;""</f>
        <v/>
      </c>
      <c r="DC13" s="141">
        <f>'FICHA AMALDIÇOADA'!$Q$119&amp;""</f>
        <v/>
      </c>
      <c r="DD13" s="141">
        <f>'FICHA AMALDIÇOADA'!$Q$120&amp;""</f>
        <v/>
      </c>
      <c r="DE13" s="141">
        <f>'FICHA AMALDIÇOADA'!$Q$121&amp;""</f>
        <v/>
      </c>
      <c r="DF13" s="141">
        <f>'FICHA AMALDIÇOADA'!$Q$122&amp;""</f>
        <v/>
      </c>
      <c r="DG13" s="141">
        <f>IF($CY13&lt;&gt;"",1,0)</f>
        <v/>
      </c>
      <c r="DH13" s="141">
        <f>IFERROR(MATCH($CZ13,$Q$2:$Q$11,0),0)</f>
        <v/>
      </c>
      <c r="DI13" s="141">
        <f>IF($DH13=0,0,INDEX($T$2:$T$11,$DH13))</f>
        <v/>
      </c>
      <c r="DJ13" s="141">
        <f>IFERROR(VLOOKUP($DA13,$AU$2:$BB$84,4,FALSE),0)</f>
        <v/>
      </c>
      <c r="DK13" s="141">
        <f>IFERROR(VLOOKUP($DB13,$AU$2:$BB$84,4,FALSE),0)</f>
        <v/>
      </c>
      <c r="DL13" s="141">
        <f>IFERROR(VLOOKUP($DC13,$AU$2:$BB$84,4,FALSE),0)</f>
        <v/>
      </c>
      <c r="DM13" s="141">
        <f>IFERROR(VLOOKUP($DD13,$AU$2:$BB$84,4,FALSE),0)</f>
        <v/>
      </c>
      <c r="DN13" s="141">
        <f>IF($DH13=0,0,INDEX($U$2:$U$11,$DH13))</f>
        <v/>
      </c>
      <c r="DO13" s="141">
        <f>IFERROR(VLOOKUP($DA13,$AU$2:$BB$84,5,FALSE),0)</f>
        <v/>
      </c>
      <c r="DP13" s="141">
        <f>IFERROR(VLOOKUP($DB13,$AU$2:$BB$84,5,FALSE),0)</f>
        <v/>
      </c>
      <c r="DQ13" s="141">
        <f>IFERROR(VLOOKUP($DC13,$AU$2:$BB$84,5,FALSE),0)</f>
        <v/>
      </c>
      <c r="DR13" s="141">
        <f>IFERROR(VLOOKUP($DD13,$AU$2:$BB$84,5,FALSE),0)</f>
        <v/>
      </c>
      <c r="DS13" s="141">
        <f>IFERROR(VLOOKUP($DA13,$AU$2:$BB$84,6,FALSE),0)+IFERROR(VLOOKUP($DB13,$AU$2:$BB$84,6,FALSE),0)+IFERROR(VLOOKUP($DC13,$AU$2:$BB$84,6,FALSE),0)+IFERROR(VLOOKUP($DD13,$AU$2:$BB$84,6,FALSE),0)</f>
        <v/>
      </c>
      <c r="DT13" s="141">
        <f>IF($DH13=0,0,INDEX($V$2:$V$11,$DH13))</f>
        <v/>
      </c>
      <c r="DU13" s="141">
        <f>IF($DH13=0,0,INDEX($W$2:$W$11,$DH13))</f>
        <v/>
      </c>
      <c r="DV13" s="141">
        <f>IF($DH13=0,0,INDEX($Y$2:$Y$11,$DH13))</f>
        <v/>
      </c>
      <c r="DW13" s="141">
        <f>IFERROR(VLOOKUP($DE13,$BD$2:$BH$24,3,FALSE),0)</f>
        <v/>
      </c>
      <c r="DX13" s="141">
        <f>IFERROR(VLOOKUP($DF13,$BD$2:$BH$24,3,FALSE),0)</f>
        <v/>
      </c>
      <c r="DY13" s="141">
        <f>IFERROR(VLOOKUP($DE13,$BD$2:$BH$24,2,FALSE),"")</f>
        <v/>
      </c>
      <c r="DZ13" s="141">
        <f>IFERROR(VLOOKUP($DF13,$BD$2:$BH$24,2,FALSE),"")</f>
        <v/>
      </c>
      <c r="EA13" s="141">
        <f>COUNTIF($DI13:$DM13,1)</f>
        <v/>
      </c>
      <c r="EB13" s="141">
        <f>COUNTIF($DI13:$DM13,2)</f>
        <v/>
      </c>
      <c r="EC13" s="141">
        <f>COUNTIF($DI13:$DM13,3)</f>
        <v/>
      </c>
      <c r="ED13" s="141">
        <f>COUNTIF($DI13:$DM13,4)</f>
        <v/>
      </c>
      <c r="EE13" s="141">
        <f>COUNTIF($DI13:$DM13,5)</f>
        <v/>
      </c>
      <c r="EF13" s="141">
        <f>COUNTIF($DI13:$DM13,6)</f>
        <v/>
      </c>
      <c r="EG13" s="141">
        <f>COUNTIF($DW13:$DX13,1)</f>
        <v/>
      </c>
      <c r="EH13" s="141">
        <f>COUNTIF($DW13:$DX13,2)+$DT13</f>
        <v/>
      </c>
      <c r="EI13" s="141">
        <f>COUNTIF($DA13:$DD13,"?*")</f>
        <v/>
      </c>
      <c r="EJ13" s="141">
        <f>COUNTIF($DE13:$DF13,"?*")+$DT13</f>
        <v/>
      </c>
      <c r="EK13" s="141">
        <f>SUMPRODUCT($EA13:$EF13,INDEX($I$2:$N$8,$CX13,0))</f>
        <v/>
      </c>
      <c r="EL13" s="141">
        <f>$EG13*CEILING($CX13/2,1)+$EH13*$CX13</f>
        <v/>
      </c>
      <c r="EM13" s="141">
        <f>MIN(2*$CX13,$EL13)</f>
        <v/>
      </c>
      <c r="EN13" s="141">
        <f>MIN($EM13,$EK13)</f>
        <v/>
      </c>
      <c r="EO13" s="141">
        <f>$EM13-$EN13</f>
        <v/>
      </c>
      <c r="EP13" s="141">
        <f>3*$CX13-$EK13+$EN13</f>
        <v/>
      </c>
      <c r="EQ13" s="141">
        <f>MAX(0,$EP13)+$CV13*$CX13</f>
        <v/>
      </c>
      <c r="ER13" s="141">
        <f>(IF(COUNTIF($DA13:$DD13,"Salto")&gt;0,1,0)+IF(COUNTIF($DA13:$DD13,"Queima")&gt;0,1,0))*FLOOR($EQ13/2,1)</f>
        <v/>
      </c>
      <c r="ES13" s="141">
        <f>MAX(0,3-SUMPRODUCT($EA13:$EF13,$I$2:$N$2)+MIN(2,$EG13*1+$EH13*1,SUMPRODUCT($EA13:$EF13,$I$2:$N$2)))+$CV13*1</f>
        <v/>
      </c>
      <c r="ET13" s="141">
        <f>MAX(0,6-SUMPRODUCT($EA13:$EF13,$I$3:$N$3)+MIN(4,$EG13*1+$EH13*2,SUMPRODUCT($EA13:$EF13,$I$3:$N$3)))+$CV13*2</f>
        <v/>
      </c>
      <c r="EU13" s="141">
        <f>MAX(0,9-SUMPRODUCT($EA13:$EF13,$I$4:$N$4)+MIN(6,$EG13*2+$EH13*3,SUMPRODUCT($EA13:$EF13,$I$4:$N$4)))+$CV13*3</f>
        <v/>
      </c>
      <c r="EV13" s="141">
        <f>MAX(0,12-SUMPRODUCT($EA13:$EF13,$I$5:$N$5)+MIN(8,$EG13*2+$EH13*4,SUMPRODUCT($EA13:$EF13,$I$5:$N$5)))+$CV13*4</f>
        <v/>
      </c>
      <c r="EW13" s="141">
        <f>MAX(0,15-SUMPRODUCT($EA13:$EF13,$I$6:$N$6)+MIN(10,$EG13*3+$EH13*5,SUMPRODUCT($EA13:$EF13,$I$6:$N$6)))+$CV13*5</f>
        <v/>
      </c>
      <c r="EX13" s="141">
        <f>MAX(0,18-SUMPRODUCT($EA13:$EF13,$I$7:$N$7)+MIN(12,$EG13*3+$EH13*6,SUMPRODUCT($EA13:$EF13,$I$7:$N$7)))+$CV13*6</f>
        <v/>
      </c>
      <c r="EY13" s="141">
        <f>MAX(0,21-SUMPRODUCT($EA13:$EF13,$I$8:$N$8)+MIN(14,$EG13*4+$EH13*7,SUMPRODUCT($EA13:$EF13,$I$8:$N$8)))+$CV13*7</f>
        <v/>
      </c>
      <c r="EZ13" s="141">
        <f>IF($DU13=2,3*$ES13&amp;" de vida temp.",IF($DU13=3,"sem dano",IF($ES13=0,IF($DU13=1,"sem cura","sem dano"),IF($DU13=1,"cura ","")&amp;$ES13&amp;"d8")))</f>
        <v/>
      </c>
      <c r="FA13" s="141">
        <f>IF($DU13=2,3*$ET13&amp;" de vida temp.",IF($DU13=3,"sem dano",IF($ET13=0,IF($DU13=1,"sem cura","sem dano"),IF($DU13=1,"cura ","")&amp;$ET13&amp;"d8")))</f>
        <v/>
      </c>
      <c r="FB13" s="141">
        <f>IF($DU13=2,3*$EU13&amp;" de vida temp.",IF($DU13=3,"sem dano",IF($EU13=0,IF($DU13=1,"sem cura","sem dano"),IF($DU13=1,"cura ","")&amp;$EU13&amp;"d8")))</f>
        <v/>
      </c>
      <c r="FC13" s="141">
        <f>IF($DU13=2,3*$EV13&amp;" de vida temp.",IF($DU13=3,"sem dano",IF($EV13=0,IF($DU13=1,"sem cura","sem dano"),IF($DU13=1,"cura ","")&amp;$EV13&amp;"d8")))</f>
        <v/>
      </c>
      <c r="FD13" s="141">
        <f>IF($DU13=2,3*$EW13&amp;" de vida temp.",IF($DU13=3,"sem dano",IF($EW13=0,IF($DU13=1,"sem cura","sem dano"),IF($DU13=1,"cura ","")&amp;$EW13&amp;"d8")))</f>
        <v/>
      </c>
      <c r="FE13" s="141">
        <f>IF($DU13=2,3*$EX13&amp;" de vida temp.",IF($DU13=3,"sem dano",IF($EX13=0,IF($DU13=1,"sem cura","sem dano"),IF($DU13=1,"cura ","")&amp;$EX13&amp;"d8")))</f>
        <v/>
      </c>
      <c r="FF13" s="141">
        <f>IF($DU13=2,3*$EY13&amp;" de vida temp.",IF($DU13=3,"sem dano",IF($EY13=0,IF($DU13=1,"sem cura","sem dano"),IF($DU13=1,"cura ","")&amp;$EY13&amp;"d8")))</f>
        <v/>
      </c>
      <c r="FG13" s="141">
        <f>IF($DG13=0,"",TEXTJOIN(" · ",TRUE,IF(AND($CV13=1,$CW13&gt;$GF$9),"O nível "&amp;$GF$2&amp;" dá "&amp;$GF$9&amp;" Liberação Máxima",""),IF($CX13&gt;$GF$4,"Classe "&amp;$CX13&amp;": o nível "&amp;$GF$2&amp;" libera até a "&amp;$GF$4,""),IF($DN13=1,"Família Fechada: a Forma "&amp;$CZ13,""),IF($DO13=1,"Família Fechada: "&amp;$DA13,""),IF($DP13=1,"Família Fechada: "&amp;$DB13,""),IF($DQ13=1,"Família Fechada: "&amp;$DC13,""),IF($DR13=1,"Família Fechada: "&amp;$DD13,""),IF($EI13&gt;INDEX($O$2:$O$8,$CX13),$EI13&amp;" Melhorias: a Classe "&amp;$CX13&amp;" aceita "&amp;INDEX($O$2:$O$8,$CX13),""),IF($EJ13&gt;2,$EJ13&amp;" Restrições"&amp;IF($DT13=1,", contando a que a Forma "&amp;$CZ13&amp;" já traz","")&amp;": o limite é 2",""),IF($EP13&lt;0,"Orçamento estourado: faltam "&amp;(-$EP13)&amp;IF($EP13&lt;-1," pontos"," ponto"),""),IF(IFERROR(VLOOKUP($DE13,$BD$2:$BH$24,4,FALSE),0)+IFERROR(VLOOKUP($DF13,$BD$2:$BH$24,4,FALSE),0)&gt;1,$DY13&amp;" e "&amp;$DZ13&amp;" são as duas de frequência",""),IF(AND((COUNTIF($DA13:$DD13,"Rápido")+COUNTIF($DY13:$DZ13,"Rápido"))&gt;0,(COUNTIF($DA13:$DD13,"Reação")+COUNTIF($DY13:$DZ13,"Reação"))&gt;0),"Rápido não entra com Reação",""),IF(AND((COUNTIF($DA13:$DD13,"Rápido")+COUNTIF($DY13:$DZ13,"Rápido"))&gt;0,(COUNTIF($DA13:$DD13,"Atrasar")+COUNTIF($DY13:$DZ13,"Atrasar"))&gt;0),"Rápido não entra com Atrasar",""),IF(AND((COUNTIF($DA13:$DD13,"Reação")+COUNTIF($DY13:$DZ13,"Reação"))&gt;0,(COUNTIF($DA13:$DD13,"Atrasar")+COUNTIF($DY13:$DZ13,"Atrasar"))&gt;0),"Reação não entra com Atrasar",""),IF(AND((COUNTIF($DA13:$DD13,"Reação")+COUNTIF($DY13:$DZ13,"Reação"))&gt;0,(COUNTIF($DA13:$DD13,"Parado")+COUNTIF($DY13:$DZ13,"Parado"))&gt;0),"Reação não entra com Parado",""),IF(AND(COUNTIF($DY13:$DZ13,"Corpo a Corpo")&gt;0,$DT13=0,OR($CZ13="Cone",$CZ13="Linha")),"Corpo a Corpo não entra em "&amp;$CZ13,""),IF(AND(COUNTIF($DY13:$DZ13,"Corpo a Corpo")&gt;0,$DT13=1),"A Forma "&amp;$CZ13&amp;" já traz o Corpo a Corpo",""),IF(AND(COUNTIF($DY13:$DZ13,"Tudo ou Nada")&gt;0,$DV13=0),"Tudo ou Nada só entra em feitiço de Teste de Resistência",""),IF(AND(COUNTIF($DA13:$DD13,"Inescapável")&gt;0,OR($EI13&gt;1,$EJ13&gt;0)),"Inescapável não aceita outra peça",""),IF(AND($CV13=1,$CX13&lt;3),"Liberação Máxima é de Classe 3 ou mais",""),IF(AND($CV13=1,OR($DU13=1,$DU13=2)),"Liberação Máxima não serve para cura",""),IF(AND($CV13=1,COUNTIF($DA13:$DD13,"Inescapável")+COUNTIF($DA13:$DD13,"Toca a Alma")&gt;0),"Esta peça não entra numa Liberação Máxima",""),IF($EQ13+$ER13&gt;4*$CX13,($EQ13+$ER13)&amp;" dados somando alvos e repetições: o teto da Classe "&amp;$CX13&amp;" é "&amp;4*$CX13,"")))</f>
        <v/>
      </c>
      <c r="FH13" s="141">
        <f>IF($FG13="",0,(LEN($FG13)-LEN(SUBSTITUTE($FG13," · ","")))/3+1)</f>
        <v/>
      </c>
      <c r="FI13" s="141">
        <f>IF($DG13=0,"",TEXTJOIN(" · ",TRUE,IF($EL13&gt;2*$CX13,"A devolução parou no teto de "&amp;2*$CX13,""),IF($EO13&gt;0,"Devolução perdida: "&amp;$EO13&amp;IF($EO13&gt;1," pontos"," ponto")&amp;" sem peça para pagar",""),IF(AND($DS13&gt;0,$EQ13=0),"Controle sem dano: uma rodada a mais e CD +2",""),IF(AND($DS13&gt;0,$EQ13&gt;0,$EQ13&lt;=$CX13),"Controle com um quarto do teto: uma rodada a mais","")))</f>
        <v/>
      </c>
      <c r="FJ13" s="141">
        <f>IF($FI13="",0,(LEN($FI13)-LEN(SUBSTITUTE($FI13," · ","")))/3+1)</f>
        <v/>
      </c>
      <c r="FK13" s="141">
        <f>IF($DG13=0,IF($EI13+$EJ13-$DT13&gt;0,"Dê um nome",""),IF($FH13&gt;0,"⚠ "&amp;$FH13&amp;IF($FH13&gt;1," erros"," erro"),IF($FJ13&gt;0,"! "&amp;$FJ13&amp;IF($FJ13&gt;1," avisos"," aviso"),"Na regra")))</f>
        <v/>
      </c>
      <c r="FL13" s="141">
        <f>IF($DG13=0,"",IF($FH13+$FJ13=0,"Dentro das regras que a ficha confere",$FG13&amp;IF(AND($FH13&gt;0,$FJ13&gt;0)," · ","")&amp;$FI13))</f>
        <v/>
      </c>
      <c r="FM13" s="141">
        <f>IF($DG13=0,"",IF($CV13=1,CEILING(4.5*$CX13,1),3*$CX13)&amp;" PE")</f>
        <v/>
      </c>
      <c r="FN13" s="141">
        <f>IF($DG13=0,"",IF($CV13=1,"Rodada inteira",IF(COUNTIF($DY13:$DZ13,"Atrasar")&gt;0,IF(COUNTIF($DY13:$DZ13,"Carregar")&gt;0,"Rodada +1 turno","Rodada inteira"),IF(COUNTIF($DA13:$DD13,"Rápido")&gt;0,"Bônus",IF(COUNTIF($DA13:$DD13,"Reação")&gt;0,"Reação","Padrão"))&amp;IF(COUNTIF($DY13:$DZ13,"Carregar")&gt;0," +1 turno",""))))</f>
        <v/>
      </c>
      <c r="FO13" s="141">
        <f>IF(OR($DG13=0,$DH13=0),"",IF(COUNTIF($DA13:$DD13,"Inescapável")&gt;0,"Automático",IF(COUNTIF($DA13:$DD13,"Certeiro")&gt;0,"TR para metade",INDEX($X$2:$X$11,$DH13))))</f>
        <v/>
      </c>
      <c r="FP13" s="141">
        <f>IF(OR($DG13=0,$DH13=0),"",IF(OR($DU13&gt;=2,$EQ13=0),UPPER(LEFT(INDEX($EZ13:$FF13,1,$CX13),1))&amp;MID(INDEX($EZ13:$FF13,1,$CX13),2,99),UPPER(LEFT(INDEX($EZ13:$FF13,1,$CX13),1))&amp;MID(INDEX($EZ13:$FF13,1,$CX13),2,99)&amp;" = "&amp;FLOOR($EQ13*4.5,1)&amp;IF($ER13&gt;0," · +"&amp;$ER13&amp;"d8","")))</f>
        <v/>
      </c>
      <c r="FQ13" s="141">
        <f>COUNTIF($DA13:$DD13,"Longe")+3*COUNTIF($DA13:$DD13,"Muito Longe")</f>
        <v/>
      </c>
      <c r="FR13" s="141">
        <f>COUNTIF($DA13:$DD13,"Maior")+3*COUNTIF($DA13:$DD13,"Muito Maior")</f>
        <v/>
      </c>
      <c r="FS13" s="141">
        <f>IF($DH13=0,0,CHOOSE(1+INDEX($Z$2:$Z$11,$DH13),0,$FQ13,$FR13,$FQ13+$FR13))</f>
        <v/>
      </c>
      <c r="FT13" s="141">
        <f>IF($DH13=0,0,CHOOSE(1+INDEX($AA$2:$AA$11,$DH13),0,$FQ13,$FR13,$FQ13+$FR13))</f>
        <v/>
      </c>
      <c r="FU13" s="141">
        <f>IF(OR($DG13=0,$DH13=0),"",INDEX($AH$2:$AM$31,($DH13-1)*3+IF($CX13&gt;=6,3,2),1+MIN(5,$FS13))&amp;INDEX($AN$2:$AS$31,($DH13-1)*3+IF($CX13&gt;=6,3,2),1+MIN(5,$FT13))&amp;IF(INDEX($AB$2:$AB$11,$DH13)=1,IF(COUNTIF($DA13:$DD13,"Mais Um")&gt;0," · +"&amp;COUNTIF($DA13:$DD13,"Mais Um")&amp;IF(COUNTIF($DA13:$DD13,"Mais Um")&gt;1," alvos"," alvo"),"")&amp;IF(COUNTIF($DA13:$DD13,"Rajada")&gt;0," · "&amp;($CX13+1)&amp;" tiros",""),""))</f>
        <v/>
      </c>
      <c r="FV13" s="141">
        <f>IF($DG13=0,"",3*$CX13&amp;" − "&amp;$EK13&amp;" + "&amp;$EN13&amp;IF($CV13=1," + "&amp;$CX13,"")&amp;" = "&amp;$EQ13&amp;"d8 · teto "&amp;4*$CX13&amp;IF($DT13=1," · a Forma devolve "&amp;$CX13,"")&amp;IF($EO13&gt;0," · perde "&amp;$EO13,""))</f>
        <v/>
      </c>
      <c r="FW13" s="141">
        <f>IF($DG13=0,"",IF($CX13&gt;=$GF$4,"Já está na maior Classe que o nível liberou",TEXTJOIN(" · ",TRUE,IF(AND(2&gt;$CX13,2&lt;=$GF$4),"2 → "&amp;$FA13&amp;", "&amp;IF($CV13=1,9,6)&amp;" PE",""),IF(AND(3&gt;$CX13,3&lt;=$GF$4),"3 → "&amp;$FB13&amp;", "&amp;IF($CV13=1,14,9)&amp;" PE",""),IF(AND(4&gt;$CX13,4&lt;=$GF$4),"4 → "&amp;$FC13&amp;", "&amp;IF($CV13=1,18,12)&amp;" PE",""),IF(AND(5&gt;$CX13,5&lt;=$GF$4),"5 → "&amp;$FD13&amp;", "&amp;IF($CV13=1,23,15)&amp;" PE",""),IF(AND(6&gt;$CX13,6&lt;=$GF$4),"6 → "&amp;$FE13&amp;", "&amp;IF($CV13=1,27,18)&amp;" PE",""),IF(AND(7&gt;$CX13,7&lt;=$GF$4),"7 → "&amp;$FF13&amp;", "&amp;IF($CV13=1,32,21)&amp;" PE",""))))</f>
        <v/>
      </c>
      <c r="FX13" s="141">
        <f>IF(OR($DG13=0,$DJ13=0),"","−"&amp;INDEX($I$2:$N$8,$CX13,$DJ13)&amp;" · "&amp;CHOOSE($DJ13,"Leve","Média","Pesada","Leve · Livre","Média · Livre","Pesada · Livre"))</f>
        <v/>
      </c>
      <c r="FY13" s="141">
        <f>IF(OR($DG13=0,$DK13=0),"","−"&amp;INDEX($I$2:$N$8,$CX13,$DK13)&amp;" · "&amp;CHOOSE($DK13,"Leve","Média","Pesada","Leve · Livre","Média · Livre","Pesada · Livre"))</f>
        <v/>
      </c>
      <c r="FZ13" s="141">
        <f>IF(OR($DG13=0,$DL13=0),"","−"&amp;INDEX($I$2:$N$8,$CX13,$DL13)&amp;" · "&amp;CHOOSE($DL13,"Leve","Média","Pesada","Leve · Livre","Média · Livre","Pesada · Livre"))</f>
        <v/>
      </c>
      <c r="GA13" s="141">
        <f>IF(OR($DG13=0,$DM13=0),"","−"&amp;INDEX($I$2:$N$8,$CX13,$DM13)&amp;" · "&amp;CHOOSE($DM13,"Leve","Média","Pesada","Leve · Livre","Média · Livre","Pesada · Livre"))</f>
        <v/>
      </c>
      <c r="GB13" s="141">
        <f>IF(OR($DG13=0,$DE13=""),"","+"&amp;IF($DW13=1,CEILING($CX13/2,1),$CX13))</f>
        <v/>
      </c>
      <c r="GC13" s="141">
        <f>IF(OR($DG13=0,$DF13=""),"","+"&amp;IF($DX13=1,CEILING($CX13/2,1),$CX13))</f>
        <v/>
      </c>
      <c r="GE13" s="114" t="inlineStr">
        <is>
          <t>espaços de pacto</t>
        </is>
      </c>
      <c r="GF13" s="141">
        <f>IF(AND('FICHA AMALDIÇOADA'!$L$509="Permanente",'FICHA AMALDIÇOADA'!$P$509="Um espaço de feitiço"),1,0)+IF(AND('FICHA AMALDIÇOADA'!$L$519="Permanente",'FICHA AMALDIÇOADA'!$P$519="Um espaço de feitiço"),1,0)+IF(AND('FICHA AMALDIÇOADA'!$L$529="Permanente",'FICHA AMALDIÇOADA'!$P$529="Um espaço de feitiço"),1,0)</f>
        <v/>
      </c>
      <c r="GH13" s="114" t="inlineStr">
        <is>
          <t>Passiva 12 · Leque</t>
        </is>
      </c>
      <c r="GI13" s="141">
        <f>'FICHA AMALDIÇOADA'!$D$407&amp;""</f>
        <v/>
      </c>
      <c r="GJ13" s="141">
        <f>IFERROR(VLOOKUP($GI13,$BJ$2:$BL$20,2,FALSE),0)</f>
        <v/>
      </c>
      <c r="GK13" s="141">
        <f>IFERROR(VLOOKUP($GJ13,$BN$2:$BO$4,2,FALSE),0)</f>
        <v/>
      </c>
      <c r="GL13" s="141">
        <f>IFERROR(VLOOKUP($GI13,$BJ$2:$BL$20,3,FALSE),"")</f>
        <v/>
      </c>
      <c r="GM13" s="141">
        <f>IF($GJ13=0,"",IF($GK13&gt;$GF$2,"⚠ Nível "&amp;$GK13,"CP "&amp;$GJ13))</f>
        <v/>
      </c>
      <c r="GN13" s="141">
        <f>IF($GJ13=0,"",IF(7&gt;$GF$8,"⚠ Vaga","Grátis"))</f>
        <v/>
      </c>
      <c r="GP13" s="114" t="inlineStr">
        <is>
          <t>Aptidão 12</t>
        </is>
      </c>
      <c r="GQ13" s="141">
        <f>'FICHA AMALDIÇOADA'!$P$483&amp;""</f>
        <v/>
      </c>
      <c r="GR13" s="141">
        <f>IF($GQ13="","","Requisito: "&amp;IFERROR(VLOOKUP($GQ13,$BQ$2:$BV$17,2,FALSE),""))</f>
        <v/>
      </c>
      <c r="GS13" s="141">
        <f>IF($GQ13="","",IFERROR(IF(ISNUMBER(VLOOKUP($GQ13,$BQ$2:$BV$17,3,FALSE)),"CP "&amp;VLOOKUP($GQ13,$BQ$2:$BV$17,3,FALSE),VLOOKUP($GQ13,$BQ$2:$BV$17,3,FALSE)),""))</f>
        <v/>
      </c>
      <c r="GT13" s="141">
        <f>IF($GQ13="","",IFERROR(VLOOKUP($GQ13,$BQ$2:$BV$17,4,FALSE),""))</f>
        <v/>
      </c>
      <c r="GU13" s="141">
        <f>IF($GQ13="","",IFERROR(VLOOKUP($GQ13,$BQ$2:$BV$17,5,FALSE),""))</f>
        <v/>
      </c>
      <c r="HJ13" s="114" t="inlineStr">
        <is>
          <t>L40</t>
        </is>
      </c>
      <c r="HK13" s="141">
        <f>4*DADOS_AM!$GF$29</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41" t="n">
        <v>1</v>
      </c>
      <c r="AX14" s="141">
        <f>$AW14+3*IFERROR(VLOOKUP($AV14,$A$2:$D$10,3,FALSE),0)</f>
        <v/>
      </c>
      <c r="AY14" s="141">
        <f>IFERROR(VLOOKUP($AV14,$A$2:$D$10,4,FALSE),0)</f>
        <v/>
      </c>
      <c r="AZ14" s="141" t="n">
        <v>0</v>
      </c>
      <c r="BA14" s="141">
        <f>IF($AY14=1,"",$AU14)</f>
        <v/>
      </c>
      <c r="BB14" s="141">
        <f>IF(AND($AW14=1,$AY14=0),$AU14,"")</f>
        <v/>
      </c>
      <c r="BD14" s="114" t="inlineStr">
        <is>
          <t>Fraqueza (Leve)</t>
        </is>
      </c>
      <c r="BE14" s="114" t="inlineStr">
        <is>
          <t>Fraqueza</t>
        </is>
      </c>
      <c r="BF14" s="141" t="n">
        <v>1</v>
      </c>
      <c r="BG14" s="141" t="n">
        <v>0</v>
      </c>
      <c r="BH14" s="114" t="inlineStr">
        <is>
          <t>Fraqueza (Leve)</t>
        </is>
      </c>
      <c r="BJ14" s="114" t="inlineStr">
        <is>
          <t>Peso da Presença</t>
        </is>
      </c>
      <c r="BK14" s="141"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41" t="n">
        <v>0</v>
      </c>
      <c r="CW14" s="141" t="n">
        <v>13</v>
      </c>
      <c r="CX14" s="141">
        <f>MAX(1,MIN(7,N('FICHA AMALDIÇOADA'!$D$131)))</f>
        <v/>
      </c>
      <c r="CY14" s="141">
        <f>'FICHA AMALDIÇOADA'!$E$131&amp;""</f>
        <v/>
      </c>
      <c r="CZ14" s="141">
        <f>'FICHA AMALDIÇOADA'!$D$138&amp;""</f>
        <v/>
      </c>
      <c r="DA14" s="141">
        <f>'FICHA AMALDIÇOADA'!$E$140&amp;""</f>
        <v/>
      </c>
      <c r="DB14" s="141">
        <f>'FICHA AMALDIÇOADA'!$E$141&amp;""</f>
        <v/>
      </c>
      <c r="DC14" s="141">
        <f>'FICHA AMALDIÇOADA'!$E$142&amp;""</f>
        <v/>
      </c>
      <c r="DD14" s="141">
        <f>'FICHA AMALDIÇOADA'!$E$143&amp;""</f>
        <v/>
      </c>
      <c r="DE14" s="141">
        <f>'FICHA AMALDIÇOADA'!$E$144&amp;""</f>
        <v/>
      </c>
      <c r="DF14" s="141">
        <f>'FICHA AMALDIÇOADA'!$E$145&amp;""</f>
        <v/>
      </c>
      <c r="DG14" s="141">
        <f>IF($CY14&lt;&gt;"",1,0)</f>
        <v/>
      </c>
      <c r="DH14" s="141">
        <f>IFERROR(MATCH($CZ14,$Q$2:$Q$11,0),0)</f>
        <v/>
      </c>
      <c r="DI14" s="141">
        <f>IF($DH14=0,0,INDEX($T$2:$T$11,$DH14))</f>
        <v/>
      </c>
      <c r="DJ14" s="141">
        <f>IFERROR(VLOOKUP($DA14,$AU$2:$BB$84,4,FALSE),0)</f>
        <v/>
      </c>
      <c r="DK14" s="141">
        <f>IFERROR(VLOOKUP($DB14,$AU$2:$BB$84,4,FALSE),0)</f>
        <v/>
      </c>
      <c r="DL14" s="141">
        <f>IFERROR(VLOOKUP($DC14,$AU$2:$BB$84,4,FALSE),0)</f>
        <v/>
      </c>
      <c r="DM14" s="141">
        <f>IFERROR(VLOOKUP($DD14,$AU$2:$BB$84,4,FALSE),0)</f>
        <v/>
      </c>
      <c r="DN14" s="141">
        <f>IF($DH14=0,0,INDEX($U$2:$U$11,$DH14))</f>
        <v/>
      </c>
      <c r="DO14" s="141">
        <f>IFERROR(VLOOKUP($DA14,$AU$2:$BB$84,5,FALSE),0)</f>
        <v/>
      </c>
      <c r="DP14" s="141">
        <f>IFERROR(VLOOKUP($DB14,$AU$2:$BB$84,5,FALSE),0)</f>
        <v/>
      </c>
      <c r="DQ14" s="141">
        <f>IFERROR(VLOOKUP($DC14,$AU$2:$BB$84,5,FALSE),0)</f>
        <v/>
      </c>
      <c r="DR14" s="141">
        <f>IFERROR(VLOOKUP($DD14,$AU$2:$BB$84,5,FALSE),0)</f>
        <v/>
      </c>
      <c r="DS14" s="141">
        <f>IFERROR(VLOOKUP($DA14,$AU$2:$BB$84,6,FALSE),0)+IFERROR(VLOOKUP($DB14,$AU$2:$BB$84,6,FALSE),0)+IFERROR(VLOOKUP($DC14,$AU$2:$BB$84,6,FALSE),0)+IFERROR(VLOOKUP($DD14,$AU$2:$BB$84,6,FALSE),0)</f>
        <v/>
      </c>
      <c r="DT14" s="141">
        <f>IF($DH14=0,0,INDEX($V$2:$V$11,$DH14))</f>
        <v/>
      </c>
      <c r="DU14" s="141">
        <f>IF($DH14=0,0,INDEX($W$2:$W$11,$DH14))</f>
        <v/>
      </c>
      <c r="DV14" s="141">
        <f>IF($DH14=0,0,INDEX($Y$2:$Y$11,$DH14))</f>
        <v/>
      </c>
      <c r="DW14" s="141">
        <f>IFERROR(VLOOKUP($DE14,$BD$2:$BH$24,3,FALSE),0)</f>
        <v/>
      </c>
      <c r="DX14" s="141">
        <f>IFERROR(VLOOKUP($DF14,$BD$2:$BH$24,3,FALSE),0)</f>
        <v/>
      </c>
      <c r="DY14" s="141">
        <f>IFERROR(VLOOKUP($DE14,$BD$2:$BH$24,2,FALSE),"")</f>
        <v/>
      </c>
      <c r="DZ14" s="141">
        <f>IFERROR(VLOOKUP($DF14,$BD$2:$BH$24,2,FALSE),"")</f>
        <v/>
      </c>
      <c r="EA14" s="141">
        <f>COUNTIF($DI14:$DM14,1)</f>
        <v/>
      </c>
      <c r="EB14" s="141">
        <f>COUNTIF($DI14:$DM14,2)</f>
        <v/>
      </c>
      <c r="EC14" s="141">
        <f>COUNTIF($DI14:$DM14,3)</f>
        <v/>
      </c>
      <c r="ED14" s="141">
        <f>COUNTIF($DI14:$DM14,4)</f>
        <v/>
      </c>
      <c r="EE14" s="141">
        <f>COUNTIF($DI14:$DM14,5)</f>
        <v/>
      </c>
      <c r="EF14" s="141">
        <f>COUNTIF($DI14:$DM14,6)</f>
        <v/>
      </c>
      <c r="EG14" s="141">
        <f>COUNTIF($DW14:$DX14,1)</f>
        <v/>
      </c>
      <c r="EH14" s="141">
        <f>COUNTIF($DW14:$DX14,2)+$DT14</f>
        <v/>
      </c>
      <c r="EI14" s="141">
        <f>COUNTIF($DA14:$DD14,"?*")</f>
        <v/>
      </c>
      <c r="EJ14" s="141">
        <f>COUNTIF($DE14:$DF14,"?*")+$DT14</f>
        <v/>
      </c>
      <c r="EK14" s="141">
        <f>SUMPRODUCT($EA14:$EF14,INDEX($I$2:$N$8,$CX14,0))</f>
        <v/>
      </c>
      <c r="EL14" s="141">
        <f>$EG14*CEILING($CX14/2,1)+$EH14*$CX14</f>
        <v/>
      </c>
      <c r="EM14" s="141">
        <f>MIN(2*$CX14,$EL14)</f>
        <v/>
      </c>
      <c r="EN14" s="141">
        <f>MIN($EM14,$EK14)</f>
        <v/>
      </c>
      <c r="EO14" s="141">
        <f>$EM14-$EN14</f>
        <v/>
      </c>
      <c r="EP14" s="141">
        <f>3*$CX14-$EK14+$EN14</f>
        <v/>
      </c>
      <c r="EQ14" s="141">
        <f>MAX(0,$EP14)+$CV14*$CX14</f>
        <v/>
      </c>
      <c r="ER14" s="141">
        <f>(IF(COUNTIF($DA14:$DD14,"Salto")&gt;0,1,0)+IF(COUNTIF($DA14:$DD14,"Queima")&gt;0,1,0))*FLOOR($EQ14/2,1)</f>
        <v/>
      </c>
      <c r="ES14" s="141">
        <f>MAX(0,3-SUMPRODUCT($EA14:$EF14,$I$2:$N$2)+MIN(2,$EG14*1+$EH14*1,SUMPRODUCT($EA14:$EF14,$I$2:$N$2)))+$CV14*1</f>
        <v/>
      </c>
      <c r="ET14" s="141">
        <f>MAX(0,6-SUMPRODUCT($EA14:$EF14,$I$3:$N$3)+MIN(4,$EG14*1+$EH14*2,SUMPRODUCT($EA14:$EF14,$I$3:$N$3)))+$CV14*2</f>
        <v/>
      </c>
      <c r="EU14" s="141">
        <f>MAX(0,9-SUMPRODUCT($EA14:$EF14,$I$4:$N$4)+MIN(6,$EG14*2+$EH14*3,SUMPRODUCT($EA14:$EF14,$I$4:$N$4)))+$CV14*3</f>
        <v/>
      </c>
      <c r="EV14" s="141">
        <f>MAX(0,12-SUMPRODUCT($EA14:$EF14,$I$5:$N$5)+MIN(8,$EG14*2+$EH14*4,SUMPRODUCT($EA14:$EF14,$I$5:$N$5)))+$CV14*4</f>
        <v/>
      </c>
      <c r="EW14" s="141">
        <f>MAX(0,15-SUMPRODUCT($EA14:$EF14,$I$6:$N$6)+MIN(10,$EG14*3+$EH14*5,SUMPRODUCT($EA14:$EF14,$I$6:$N$6)))+$CV14*5</f>
        <v/>
      </c>
      <c r="EX14" s="141">
        <f>MAX(0,18-SUMPRODUCT($EA14:$EF14,$I$7:$N$7)+MIN(12,$EG14*3+$EH14*6,SUMPRODUCT($EA14:$EF14,$I$7:$N$7)))+$CV14*6</f>
        <v/>
      </c>
      <c r="EY14" s="141">
        <f>MAX(0,21-SUMPRODUCT($EA14:$EF14,$I$8:$N$8)+MIN(14,$EG14*4+$EH14*7,SUMPRODUCT($EA14:$EF14,$I$8:$N$8)))+$CV14*7</f>
        <v/>
      </c>
      <c r="EZ14" s="141">
        <f>IF($DU14=2,3*$ES14&amp;" de vida temp.",IF($DU14=3,"sem dano",IF($ES14=0,IF($DU14=1,"sem cura","sem dano"),IF($DU14=1,"cura ","")&amp;$ES14&amp;"d8")))</f>
        <v/>
      </c>
      <c r="FA14" s="141">
        <f>IF($DU14=2,3*$ET14&amp;" de vida temp.",IF($DU14=3,"sem dano",IF($ET14=0,IF($DU14=1,"sem cura","sem dano"),IF($DU14=1,"cura ","")&amp;$ET14&amp;"d8")))</f>
        <v/>
      </c>
      <c r="FB14" s="141">
        <f>IF($DU14=2,3*$EU14&amp;" de vida temp.",IF($DU14=3,"sem dano",IF($EU14=0,IF($DU14=1,"sem cura","sem dano"),IF($DU14=1,"cura ","")&amp;$EU14&amp;"d8")))</f>
        <v/>
      </c>
      <c r="FC14" s="141">
        <f>IF($DU14=2,3*$EV14&amp;" de vida temp.",IF($DU14=3,"sem dano",IF($EV14=0,IF($DU14=1,"sem cura","sem dano"),IF($DU14=1,"cura ","")&amp;$EV14&amp;"d8")))</f>
        <v/>
      </c>
      <c r="FD14" s="141">
        <f>IF($DU14=2,3*$EW14&amp;" de vida temp.",IF($DU14=3,"sem dano",IF($EW14=0,IF($DU14=1,"sem cura","sem dano"),IF($DU14=1,"cura ","")&amp;$EW14&amp;"d8")))</f>
        <v/>
      </c>
      <c r="FE14" s="141">
        <f>IF($DU14=2,3*$EX14&amp;" de vida temp.",IF($DU14=3,"sem dano",IF($EX14=0,IF($DU14=1,"sem cura","sem dano"),IF($DU14=1,"cura ","")&amp;$EX14&amp;"d8")))</f>
        <v/>
      </c>
      <c r="FF14" s="141">
        <f>IF($DU14=2,3*$EY14&amp;" de vida temp.",IF($DU14=3,"sem dano",IF($EY14=0,IF($DU14=1,"sem cura","sem dano"),IF($DU14=1,"cura ","")&amp;$EY14&amp;"d8")))</f>
        <v/>
      </c>
      <c r="FG14" s="141">
        <f>IF($DG14=0,"",TEXTJOIN(" · ",TRUE,IF(AND($CV14=1,$CW14&gt;$GF$9),"O nível "&amp;$GF$2&amp;" dá "&amp;$GF$9&amp;" Liberação Máxima",""),IF($CX14&gt;$GF$4,"Classe "&amp;$CX14&amp;": o nível "&amp;$GF$2&amp;" libera até a "&amp;$GF$4,""),IF($DN14=1,"Família Fechada: a Forma "&amp;$CZ14,""),IF($DO14=1,"Família Fechada: "&amp;$DA14,""),IF($DP14=1,"Família Fechada: "&amp;$DB14,""),IF($DQ14=1,"Família Fechada: "&amp;$DC14,""),IF($DR14=1,"Família Fechada: "&amp;$DD14,""),IF($EI14&gt;INDEX($O$2:$O$8,$CX14),$EI14&amp;" Melhorias: a Classe "&amp;$CX14&amp;" aceita "&amp;INDEX($O$2:$O$8,$CX14),""),IF($EJ14&gt;2,$EJ14&amp;" Restrições"&amp;IF($DT14=1,", contando a que a Forma "&amp;$CZ14&amp;" já traz","")&amp;": o limite é 2",""),IF($EP14&lt;0,"Orçamento estourado: faltam "&amp;(-$EP14)&amp;IF($EP14&lt;-1," pontos"," ponto"),""),IF(IFERROR(VLOOKUP($DE14,$BD$2:$BH$24,4,FALSE),0)+IFERROR(VLOOKUP($DF14,$BD$2:$BH$24,4,FALSE),0)&gt;1,$DY14&amp;" e "&amp;$DZ14&amp;" são as duas de frequência",""),IF(AND((COUNTIF($DA14:$DD14,"Rápido")+COUNTIF($DY14:$DZ14,"Rápido"))&gt;0,(COUNTIF($DA14:$DD14,"Reação")+COUNTIF($DY14:$DZ14,"Reação"))&gt;0),"Rápido não entra com Reação",""),IF(AND((COUNTIF($DA14:$DD14,"Rápido")+COUNTIF($DY14:$DZ14,"Rápido"))&gt;0,(COUNTIF($DA14:$DD14,"Atrasar")+COUNTIF($DY14:$DZ14,"Atrasar"))&gt;0),"Rápido não entra com Atrasar",""),IF(AND((COUNTIF($DA14:$DD14,"Reação")+COUNTIF($DY14:$DZ14,"Reação"))&gt;0,(COUNTIF($DA14:$DD14,"Atrasar")+COUNTIF($DY14:$DZ14,"Atrasar"))&gt;0),"Reação não entra com Atrasar",""),IF(AND((COUNTIF($DA14:$DD14,"Reação")+COUNTIF($DY14:$DZ14,"Reação"))&gt;0,(COUNTIF($DA14:$DD14,"Parado")+COUNTIF($DY14:$DZ14,"Parado"))&gt;0),"Reação não entra com Parado",""),IF(AND(COUNTIF($DY14:$DZ14,"Corpo a Corpo")&gt;0,$DT14=0,OR($CZ14="Cone",$CZ14="Linha")),"Corpo a Corpo não entra em "&amp;$CZ14,""),IF(AND(COUNTIF($DY14:$DZ14,"Corpo a Corpo")&gt;0,$DT14=1),"A Forma "&amp;$CZ14&amp;" já traz o Corpo a Corpo",""),IF(AND(COUNTIF($DY14:$DZ14,"Tudo ou Nada")&gt;0,$DV14=0),"Tudo ou Nada só entra em feitiço de Teste de Resistência",""),IF(AND(COUNTIF($DA14:$DD14,"Inescapável")&gt;0,OR($EI14&gt;1,$EJ14&gt;0)),"Inescapável não aceita outra peça",""),IF(AND($CV14=1,$CX14&lt;3),"Liberação Máxima é de Classe 3 ou mais",""),IF(AND($CV14=1,OR($DU14=1,$DU14=2)),"Liberação Máxima não serve para cura",""),IF(AND($CV14=1,COUNTIF($DA14:$DD14,"Inescapável")+COUNTIF($DA14:$DD14,"Toca a Alma")&gt;0),"Esta peça não entra numa Liberação Máxima",""),IF($EQ14+$ER14&gt;4*$CX14,($EQ14+$ER14)&amp;" dados somando alvos e repetições: o teto da Classe "&amp;$CX14&amp;" é "&amp;4*$CX14,"")))</f>
        <v/>
      </c>
      <c r="FH14" s="141">
        <f>IF($FG14="",0,(LEN($FG14)-LEN(SUBSTITUTE($FG14," · ","")))/3+1)</f>
        <v/>
      </c>
      <c r="FI14" s="141">
        <f>IF($DG14=0,"",TEXTJOIN(" · ",TRUE,IF($EL14&gt;2*$CX14,"A devolução parou no teto de "&amp;2*$CX14,""),IF($EO14&gt;0,"Devolução perdida: "&amp;$EO14&amp;IF($EO14&gt;1," pontos"," ponto")&amp;" sem peça para pagar",""),IF(AND($DS14&gt;0,$EQ14=0),"Controle sem dano: uma rodada a mais e CD +2",""),IF(AND($DS14&gt;0,$EQ14&gt;0,$EQ14&lt;=$CX14),"Controle com um quarto do teto: uma rodada a mais","")))</f>
        <v/>
      </c>
      <c r="FJ14" s="141">
        <f>IF($FI14="",0,(LEN($FI14)-LEN(SUBSTITUTE($FI14," · ","")))/3+1)</f>
        <v/>
      </c>
      <c r="FK14" s="141">
        <f>IF($DG14=0,IF($EI14+$EJ14-$DT14&gt;0,"Dê um nome",""),IF($FH14&gt;0,"⚠ "&amp;$FH14&amp;IF($FH14&gt;1," erros"," erro"),IF($FJ14&gt;0,"! "&amp;$FJ14&amp;IF($FJ14&gt;1," avisos"," aviso"),"Na regra")))</f>
        <v/>
      </c>
      <c r="FL14" s="141">
        <f>IF($DG14=0,"",IF($FH14+$FJ14=0,"Dentro das regras que a ficha confere",$FG14&amp;IF(AND($FH14&gt;0,$FJ14&gt;0)," · ","")&amp;$FI14))</f>
        <v/>
      </c>
      <c r="FM14" s="141">
        <f>IF($DG14=0,"",IF($CV14=1,CEILING(4.5*$CX14,1),3*$CX14)&amp;" PE")</f>
        <v/>
      </c>
      <c r="FN14" s="141">
        <f>IF($DG14=0,"",IF($CV14=1,"Rodada inteira",IF(COUNTIF($DY14:$DZ14,"Atrasar")&gt;0,IF(COUNTIF($DY14:$DZ14,"Carregar")&gt;0,"Rodada +1 turno","Rodada inteira"),IF(COUNTIF($DA14:$DD14,"Rápido")&gt;0,"Bônus",IF(COUNTIF($DA14:$DD14,"Reação")&gt;0,"Reação","Padrão"))&amp;IF(COUNTIF($DY14:$DZ14,"Carregar")&gt;0," +1 turno",""))))</f>
        <v/>
      </c>
      <c r="FO14" s="141">
        <f>IF(OR($DG14=0,$DH14=0),"",IF(COUNTIF($DA14:$DD14,"Inescapável")&gt;0,"Automático",IF(COUNTIF($DA14:$DD14,"Certeiro")&gt;0,"TR para metade",INDEX($X$2:$X$11,$DH14))))</f>
        <v/>
      </c>
      <c r="FP14" s="141">
        <f>IF(OR($DG14=0,$DH14=0),"",IF(OR($DU14&gt;=2,$EQ14=0),UPPER(LEFT(INDEX($EZ14:$FF14,1,$CX14),1))&amp;MID(INDEX($EZ14:$FF14,1,$CX14),2,99),UPPER(LEFT(INDEX($EZ14:$FF14,1,$CX14),1))&amp;MID(INDEX($EZ14:$FF14,1,$CX14),2,99)&amp;" = "&amp;FLOOR($EQ14*4.5,1)&amp;IF($ER14&gt;0," · +"&amp;$ER14&amp;"d8","")))</f>
        <v/>
      </c>
      <c r="FQ14" s="141">
        <f>COUNTIF($DA14:$DD14,"Longe")+3*COUNTIF($DA14:$DD14,"Muito Longe")</f>
        <v/>
      </c>
      <c r="FR14" s="141">
        <f>COUNTIF($DA14:$DD14,"Maior")+3*COUNTIF($DA14:$DD14,"Muito Maior")</f>
        <v/>
      </c>
      <c r="FS14" s="141">
        <f>IF($DH14=0,0,CHOOSE(1+INDEX($Z$2:$Z$11,$DH14),0,$FQ14,$FR14,$FQ14+$FR14))</f>
        <v/>
      </c>
      <c r="FT14" s="141">
        <f>IF($DH14=0,0,CHOOSE(1+INDEX($AA$2:$AA$11,$DH14),0,$FQ14,$FR14,$FQ14+$FR14))</f>
        <v/>
      </c>
      <c r="FU14" s="141">
        <f>IF(OR($DG14=0,$DH14=0),"",INDEX($AH$2:$AM$31,($DH14-1)*3+IF($CX14&gt;=6,3,2),1+MIN(5,$FS14))&amp;INDEX($AN$2:$AS$31,($DH14-1)*3+IF($CX14&gt;=6,3,2),1+MIN(5,$FT14))&amp;IF(INDEX($AB$2:$AB$11,$DH14)=1,IF(COUNTIF($DA14:$DD14,"Mais Um")&gt;0," · +"&amp;COUNTIF($DA14:$DD14,"Mais Um")&amp;IF(COUNTIF($DA14:$DD14,"Mais Um")&gt;1," alvos"," alvo"),"")&amp;IF(COUNTIF($DA14:$DD14,"Rajada")&gt;0," · "&amp;($CX14+1)&amp;" tiros",""),""))</f>
        <v/>
      </c>
      <c r="FV14" s="141">
        <f>IF($DG14=0,"",3*$CX14&amp;" − "&amp;$EK14&amp;" + "&amp;$EN14&amp;IF($CV14=1," + "&amp;$CX14,"")&amp;" = "&amp;$EQ14&amp;"d8 · teto "&amp;4*$CX14&amp;IF($DT14=1," · a Forma devolve "&amp;$CX14,"")&amp;IF($EO14&gt;0," · perde "&amp;$EO14,""))</f>
        <v/>
      </c>
      <c r="FW14" s="141">
        <f>IF($DG14=0,"",IF($CX14&gt;=$GF$4,"Já está na maior Classe que o nível liberou",TEXTJOIN(" · ",TRUE,IF(AND(2&gt;$CX14,2&lt;=$GF$4),"2 → "&amp;$FA14&amp;", "&amp;IF($CV14=1,9,6)&amp;" PE",""),IF(AND(3&gt;$CX14,3&lt;=$GF$4),"3 → "&amp;$FB14&amp;", "&amp;IF($CV14=1,14,9)&amp;" PE",""),IF(AND(4&gt;$CX14,4&lt;=$GF$4),"4 → "&amp;$FC14&amp;", "&amp;IF($CV14=1,18,12)&amp;" PE",""),IF(AND(5&gt;$CX14,5&lt;=$GF$4),"5 → "&amp;$FD14&amp;", "&amp;IF($CV14=1,23,15)&amp;" PE",""),IF(AND(6&gt;$CX14,6&lt;=$GF$4),"6 → "&amp;$FE14&amp;", "&amp;IF($CV14=1,27,18)&amp;" PE",""),IF(AND(7&gt;$CX14,7&lt;=$GF$4),"7 → "&amp;$FF14&amp;", "&amp;IF($CV14=1,32,21)&amp;" PE",""))))</f>
        <v/>
      </c>
      <c r="FX14" s="141">
        <f>IF(OR($DG14=0,$DJ14=0),"","−"&amp;INDEX($I$2:$N$8,$CX14,$DJ14)&amp;" · "&amp;CHOOSE($DJ14,"Leve","Média","Pesada","Leve · Livre","Média · Livre","Pesada · Livre"))</f>
        <v/>
      </c>
      <c r="FY14" s="141">
        <f>IF(OR($DG14=0,$DK14=0),"","−"&amp;INDEX($I$2:$N$8,$CX14,$DK14)&amp;" · "&amp;CHOOSE($DK14,"Leve","Média","Pesada","Leve · Livre","Média · Livre","Pesada · Livre"))</f>
        <v/>
      </c>
      <c r="FZ14" s="141">
        <f>IF(OR($DG14=0,$DL14=0),"","−"&amp;INDEX($I$2:$N$8,$CX14,$DL14)&amp;" · "&amp;CHOOSE($DL14,"Leve","Média","Pesada","Leve · Livre","Média · Livre","Pesada · Livre"))</f>
        <v/>
      </c>
      <c r="GA14" s="141">
        <f>IF(OR($DG14=0,$DM14=0),"","−"&amp;INDEX($I$2:$N$8,$CX14,$DM14)&amp;" · "&amp;CHOOSE($DM14,"Leve","Média","Pesada","Leve · Livre","Média · Livre","Pesada · Livre"))</f>
        <v/>
      </c>
      <c r="GB14" s="141">
        <f>IF(OR($DG14=0,$DE14=""),"","+"&amp;IF($DW14=1,CEILING($CX14/2,1),$CX14))</f>
        <v/>
      </c>
      <c r="GC14" s="141">
        <f>IF(OR($DG14=0,$DF14=""),"","+"&amp;IF($DX14=1,CEILING($CX14/2,1),$CX14))</f>
        <v/>
      </c>
      <c r="GE14" s="114" t="inlineStr">
        <is>
          <t>espaços</t>
        </is>
      </c>
      <c r="GF14" s="141">
        <f>$GF$12+$GF$13</f>
        <v/>
      </c>
      <c r="HJ14" s="114" t="inlineStr">
        <is>
          <t>M40</t>
        </is>
      </c>
      <c r="HK14" s="141">
        <f>INDEX(DADOS_AM!$H$2:$O$8,DADOS_AM!$GF$29,8)</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41" t="n">
        <v>2</v>
      </c>
      <c r="AX15" s="141">
        <f>$AW15+3*IFERROR(VLOOKUP($AV15,$A$2:$D$10,3,FALSE),0)</f>
        <v/>
      </c>
      <c r="AY15" s="141">
        <f>IFERROR(VLOOKUP($AV15,$A$2:$D$10,4,FALSE),0)</f>
        <v/>
      </c>
      <c r="AZ15" s="141" t="n">
        <v>0</v>
      </c>
      <c r="BA15" s="141">
        <f>IF($AY15=1,"",$AU15)</f>
        <v/>
      </c>
      <c r="BB15" s="141">
        <f>IF(AND($AW15=1,$AY15=0),$AU15,"")</f>
        <v/>
      </c>
      <c r="BD15" s="114" t="inlineStr">
        <is>
          <t>Fraqueza (Média)</t>
        </is>
      </c>
      <c r="BE15" s="114" t="inlineStr">
        <is>
          <t>Fraqueza</t>
        </is>
      </c>
      <c r="BF15" s="141" t="n">
        <v>2</v>
      </c>
      <c r="BG15" s="141" t="n">
        <v>0</v>
      </c>
      <c r="BH15" s="114" t="inlineStr"/>
      <c r="BJ15" s="114" t="inlineStr">
        <is>
          <t>Escama</t>
        </is>
      </c>
      <c r="BK15" s="141"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41" t="n">
        <v>0</v>
      </c>
      <c r="CW15" s="141" t="n">
        <v>14</v>
      </c>
      <c r="CX15" s="141">
        <f>MAX(1,MIN(7,N('FICHA AMALDIÇOADA'!$J$131)))</f>
        <v/>
      </c>
      <c r="CY15" s="141">
        <f>'FICHA AMALDIÇOADA'!$K$131&amp;""</f>
        <v/>
      </c>
      <c r="CZ15" s="141">
        <f>'FICHA AMALDIÇOADA'!$J$138&amp;""</f>
        <v/>
      </c>
      <c r="DA15" s="141">
        <f>'FICHA AMALDIÇOADA'!$K$140&amp;""</f>
        <v/>
      </c>
      <c r="DB15" s="141">
        <f>'FICHA AMALDIÇOADA'!$K$141&amp;""</f>
        <v/>
      </c>
      <c r="DC15" s="141">
        <f>'FICHA AMALDIÇOADA'!$K$142&amp;""</f>
        <v/>
      </c>
      <c r="DD15" s="141">
        <f>'FICHA AMALDIÇOADA'!$K$143&amp;""</f>
        <v/>
      </c>
      <c r="DE15" s="141">
        <f>'FICHA AMALDIÇOADA'!$K$144&amp;""</f>
        <v/>
      </c>
      <c r="DF15" s="141">
        <f>'FICHA AMALDIÇOADA'!$K$145&amp;""</f>
        <v/>
      </c>
      <c r="DG15" s="141">
        <f>IF($CY15&lt;&gt;"",1,0)</f>
        <v/>
      </c>
      <c r="DH15" s="141">
        <f>IFERROR(MATCH($CZ15,$Q$2:$Q$11,0),0)</f>
        <v/>
      </c>
      <c r="DI15" s="141">
        <f>IF($DH15=0,0,INDEX($T$2:$T$11,$DH15))</f>
        <v/>
      </c>
      <c r="DJ15" s="141">
        <f>IFERROR(VLOOKUP($DA15,$AU$2:$BB$84,4,FALSE),0)</f>
        <v/>
      </c>
      <c r="DK15" s="141">
        <f>IFERROR(VLOOKUP($DB15,$AU$2:$BB$84,4,FALSE),0)</f>
        <v/>
      </c>
      <c r="DL15" s="141">
        <f>IFERROR(VLOOKUP($DC15,$AU$2:$BB$84,4,FALSE),0)</f>
        <v/>
      </c>
      <c r="DM15" s="141">
        <f>IFERROR(VLOOKUP($DD15,$AU$2:$BB$84,4,FALSE),0)</f>
        <v/>
      </c>
      <c r="DN15" s="141">
        <f>IF($DH15=0,0,INDEX($U$2:$U$11,$DH15))</f>
        <v/>
      </c>
      <c r="DO15" s="141">
        <f>IFERROR(VLOOKUP($DA15,$AU$2:$BB$84,5,FALSE),0)</f>
        <v/>
      </c>
      <c r="DP15" s="141">
        <f>IFERROR(VLOOKUP($DB15,$AU$2:$BB$84,5,FALSE),0)</f>
        <v/>
      </c>
      <c r="DQ15" s="141">
        <f>IFERROR(VLOOKUP($DC15,$AU$2:$BB$84,5,FALSE),0)</f>
        <v/>
      </c>
      <c r="DR15" s="141">
        <f>IFERROR(VLOOKUP($DD15,$AU$2:$BB$84,5,FALSE),0)</f>
        <v/>
      </c>
      <c r="DS15" s="141">
        <f>IFERROR(VLOOKUP($DA15,$AU$2:$BB$84,6,FALSE),0)+IFERROR(VLOOKUP($DB15,$AU$2:$BB$84,6,FALSE),0)+IFERROR(VLOOKUP($DC15,$AU$2:$BB$84,6,FALSE),0)+IFERROR(VLOOKUP($DD15,$AU$2:$BB$84,6,FALSE),0)</f>
        <v/>
      </c>
      <c r="DT15" s="141">
        <f>IF($DH15=0,0,INDEX($V$2:$V$11,$DH15))</f>
        <v/>
      </c>
      <c r="DU15" s="141">
        <f>IF($DH15=0,0,INDEX($W$2:$W$11,$DH15))</f>
        <v/>
      </c>
      <c r="DV15" s="141">
        <f>IF($DH15=0,0,INDEX($Y$2:$Y$11,$DH15))</f>
        <v/>
      </c>
      <c r="DW15" s="141">
        <f>IFERROR(VLOOKUP($DE15,$BD$2:$BH$24,3,FALSE),0)</f>
        <v/>
      </c>
      <c r="DX15" s="141">
        <f>IFERROR(VLOOKUP($DF15,$BD$2:$BH$24,3,FALSE),0)</f>
        <v/>
      </c>
      <c r="DY15" s="141">
        <f>IFERROR(VLOOKUP($DE15,$BD$2:$BH$24,2,FALSE),"")</f>
        <v/>
      </c>
      <c r="DZ15" s="141">
        <f>IFERROR(VLOOKUP($DF15,$BD$2:$BH$24,2,FALSE),"")</f>
        <v/>
      </c>
      <c r="EA15" s="141">
        <f>COUNTIF($DI15:$DM15,1)</f>
        <v/>
      </c>
      <c r="EB15" s="141">
        <f>COUNTIF($DI15:$DM15,2)</f>
        <v/>
      </c>
      <c r="EC15" s="141">
        <f>COUNTIF($DI15:$DM15,3)</f>
        <v/>
      </c>
      <c r="ED15" s="141">
        <f>COUNTIF($DI15:$DM15,4)</f>
        <v/>
      </c>
      <c r="EE15" s="141">
        <f>COUNTIF($DI15:$DM15,5)</f>
        <v/>
      </c>
      <c r="EF15" s="141">
        <f>COUNTIF($DI15:$DM15,6)</f>
        <v/>
      </c>
      <c r="EG15" s="141">
        <f>COUNTIF($DW15:$DX15,1)</f>
        <v/>
      </c>
      <c r="EH15" s="141">
        <f>COUNTIF($DW15:$DX15,2)+$DT15</f>
        <v/>
      </c>
      <c r="EI15" s="141">
        <f>COUNTIF($DA15:$DD15,"?*")</f>
        <v/>
      </c>
      <c r="EJ15" s="141">
        <f>COUNTIF($DE15:$DF15,"?*")+$DT15</f>
        <v/>
      </c>
      <c r="EK15" s="141">
        <f>SUMPRODUCT($EA15:$EF15,INDEX($I$2:$N$8,$CX15,0))</f>
        <v/>
      </c>
      <c r="EL15" s="141">
        <f>$EG15*CEILING($CX15/2,1)+$EH15*$CX15</f>
        <v/>
      </c>
      <c r="EM15" s="141">
        <f>MIN(2*$CX15,$EL15)</f>
        <v/>
      </c>
      <c r="EN15" s="141">
        <f>MIN($EM15,$EK15)</f>
        <v/>
      </c>
      <c r="EO15" s="141">
        <f>$EM15-$EN15</f>
        <v/>
      </c>
      <c r="EP15" s="141">
        <f>3*$CX15-$EK15+$EN15</f>
        <v/>
      </c>
      <c r="EQ15" s="141">
        <f>MAX(0,$EP15)+$CV15*$CX15</f>
        <v/>
      </c>
      <c r="ER15" s="141">
        <f>(IF(COUNTIF($DA15:$DD15,"Salto")&gt;0,1,0)+IF(COUNTIF($DA15:$DD15,"Queima")&gt;0,1,0))*FLOOR($EQ15/2,1)</f>
        <v/>
      </c>
      <c r="ES15" s="141">
        <f>MAX(0,3-SUMPRODUCT($EA15:$EF15,$I$2:$N$2)+MIN(2,$EG15*1+$EH15*1,SUMPRODUCT($EA15:$EF15,$I$2:$N$2)))+$CV15*1</f>
        <v/>
      </c>
      <c r="ET15" s="141">
        <f>MAX(0,6-SUMPRODUCT($EA15:$EF15,$I$3:$N$3)+MIN(4,$EG15*1+$EH15*2,SUMPRODUCT($EA15:$EF15,$I$3:$N$3)))+$CV15*2</f>
        <v/>
      </c>
      <c r="EU15" s="141">
        <f>MAX(0,9-SUMPRODUCT($EA15:$EF15,$I$4:$N$4)+MIN(6,$EG15*2+$EH15*3,SUMPRODUCT($EA15:$EF15,$I$4:$N$4)))+$CV15*3</f>
        <v/>
      </c>
      <c r="EV15" s="141">
        <f>MAX(0,12-SUMPRODUCT($EA15:$EF15,$I$5:$N$5)+MIN(8,$EG15*2+$EH15*4,SUMPRODUCT($EA15:$EF15,$I$5:$N$5)))+$CV15*4</f>
        <v/>
      </c>
      <c r="EW15" s="141">
        <f>MAX(0,15-SUMPRODUCT($EA15:$EF15,$I$6:$N$6)+MIN(10,$EG15*3+$EH15*5,SUMPRODUCT($EA15:$EF15,$I$6:$N$6)))+$CV15*5</f>
        <v/>
      </c>
      <c r="EX15" s="141">
        <f>MAX(0,18-SUMPRODUCT($EA15:$EF15,$I$7:$N$7)+MIN(12,$EG15*3+$EH15*6,SUMPRODUCT($EA15:$EF15,$I$7:$N$7)))+$CV15*6</f>
        <v/>
      </c>
      <c r="EY15" s="141">
        <f>MAX(0,21-SUMPRODUCT($EA15:$EF15,$I$8:$N$8)+MIN(14,$EG15*4+$EH15*7,SUMPRODUCT($EA15:$EF15,$I$8:$N$8)))+$CV15*7</f>
        <v/>
      </c>
      <c r="EZ15" s="141">
        <f>IF($DU15=2,3*$ES15&amp;" de vida temp.",IF($DU15=3,"sem dano",IF($ES15=0,IF($DU15=1,"sem cura","sem dano"),IF($DU15=1,"cura ","")&amp;$ES15&amp;"d8")))</f>
        <v/>
      </c>
      <c r="FA15" s="141">
        <f>IF($DU15=2,3*$ET15&amp;" de vida temp.",IF($DU15=3,"sem dano",IF($ET15=0,IF($DU15=1,"sem cura","sem dano"),IF($DU15=1,"cura ","")&amp;$ET15&amp;"d8")))</f>
        <v/>
      </c>
      <c r="FB15" s="141">
        <f>IF($DU15=2,3*$EU15&amp;" de vida temp.",IF($DU15=3,"sem dano",IF($EU15=0,IF($DU15=1,"sem cura","sem dano"),IF($DU15=1,"cura ","")&amp;$EU15&amp;"d8")))</f>
        <v/>
      </c>
      <c r="FC15" s="141">
        <f>IF($DU15=2,3*$EV15&amp;" de vida temp.",IF($DU15=3,"sem dano",IF($EV15=0,IF($DU15=1,"sem cura","sem dano"),IF($DU15=1,"cura ","")&amp;$EV15&amp;"d8")))</f>
        <v/>
      </c>
      <c r="FD15" s="141">
        <f>IF($DU15=2,3*$EW15&amp;" de vida temp.",IF($DU15=3,"sem dano",IF($EW15=0,IF($DU15=1,"sem cura","sem dano"),IF($DU15=1,"cura ","")&amp;$EW15&amp;"d8")))</f>
        <v/>
      </c>
      <c r="FE15" s="141">
        <f>IF($DU15=2,3*$EX15&amp;" de vida temp.",IF($DU15=3,"sem dano",IF($EX15=0,IF($DU15=1,"sem cura","sem dano"),IF($DU15=1,"cura ","")&amp;$EX15&amp;"d8")))</f>
        <v/>
      </c>
      <c r="FF15" s="141">
        <f>IF($DU15=2,3*$EY15&amp;" de vida temp.",IF($DU15=3,"sem dano",IF($EY15=0,IF($DU15=1,"sem cura","sem dano"),IF($DU15=1,"cura ","")&amp;$EY15&amp;"d8")))</f>
        <v/>
      </c>
      <c r="FG15" s="141">
        <f>IF($DG15=0,"",TEXTJOIN(" · ",TRUE,IF(AND($CV15=1,$CW15&gt;$GF$9),"O nível "&amp;$GF$2&amp;" dá "&amp;$GF$9&amp;" Liberação Máxima",""),IF($CX15&gt;$GF$4,"Classe "&amp;$CX15&amp;": o nível "&amp;$GF$2&amp;" libera até a "&amp;$GF$4,""),IF($DN15=1,"Família Fechada: a Forma "&amp;$CZ15,""),IF($DO15=1,"Família Fechada: "&amp;$DA15,""),IF($DP15=1,"Família Fechada: "&amp;$DB15,""),IF($DQ15=1,"Família Fechada: "&amp;$DC15,""),IF($DR15=1,"Família Fechada: "&amp;$DD15,""),IF($EI15&gt;INDEX($O$2:$O$8,$CX15),$EI15&amp;" Melhorias: a Classe "&amp;$CX15&amp;" aceita "&amp;INDEX($O$2:$O$8,$CX15),""),IF($EJ15&gt;2,$EJ15&amp;" Restrições"&amp;IF($DT15=1,", contando a que a Forma "&amp;$CZ15&amp;" já traz","")&amp;": o limite é 2",""),IF($EP15&lt;0,"Orçamento estourado: faltam "&amp;(-$EP15)&amp;IF($EP15&lt;-1," pontos"," ponto"),""),IF(IFERROR(VLOOKUP($DE15,$BD$2:$BH$24,4,FALSE),0)+IFERROR(VLOOKUP($DF15,$BD$2:$BH$24,4,FALSE),0)&gt;1,$DY15&amp;" e "&amp;$DZ15&amp;" são as duas de frequência",""),IF(AND((COUNTIF($DA15:$DD15,"Rápido")+COUNTIF($DY15:$DZ15,"Rápido"))&gt;0,(COUNTIF($DA15:$DD15,"Reação")+COUNTIF($DY15:$DZ15,"Reação"))&gt;0),"Rápido não entra com Reação",""),IF(AND((COUNTIF($DA15:$DD15,"Rápido")+COUNTIF($DY15:$DZ15,"Rápido"))&gt;0,(COUNTIF($DA15:$DD15,"Atrasar")+COUNTIF($DY15:$DZ15,"Atrasar"))&gt;0),"Rápido não entra com Atrasar",""),IF(AND((COUNTIF($DA15:$DD15,"Reação")+COUNTIF($DY15:$DZ15,"Reação"))&gt;0,(COUNTIF($DA15:$DD15,"Atrasar")+COUNTIF($DY15:$DZ15,"Atrasar"))&gt;0),"Reação não entra com Atrasar",""),IF(AND((COUNTIF($DA15:$DD15,"Reação")+COUNTIF($DY15:$DZ15,"Reação"))&gt;0,(COUNTIF($DA15:$DD15,"Parado")+COUNTIF($DY15:$DZ15,"Parado"))&gt;0),"Reação não entra com Parado",""),IF(AND(COUNTIF($DY15:$DZ15,"Corpo a Corpo")&gt;0,$DT15=0,OR($CZ15="Cone",$CZ15="Linha")),"Corpo a Corpo não entra em "&amp;$CZ15,""),IF(AND(COUNTIF($DY15:$DZ15,"Corpo a Corpo")&gt;0,$DT15=1),"A Forma "&amp;$CZ15&amp;" já traz o Corpo a Corpo",""),IF(AND(COUNTIF($DY15:$DZ15,"Tudo ou Nada")&gt;0,$DV15=0),"Tudo ou Nada só entra em feitiço de Teste de Resistência",""),IF(AND(COUNTIF($DA15:$DD15,"Inescapável")&gt;0,OR($EI15&gt;1,$EJ15&gt;0)),"Inescapável não aceita outra peça",""),IF(AND($CV15=1,$CX15&lt;3),"Liberação Máxima é de Classe 3 ou mais",""),IF(AND($CV15=1,OR($DU15=1,$DU15=2)),"Liberação Máxima não serve para cura",""),IF(AND($CV15=1,COUNTIF($DA15:$DD15,"Inescapável")+COUNTIF($DA15:$DD15,"Toca a Alma")&gt;0),"Esta peça não entra numa Liberação Máxima",""),IF($EQ15+$ER15&gt;4*$CX15,($EQ15+$ER15)&amp;" dados somando alvos e repetições: o teto da Classe "&amp;$CX15&amp;" é "&amp;4*$CX15,"")))</f>
        <v/>
      </c>
      <c r="FH15" s="141">
        <f>IF($FG15="",0,(LEN($FG15)-LEN(SUBSTITUTE($FG15," · ","")))/3+1)</f>
        <v/>
      </c>
      <c r="FI15" s="141">
        <f>IF($DG15=0,"",TEXTJOIN(" · ",TRUE,IF($EL15&gt;2*$CX15,"A devolução parou no teto de "&amp;2*$CX15,""),IF($EO15&gt;0,"Devolução perdida: "&amp;$EO15&amp;IF($EO15&gt;1," pontos"," ponto")&amp;" sem peça para pagar",""),IF(AND($DS15&gt;0,$EQ15=0),"Controle sem dano: uma rodada a mais e CD +2",""),IF(AND($DS15&gt;0,$EQ15&gt;0,$EQ15&lt;=$CX15),"Controle com um quarto do teto: uma rodada a mais","")))</f>
        <v/>
      </c>
      <c r="FJ15" s="141">
        <f>IF($FI15="",0,(LEN($FI15)-LEN(SUBSTITUTE($FI15," · ","")))/3+1)</f>
        <v/>
      </c>
      <c r="FK15" s="141">
        <f>IF($DG15=0,IF($EI15+$EJ15-$DT15&gt;0,"Dê um nome",""),IF($FH15&gt;0,"⚠ "&amp;$FH15&amp;IF($FH15&gt;1," erros"," erro"),IF($FJ15&gt;0,"! "&amp;$FJ15&amp;IF($FJ15&gt;1," avisos"," aviso"),"Na regra")))</f>
        <v/>
      </c>
      <c r="FL15" s="141">
        <f>IF($DG15=0,"",IF($FH15+$FJ15=0,"Dentro das regras que a ficha confere",$FG15&amp;IF(AND($FH15&gt;0,$FJ15&gt;0)," · ","")&amp;$FI15))</f>
        <v/>
      </c>
      <c r="FM15" s="141">
        <f>IF($DG15=0,"",IF($CV15=1,CEILING(4.5*$CX15,1),3*$CX15)&amp;" PE")</f>
        <v/>
      </c>
      <c r="FN15" s="141">
        <f>IF($DG15=0,"",IF($CV15=1,"Rodada inteira",IF(COUNTIF($DY15:$DZ15,"Atrasar")&gt;0,IF(COUNTIF($DY15:$DZ15,"Carregar")&gt;0,"Rodada +1 turno","Rodada inteira"),IF(COUNTIF($DA15:$DD15,"Rápido")&gt;0,"Bônus",IF(COUNTIF($DA15:$DD15,"Reação")&gt;0,"Reação","Padrão"))&amp;IF(COUNTIF($DY15:$DZ15,"Carregar")&gt;0," +1 turno",""))))</f>
        <v/>
      </c>
      <c r="FO15" s="141">
        <f>IF(OR($DG15=0,$DH15=0),"",IF(COUNTIF($DA15:$DD15,"Inescapável")&gt;0,"Automático",IF(COUNTIF($DA15:$DD15,"Certeiro")&gt;0,"TR para metade",INDEX($X$2:$X$11,$DH15))))</f>
        <v/>
      </c>
      <c r="FP15" s="141">
        <f>IF(OR($DG15=0,$DH15=0),"",IF(OR($DU15&gt;=2,$EQ15=0),UPPER(LEFT(INDEX($EZ15:$FF15,1,$CX15),1))&amp;MID(INDEX($EZ15:$FF15,1,$CX15),2,99),UPPER(LEFT(INDEX($EZ15:$FF15,1,$CX15),1))&amp;MID(INDEX($EZ15:$FF15,1,$CX15),2,99)&amp;" = "&amp;FLOOR($EQ15*4.5,1)&amp;IF($ER15&gt;0," · +"&amp;$ER15&amp;"d8","")))</f>
        <v/>
      </c>
      <c r="FQ15" s="141">
        <f>COUNTIF($DA15:$DD15,"Longe")+3*COUNTIF($DA15:$DD15,"Muito Longe")</f>
        <v/>
      </c>
      <c r="FR15" s="141">
        <f>COUNTIF($DA15:$DD15,"Maior")+3*COUNTIF($DA15:$DD15,"Muito Maior")</f>
        <v/>
      </c>
      <c r="FS15" s="141">
        <f>IF($DH15=0,0,CHOOSE(1+INDEX($Z$2:$Z$11,$DH15),0,$FQ15,$FR15,$FQ15+$FR15))</f>
        <v/>
      </c>
      <c r="FT15" s="141">
        <f>IF($DH15=0,0,CHOOSE(1+INDEX($AA$2:$AA$11,$DH15),0,$FQ15,$FR15,$FQ15+$FR15))</f>
        <v/>
      </c>
      <c r="FU15" s="141">
        <f>IF(OR($DG15=0,$DH15=0),"",INDEX($AH$2:$AM$31,($DH15-1)*3+IF($CX15&gt;=6,3,2),1+MIN(5,$FS15))&amp;INDEX($AN$2:$AS$31,($DH15-1)*3+IF($CX15&gt;=6,3,2),1+MIN(5,$FT15))&amp;IF(INDEX($AB$2:$AB$11,$DH15)=1,IF(COUNTIF($DA15:$DD15,"Mais Um")&gt;0," · +"&amp;COUNTIF($DA15:$DD15,"Mais Um")&amp;IF(COUNTIF($DA15:$DD15,"Mais Um")&gt;1," alvos"," alvo"),"")&amp;IF(COUNTIF($DA15:$DD15,"Rajada")&gt;0," · "&amp;($CX15+1)&amp;" tiros",""),""))</f>
        <v/>
      </c>
      <c r="FV15" s="141">
        <f>IF($DG15=0,"",3*$CX15&amp;" − "&amp;$EK15&amp;" + "&amp;$EN15&amp;IF($CV15=1," + "&amp;$CX15,"")&amp;" = "&amp;$EQ15&amp;"d8 · teto "&amp;4*$CX15&amp;IF($DT15=1," · a Forma devolve "&amp;$CX15,"")&amp;IF($EO15&gt;0," · perde "&amp;$EO15,""))</f>
        <v/>
      </c>
      <c r="FW15" s="141">
        <f>IF($DG15=0,"",IF($CX15&gt;=$GF$4,"Já está na maior Classe que o nível liberou",TEXTJOIN(" · ",TRUE,IF(AND(2&gt;$CX15,2&lt;=$GF$4),"2 → "&amp;$FA15&amp;", "&amp;IF($CV15=1,9,6)&amp;" PE",""),IF(AND(3&gt;$CX15,3&lt;=$GF$4),"3 → "&amp;$FB15&amp;", "&amp;IF($CV15=1,14,9)&amp;" PE",""),IF(AND(4&gt;$CX15,4&lt;=$GF$4),"4 → "&amp;$FC15&amp;", "&amp;IF($CV15=1,18,12)&amp;" PE",""),IF(AND(5&gt;$CX15,5&lt;=$GF$4),"5 → "&amp;$FD15&amp;", "&amp;IF($CV15=1,23,15)&amp;" PE",""),IF(AND(6&gt;$CX15,6&lt;=$GF$4),"6 → "&amp;$FE15&amp;", "&amp;IF($CV15=1,27,18)&amp;" PE",""),IF(AND(7&gt;$CX15,7&lt;=$GF$4),"7 → "&amp;$FF15&amp;", "&amp;IF($CV15=1,32,21)&amp;" PE",""))))</f>
        <v/>
      </c>
      <c r="FX15" s="141">
        <f>IF(OR($DG15=0,$DJ15=0),"","−"&amp;INDEX($I$2:$N$8,$CX15,$DJ15)&amp;" · "&amp;CHOOSE($DJ15,"Leve","Média","Pesada","Leve · Livre","Média · Livre","Pesada · Livre"))</f>
        <v/>
      </c>
      <c r="FY15" s="141">
        <f>IF(OR($DG15=0,$DK15=0),"","−"&amp;INDEX($I$2:$N$8,$CX15,$DK15)&amp;" · "&amp;CHOOSE($DK15,"Leve","Média","Pesada","Leve · Livre","Média · Livre","Pesada · Livre"))</f>
        <v/>
      </c>
      <c r="FZ15" s="141">
        <f>IF(OR($DG15=0,$DL15=0),"","−"&amp;INDEX($I$2:$N$8,$CX15,$DL15)&amp;" · "&amp;CHOOSE($DL15,"Leve","Média","Pesada","Leve · Livre","Média · Livre","Pesada · Livre"))</f>
        <v/>
      </c>
      <c r="GA15" s="141">
        <f>IF(OR($DG15=0,$DM15=0),"","−"&amp;INDEX($I$2:$N$8,$CX15,$DM15)&amp;" · "&amp;CHOOSE($DM15,"Leve","Média","Pesada","Leve · Livre","Média · Livre","Pesada · Livre"))</f>
        <v/>
      </c>
      <c r="GB15" s="141">
        <f>IF(OR($DG15=0,$DE15=""),"","+"&amp;IF($DW15=1,CEILING($CX15/2,1),$CX15))</f>
        <v/>
      </c>
      <c r="GC15" s="141">
        <f>IF(OR($DG15=0,$DF15=""),"","+"&amp;IF($DX15=1,CEILING($CX15/2,1),$CX15))</f>
        <v/>
      </c>
      <c r="GE15" s="114" t="inlineStr">
        <is>
          <t>feitiços montados</t>
        </is>
      </c>
      <c r="GF15" s="141">
        <f>SUM($DG$2:$DG$37)</f>
        <v/>
      </c>
      <c r="HJ15" s="114" t="inlineStr">
        <is>
          <t>P40</t>
        </is>
      </c>
      <c r="HK15" s="141">
        <f>DADOS_AM!$GF$10&amp;" feitiços grátis · "&amp;DADOS_AM!$GF$11&amp;"d8 cada"</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41" t="n">
        <v>1</v>
      </c>
      <c r="AX16" s="141">
        <f>$AW16+3*IFERROR(VLOOKUP($AV16,$A$2:$D$10,3,FALSE),0)</f>
        <v/>
      </c>
      <c r="AY16" s="141">
        <f>IFERROR(VLOOKUP($AV16,$A$2:$D$10,4,FALSE),0)</f>
        <v/>
      </c>
      <c r="AZ16" s="141" t="n">
        <v>0</v>
      </c>
      <c r="BA16" s="141">
        <f>IF($AY16=1,"",$AU16)</f>
        <v/>
      </c>
      <c r="BB16" s="141">
        <f>IF(AND($AW16=1,$AY16=0),$AU16,"")</f>
        <v/>
      </c>
      <c r="BD16" s="114" t="inlineStr">
        <is>
          <t>Frágil</t>
        </is>
      </c>
      <c r="BE16" s="114" t="inlineStr">
        <is>
          <t>Frágil</t>
        </is>
      </c>
      <c r="BF16" s="141" t="n">
        <v>1</v>
      </c>
      <c r="BG16" s="141" t="n">
        <v>0</v>
      </c>
      <c r="BH16" s="114" t="inlineStr">
        <is>
          <t>Frágil</t>
        </is>
      </c>
      <c r="BJ16" s="114" t="inlineStr">
        <is>
          <t>Afinidade</t>
        </is>
      </c>
      <c r="BK16" s="141"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41"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41" t="n">
        <v>0</v>
      </c>
      <c r="CW16" s="141" t="n">
        <v>15</v>
      </c>
      <c r="CX16" s="141">
        <f>MAX(1,MIN(7,N('FICHA AMALDIÇOADA'!$P$131)))</f>
        <v/>
      </c>
      <c r="CY16" s="141">
        <f>'FICHA AMALDIÇOADA'!$Q$131&amp;""</f>
        <v/>
      </c>
      <c r="CZ16" s="141">
        <f>'FICHA AMALDIÇOADA'!$P$138&amp;""</f>
        <v/>
      </c>
      <c r="DA16" s="141">
        <f>'FICHA AMALDIÇOADA'!$Q$140&amp;""</f>
        <v/>
      </c>
      <c r="DB16" s="141">
        <f>'FICHA AMALDIÇOADA'!$Q$141&amp;""</f>
        <v/>
      </c>
      <c r="DC16" s="141">
        <f>'FICHA AMALDIÇOADA'!$Q$142&amp;""</f>
        <v/>
      </c>
      <c r="DD16" s="141">
        <f>'FICHA AMALDIÇOADA'!$Q$143&amp;""</f>
        <v/>
      </c>
      <c r="DE16" s="141">
        <f>'FICHA AMALDIÇOADA'!$Q$144&amp;""</f>
        <v/>
      </c>
      <c r="DF16" s="141">
        <f>'FICHA AMALDIÇOADA'!$Q$145&amp;""</f>
        <v/>
      </c>
      <c r="DG16" s="141">
        <f>IF($CY16&lt;&gt;"",1,0)</f>
        <v/>
      </c>
      <c r="DH16" s="141">
        <f>IFERROR(MATCH($CZ16,$Q$2:$Q$11,0),0)</f>
        <v/>
      </c>
      <c r="DI16" s="141">
        <f>IF($DH16=0,0,INDEX($T$2:$T$11,$DH16))</f>
        <v/>
      </c>
      <c r="DJ16" s="141">
        <f>IFERROR(VLOOKUP($DA16,$AU$2:$BB$84,4,FALSE),0)</f>
        <v/>
      </c>
      <c r="DK16" s="141">
        <f>IFERROR(VLOOKUP($DB16,$AU$2:$BB$84,4,FALSE),0)</f>
        <v/>
      </c>
      <c r="DL16" s="141">
        <f>IFERROR(VLOOKUP($DC16,$AU$2:$BB$84,4,FALSE),0)</f>
        <v/>
      </c>
      <c r="DM16" s="141">
        <f>IFERROR(VLOOKUP($DD16,$AU$2:$BB$84,4,FALSE),0)</f>
        <v/>
      </c>
      <c r="DN16" s="141">
        <f>IF($DH16=0,0,INDEX($U$2:$U$11,$DH16))</f>
        <v/>
      </c>
      <c r="DO16" s="141">
        <f>IFERROR(VLOOKUP($DA16,$AU$2:$BB$84,5,FALSE),0)</f>
        <v/>
      </c>
      <c r="DP16" s="141">
        <f>IFERROR(VLOOKUP($DB16,$AU$2:$BB$84,5,FALSE),0)</f>
        <v/>
      </c>
      <c r="DQ16" s="141">
        <f>IFERROR(VLOOKUP($DC16,$AU$2:$BB$84,5,FALSE),0)</f>
        <v/>
      </c>
      <c r="DR16" s="141">
        <f>IFERROR(VLOOKUP($DD16,$AU$2:$BB$84,5,FALSE),0)</f>
        <v/>
      </c>
      <c r="DS16" s="141">
        <f>IFERROR(VLOOKUP($DA16,$AU$2:$BB$84,6,FALSE),0)+IFERROR(VLOOKUP($DB16,$AU$2:$BB$84,6,FALSE),0)+IFERROR(VLOOKUP($DC16,$AU$2:$BB$84,6,FALSE),0)+IFERROR(VLOOKUP($DD16,$AU$2:$BB$84,6,FALSE),0)</f>
        <v/>
      </c>
      <c r="DT16" s="141">
        <f>IF($DH16=0,0,INDEX($V$2:$V$11,$DH16))</f>
        <v/>
      </c>
      <c r="DU16" s="141">
        <f>IF($DH16=0,0,INDEX($W$2:$W$11,$DH16))</f>
        <v/>
      </c>
      <c r="DV16" s="141">
        <f>IF($DH16=0,0,INDEX($Y$2:$Y$11,$DH16))</f>
        <v/>
      </c>
      <c r="DW16" s="141">
        <f>IFERROR(VLOOKUP($DE16,$BD$2:$BH$24,3,FALSE),0)</f>
        <v/>
      </c>
      <c r="DX16" s="141">
        <f>IFERROR(VLOOKUP($DF16,$BD$2:$BH$24,3,FALSE),0)</f>
        <v/>
      </c>
      <c r="DY16" s="141">
        <f>IFERROR(VLOOKUP($DE16,$BD$2:$BH$24,2,FALSE),"")</f>
        <v/>
      </c>
      <c r="DZ16" s="141">
        <f>IFERROR(VLOOKUP($DF16,$BD$2:$BH$24,2,FALSE),"")</f>
        <v/>
      </c>
      <c r="EA16" s="141">
        <f>COUNTIF($DI16:$DM16,1)</f>
        <v/>
      </c>
      <c r="EB16" s="141">
        <f>COUNTIF($DI16:$DM16,2)</f>
        <v/>
      </c>
      <c r="EC16" s="141">
        <f>COUNTIF($DI16:$DM16,3)</f>
        <v/>
      </c>
      <c r="ED16" s="141">
        <f>COUNTIF($DI16:$DM16,4)</f>
        <v/>
      </c>
      <c r="EE16" s="141">
        <f>COUNTIF($DI16:$DM16,5)</f>
        <v/>
      </c>
      <c r="EF16" s="141">
        <f>COUNTIF($DI16:$DM16,6)</f>
        <v/>
      </c>
      <c r="EG16" s="141">
        <f>COUNTIF($DW16:$DX16,1)</f>
        <v/>
      </c>
      <c r="EH16" s="141">
        <f>COUNTIF($DW16:$DX16,2)+$DT16</f>
        <v/>
      </c>
      <c r="EI16" s="141">
        <f>COUNTIF($DA16:$DD16,"?*")</f>
        <v/>
      </c>
      <c r="EJ16" s="141">
        <f>COUNTIF($DE16:$DF16,"?*")+$DT16</f>
        <v/>
      </c>
      <c r="EK16" s="141">
        <f>SUMPRODUCT($EA16:$EF16,INDEX($I$2:$N$8,$CX16,0))</f>
        <v/>
      </c>
      <c r="EL16" s="141">
        <f>$EG16*CEILING($CX16/2,1)+$EH16*$CX16</f>
        <v/>
      </c>
      <c r="EM16" s="141">
        <f>MIN(2*$CX16,$EL16)</f>
        <v/>
      </c>
      <c r="EN16" s="141">
        <f>MIN($EM16,$EK16)</f>
        <v/>
      </c>
      <c r="EO16" s="141">
        <f>$EM16-$EN16</f>
        <v/>
      </c>
      <c r="EP16" s="141">
        <f>3*$CX16-$EK16+$EN16</f>
        <v/>
      </c>
      <c r="EQ16" s="141">
        <f>MAX(0,$EP16)+$CV16*$CX16</f>
        <v/>
      </c>
      <c r="ER16" s="141">
        <f>(IF(COUNTIF($DA16:$DD16,"Salto")&gt;0,1,0)+IF(COUNTIF($DA16:$DD16,"Queima")&gt;0,1,0))*FLOOR($EQ16/2,1)</f>
        <v/>
      </c>
      <c r="ES16" s="141">
        <f>MAX(0,3-SUMPRODUCT($EA16:$EF16,$I$2:$N$2)+MIN(2,$EG16*1+$EH16*1,SUMPRODUCT($EA16:$EF16,$I$2:$N$2)))+$CV16*1</f>
        <v/>
      </c>
      <c r="ET16" s="141">
        <f>MAX(0,6-SUMPRODUCT($EA16:$EF16,$I$3:$N$3)+MIN(4,$EG16*1+$EH16*2,SUMPRODUCT($EA16:$EF16,$I$3:$N$3)))+$CV16*2</f>
        <v/>
      </c>
      <c r="EU16" s="141">
        <f>MAX(0,9-SUMPRODUCT($EA16:$EF16,$I$4:$N$4)+MIN(6,$EG16*2+$EH16*3,SUMPRODUCT($EA16:$EF16,$I$4:$N$4)))+$CV16*3</f>
        <v/>
      </c>
      <c r="EV16" s="141">
        <f>MAX(0,12-SUMPRODUCT($EA16:$EF16,$I$5:$N$5)+MIN(8,$EG16*2+$EH16*4,SUMPRODUCT($EA16:$EF16,$I$5:$N$5)))+$CV16*4</f>
        <v/>
      </c>
      <c r="EW16" s="141">
        <f>MAX(0,15-SUMPRODUCT($EA16:$EF16,$I$6:$N$6)+MIN(10,$EG16*3+$EH16*5,SUMPRODUCT($EA16:$EF16,$I$6:$N$6)))+$CV16*5</f>
        <v/>
      </c>
      <c r="EX16" s="141">
        <f>MAX(0,18-SUMPRODUCT($EA16:$EF16,$I$7:$N$7)+MIN(12,$EG16*3+$EH16*6,SUMPRODUCT($EA16:$EF16,$I$7:$N$7)))+$CV16*6</f>
        <v/>
      </c>
      <c r="EY16" s="141">
        <f>MAX(0,21-SUMPRODUCT($EA16:$EF16,$I$8:$N$8)+MIN(14,$EG16*4+$EH16*7,SUMPRODUCT($EA16:$EF16,$I$8:$N$8)))+$CV16*7</f>
        <v/>
      </c>
      <c r="EZ16" s="141">
        <f>IF($DU16=2,3*$ES16&amp;" de vida temp.",IF($DU16=3,"sem dano",IF($ES16=0,IF($DU16=1,"sem cura","sem dano"),IF($DU16=1,"cura ","")&amp;$ES16&amp;"d8")))</f>
        <v/>
      </c>
      <c r="FA16" s="141">
        <f>IF($DU16=2,3*$ET16&amp;" de vida temp.",IF($DU16=3,"sem dano",IF($ET16=0,IF($DU16=1,"sem cura","sem dano"),IF($DU16=1,"cura ","")&amp;$ET16&amp;"d8")))</f>
        <v/>
      </c>
      <c r="FB16" s="141">
        <f>IF($DU16=2,3*$EU16&amp;" de vida temp.",IF($DU16=3,"sem dano",IF($EU16=0,IF($DU16=1,"sem cura","sem dano"),IF($DU16=1,"cura ","")&amp;$EU16&amp;"d8")))</f>
        <v/>
      </c>
      <c r="FC16" s="141">
        <f>IF($DU16=2,3*$EV16&amp;" de vida temp.",IF($DU16=3,"sem dano",IF($EV16=0,IF($DU16=1,"sem cura","sem dano"),IF($DU16=1,"cura ","")&amp;$EV16&amp;"d8")))</f>
        <v/>
      </c>
      <c r="FD16" s="141">
        <f>IF($DU16=2,3*$EW16&amp;" de vida temp.",IF($DU16=3,"sem dano",IF($EW16=0,IF($DU16=1,"sem cura","sem dano"),IF($DU16=1,"cura ","")&amp;$EW16&amp;"d8")))</f>
        <v/>
      </c>
      <c r="FE16" s="141">
        <f>IF($DU16=2,3*$EX16&amp;" de vida temp.",IF($DU16=3,"sem dano",IF($EX16=0,IF($DU16=1,"sem cura","sem dano"),IF($DU16=1,"cura ","")&amp;$EX16&amp;"d8")))</f>
        <v/>
      </c>
      <c r="FF16" s="141">
        <f>IF($DU16=2,3*$EY16&amp;" de vida temp.",IF($DU16=3,"sem dano",IF($EY16=0,IF($DU16=1,"sem cura","sem dano"),IF($DU16=1,"cura ","")&amp;$EY16&amp;"d8")))</f>
        <v/>
      </c>
      <c r="FG16" s="141">
        <f>IF($DG16=0,"",TEXTJOIN(" · ",TRUE,IF(AND($CV16=1,$CW16&gt;$GF$9),"O nível "&amp;$GF$2&amp;" dá "&amp;$GF$9&amp;" Liberação Máxima",""),IF($CX16&gt;$GF$4,"Classe "&amp;$CX16&amp;": o nível "&amp;$GF$2&amp;" libera até a "&amp;$GF$4,""),IF($DN16=1,"Família Fechada: a Forma "&amp;$CZ16,""),IF($DO16=1,"Família Fechada: "&amp;$DA16,""),IF($DP16=1,"Família Fechada: "&amp;$DB16,""),IF($DQ16=1,"Família Fechada: "&amp;$DC16,""),IF($DR16=1,"Família Fechada: "&amp;$DD16,""),IF($EI16&gt;INDEX($O$2:$O$8,$CX16),$EI16&amp;" Melhorias: a Classe "&amp;$CX16&amp;" aceita "&amp;INDEX($O$2:$O$8,$CX16),""),IF($EJ16&gt;2,$EJ16&amp;" Restrições"&amp;IF($DT16=1,", contando a que a Forma "&amp;$CZ16&amp;" já traz","")&amp;": o limite é 2",""),IF($EP16&lt;0,"Orçamento estourado: faltam "&amp;(-$EP16)&amp;IF($EP16&lt;-1," pontos"," ponto"),""),IF(IFERROR(VLOOKUP($DE16,$BD$2:$BH$24,4,FALSE),0)+IFERROR(VLOOKUP($DF16,$BD$2:$BH$24,4,FALSE),0)&gt;1,$DY16&amp;" e "&amp;$DZ16&amp;" são as duas de frequência",""),IF(AND((COUNTIF($DA16:$DD16,"Rápido")+COUNTIF($DY16:$DZ16,"Rápido"))&gt;0,(COUNTIF($DA16:$DD16,"Reação")+COUNTIF($DY16:$DZ16,"Reação"))&gt;0),"Rápido não entra com Reação",""),IF(AND((COUNTIF($DA16:$DD16,"Rápido")+COUNTIF($DY16:$DZ16,"Rápido"))&gt;0,(COUNTIF($DA16:$DD16,"Atrasar")+COUNTIF($DY16:$DZ16,"Atrasar"))&gt;0),"Rápido não entra com Atrasar",""),IF(AND((COUNTIF($DA16:$DD16,"Reação")+COUNTIF($DY16:$DZ16,"Reação"))&gt;0,(COUNTIF($DA16:$DD16,"Atrasar")+COUNTIF($DY16:$DZ16,"Atrasar"))&gt;0),"Reação não entra com Atrasar",""),IF(AND((COUNTIF($DA16:$DD16,"Reação")+COUNTIF($DY16:$DZ16,"Reação"))&gt;0,(COUNTIF($DA16:$DD16,"Parado")+COUNTIF($DY16:$DZ16,"Parado"))&gt;0),"Reação não entra com Parado",""),IF(AND(COUNTIF($DY16:$DZ16,"Corpo a Corpo")&gt;0,$DT16=0,OR($CZ16="Cone",$CZ16="Linha")),"Corpo a Corpo não entra em "&amp;$CZ16,""),IF(AND(COUNTIF($DY16:$DZ16,"Corpo a Corpo")&gt;0,$DT16=1),"A Forma "&amp;$CZ16&amp;" já traz o Corpo a Corpo",""),IF(AND(COUNTIF($DY16:$DZ16,"Tudo ou Nada")&gt;0,$DV16=0),"Tudo ou Nada só entra em feitiço de Teste de Resistência",""),IF(AND(COUNTIF($DA16:$DD16,"Inescapável")&gt;0,OR($EI16&gt;1,$EJ16&gt;0)),"Inescapável não aceita outra peça",""),IF(AND($CV16=1,$CX16&lt;3),"Liberação Máxima é de Classe 3 ou mais",""),IF(AND($CV16=1,OR($DU16=1,$DU16=2)),"Liberação Máxima não serve para cura",""),IF(AND($CV16=1,COUNTIF($DA16:$DD16,"Inescapável")+COUNTIF($DA16:$DD16,"Toca a Alma")&gt;0),"Esta peça não entra numa Liberação Máxima",""),IF($EQ16+$ER16&gt;4*$CX16,($EQ16+$ER16)&amp;" dados somando alvos e repetições: o teto da Classe "&amp;$CX16&amp;" é "&amp;4*$CX16,"")))</f>
        <v/>
      </c>
      <c r="FH16" s="141">
        <f>IF($FG16="",0,(LEN($FG16)-LEN(SUBSTITUTE($FG16," · ","")))/3+1)</f>
        <v/>
      </c>
      <c r="FI16" s="141">
        <f>IF($DG16=0,"",TEXTJOIN(" · ",TRUE,IF($EL16&gt;2*$CX16,"A devolução parou no teto de "&amp;2*$CX16,""),IF($EO16&gt;0,"Devolução perdida: "&amp;$EO16&amp;IF($EO16&gt;1," pontos"," ponto")&amp;" sem peça para pagar",""),IF(AND($DS16&gt;0,$EQ16=0),"Controle sem dano: uma rodada a mais e CD +2",""),IF(AND($DS16&gt;0,$EQ16&gt;0,$EQ16&lt;=$CX16),"Controle com um quarto do teto: uma rodada a mais","")))</f>
        <v/>
      </c>
      <c r="FJ16" s="141">
        <f>IF($FI16="",0,(LEN($FI16)-LEN(SUBSTITUTE($FI16," · ","")))/3+1)</f>
        <v/>
      </c>
      <c r="FK16" s="141">
        <f>IF($DG16=0,IF($EI16+$EJ16-$DT16&gt;0,"Dê um nome",""),IF($FH16&gt;0,"⚠ "&amp;$FH16&amp;IF($FH16&gt;1," erros"," erro"),IF($FJ16&gt;0,"! "&amp;$FJ16&amp;IF($FJ16&gt;1," avisos"," aviso"),"Na regra")))</f>
        <v/>
      </c>
      <c r="FL16" s="141">
        <f>IF($DG16=0,"",IF($FH16+$FJ16=0,"Dentro das regras que a ficha confere",$FG16&amp;IF(AND($FH16&gt;0,$FJ16&gt;0)," · ","")&amp;$FI16))</f>
        <v/>
      </c>
      <c r="FM16" s="141">
        <f>IF($DG16=0,"",IF($CV16=1,CEILING(4.5*$CX16,1),3*$CX16)&amp;" PE")</f>
        <v/>
      </c>
      <c r="FN16" s="141">
        <f>IF($DG16=0,"",IF($CV16=1,"Rodada inteira",IF(COUNTIF($DY16:$DZ16,"Atrasar")&gt;0,IF(COUNTIF($DY16:$DZ16,"Carregar")&gt;0,"Rodada +1 turno","Rodada inteira"),IF(COUNTIF($DA16:$DD16,"Rápido")&gt;0,"Bônus",IF(COUNTIF($DA16:$DD16,"Reação")&gt;0,"Reação","Padrão"))&amp;IF(COUNTIF($DY16:$DZ16,"Carregar")&gt;0," +1 turno",""))))</f>
        <v/>
      </c>
      <c r="FO16" s="141">
        <f>IF(OR($DG16=0,$DH16=0),"",IF(COUNTIF($DA16:$DD16,"Inescapável")&gt;0,"Automático",IF(COUNTIF($DA16:$DD16,"Certeiro")&gt;0,"TR para metade",INDEX($X$2:$X$11,$DH16))))</f>
        <v/>
      </c>
      <c r="FP16" s="141">
        <f>IF(OR($DG16=0,$DH16=0),"",IF(OR($DU16&gt;=2,$EQ16=0),UPPER(LEFT(INDEX($EZ16:$FF16,1,$CX16),1))&amp;MID(INDEX($EZ16:$FF16,1,$CX16),2,99),UPPER(LEFT(INDEX($EZ16:$FF16,1,$CX16),1))&amp;MID(INDEX($EZ16:$FF16,1,$CX16),2,99)&amp;" = "&amp;FLOOR($EQ16*4.5,1)&amp;IF($ER16&gt;0," · +"&amp;$ER16&amp;"d8","")))</f>
        <v/>
      </c>
      <c r="FQ16" s="141">
        <f>COUNTIF($DA16:$DD16,"Longe")+3*COUNTIF($DA16:$DD16,"Muito Longe")</f>
        <v/>
      </c>
      <c r="FR16" s="141">
        <f>COUNTIF($DA16:$DD16,"Maior")+3*COUNTIF($DA16:$DD16,"Muito Maior")</f>
        <v/>
      </c>
      <c r="FS16" s="141">
        <f>IF($DH16=0,0,CHOOSE(1+INDEX($Z$2:$Z$11,$DH16),0,$FQ16,$FR16,$FQ16+$FR16))</f>
        <v/>
      </c>
      <c r="FT16" s="141">
        <f>IF($DH16=0,0,CHOOSE(1+INDEX($AA$2:$AA$11,$DH16),0,$FQ16,$FR16,$FQ16+$FR16))</f>
        <v/>
      </c>
      <c r="FU16" s="141">
        <f>IF(OR($DG16=0,$DH16=0),"",INDEX($AH$2:$AM$31,($DH16-1)*3+IF($CX16&gt;=6,3,2),1+MIN(5,$FS16))&amp;INDEX($AN$2:$AS$31,($DH16-1)*3+IF($CX16&gt;=6,3,2),1+MIN(5,$FT16))&amp;IF(INDEX($AB$2:$AB$11,$DH16)=1,IF(COUNTIF($DA16:$DD16,"Mais Um")&gt;0," · +"&amp;COUNTIF($DA16:$DD16,"Mais Um")&amp;IF(COUNTIF($DA16:$DD16,"Mais Um")&gt;1," alvos"," alvo"),"")&amp;IF(COUNTIF($DA16:$DD16,"Rajada")&gt;0," · "&amp;($CX16+1)&amp;" tiros",""),""))</f>
        <v/>
      </c>
      <c r="FV16" s="141">
        <f>IF($DG16=0,"",3*$CX16&amp;" − "&amp;$EK16&amp;" + "&amp;$EN16&amp;IF($CV16=1," + "&amp;$CX16,"")&amp;" = "&amp;$EQ16&amp;"d8 · teto "&amp;4*$CX16&amp;IF($DT16=1," · a Forma devolve "&amp;$CX16,"")&amp;IF($EO16&gt;0," · perde "&amp;$EO16,""))</f>
        <v/>
      </c>
      <c r="FW16" s="141">
        <f>IF($DG16=0,"",IF($CX16&gt;=$GF$4,"Já está na maior Classe que o nível liberou",TEXTJOIN(" · ",TRUE,IF(AND(2&gt;$CX16,2&lt;=$GF$4),"2 → "&amp;$FA16&amp;", "&amp;IF($CV16=1,9,6)&amp;" PE",""),IF(AND(3&gt;$CX16,3&lt;=$GF$4),"3 → "&amp;$FB16&amp;", "&amp;IF($CV16=1,14,9)&amp;" PE",""),IF(AND(4&gt;$CX16,4&lt;=$GF$4),"4 → "&amp;$FC16&amp;", "&amp;IF($CV16=1,18,12)&amp;" PE",""),IF(AND(5&gt;$CX16,5&lt;=$GF$4),"5 → "&amp;$FD16&amp;", "&amp;IF($CV16=1,23,15)&amp;" PE",""),IF(AND(6&gt;$CX16,6&lt;=$GF$4),"6 → "&amp;$FE16&amp;", "&amp;IF($CV16=1,27,18)&amp;" PE",""),IF(AND(7&gt;$CX16,7&lt;=$GF$4),"7 → "&amp;$FF16&amp;", "&amp;IF($CV16=1,32,21)&amp;" PE",""))))</f>
        <v/>
      </c>
      <c r="FX16" s="141">
        <f>IF(OR($DG16=0,$DJ16=0),"","−"&amp;INDEX($I$2:$N$8,$CX16,$DJ16)&amp;" · "&amp;CHOOSE($DJ16,"Leve","Média","Pesada","Leve · Livre","Média · Livre","Pesada · Livre"))</f>
        <v/>
      </c>
      <c r="FY16" s="141">
        <f>IF(OR($DG16=0,$DK16=0),"","−"&amp;INDEX($I$2:$N$8,$CX16,$DK16)&amp;" · "&amp;CHOOSE($DK16,"Leve","Média","Pesada","Leve · Livre","Média · Livre","Pesada · Livre"))</f>
        <v/>
      </c>
      <c r="FZ16" s="141">
        <f>IF(OR($DG16=0,$DL16=0),"","−"&amp;INDEX($I$2:$N$8,$CX16,$DL16)&amp;" · "&amp;CHOOSE($DL16,"Leve","Média","Pesada","Leve · Livre","Média · Livre","Pesada · Livre"))</f>
        <v/>
      </c>
      <c r="GA16" s="141">
        <f>IF(OR($DG16=0,$DM16=0),"","−"&amp;INDEX($I$2:$N$8,$CX16,$DM16)&amp;" · "&amp;CHOOSE($DM16,"Leve","Média","Pesada","Leve · Livre","Média · Livre","Pesada · Livre"))</f>
        <v/>
      </c>
      <c r="GB16" s="141">
        <f>IF(OR($DG16=0,$DE16=""),"","+"&amp;IF($DW16=1,CEILING($CX16/2,1),$CX16))</f>
        <v/>
      </c>
      <c r="GC16" s="141">
        <f>IF(OR($DG16=0,$DF16=""),"","+"&amp;IF($DX16=1,CEILING($CX16/2,1),$CX16))</f>
        <v/>
      </c>
      <c r="GE16" s="114" t="inlineStr">
        <is>
          <t>classe passiva da regra própria</t>
        </is>
      </c>
      <c r="GF16" s="141">
        <f>N('FICHA AMALDIÇOADA'!$P$27)</f>
        <v/>
      </c>
      <c r="HJ16" s="114" t="inlineStr">
        <is>
          <t>L337</t>
        </is>
      </c>
      <c r="HK16" s="141">
        <f>IF(DADOS_AM!$GF$35=0,"Nível 17",DADOS_AM!$GF$35&amp;"d8 = "&amp;FLOOR(DADOS_AM!$GF$35*4.5,1))</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41" t="n">
        <v>1</v>
      </c>
      <c r="AX17" s="141">
        <f>$AW17+3*IFERROR(VLOOKUP($AV17,$A$2:$D$10,3,FALSE),0)</f>
        <v/>
      </c>
      <c r="AY17" s="141">
        <f>IFERROR(VLOOKUP($AV17,$A$2:$D$10,4,FALSE),0)</f>
        <v/>
      </c>
      <c r="AZ17" s="141" t="n">
        <v>0</v>
      </c>
      <c r="BA17" s="141">
        <f>IF($AY17=1,"",$AU17)</f>
        <v/>
      </c>
      <c r="BB17" s="141">
        <f>IF(AND($AW17=1,$AY17=0),$AU17,"")</f>
        <v/>
      </c>
      <c r="BD17" s="114" t="inlineStr">
        <is>
          <t>Barulho</t>
        </is>
      </c>
      <c r="BE17" s="114" t="inlineStr">
        <is>
          <t>Barulho</t>
        </is>
      </c>
      <c r="BF17" s="141" t="n">
        <v>1</v>
      </c>
      <c r="BG17" s="141" t="n">
        <v>0</v>
      </c>
      <c r="BH17" s="114" t="inlineStr">
        <is>
          <t>Barulho</t>
        </is>
      </c>
      <c r="BJ17" s="114" t="inlineStr">
        <is>
          <t>Reserva Profunda</t>
        </is>
      </c>
      <c r="BK17" s="141" t="n">
        <v>3</v>
      </c>
      <c r="BL17" s="114" t="inlineStr">
        <is>
          <t>Seu PE máximo sobe em 3 × a sua maior Classe.</t>
        </is>
      </c>
      <c r="BQ17" s="114" t="inlineStr">
        <is>
          <t>Aptidão Própria (CP 2)</t>
        </is>
      </c>
      <c r="BR17" s="114" t="inlineStr">
        <is>
          <t>uma vez na ficha inteira</t>
        </is>
      </c>
      <c r="BS17" s="141"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41" t="n">
        <v>0</v>
      </c>
      <c r="CW17" s="141" t="n">
        <v>16</v>
      </c>
      <c r="CX17" s="141">
        <f>MAX(1,MIN(7,N('FICHA AMALDIÇOADA'!$D$152)))</f>
        <v/>
      </c>
      <c r="CY17" s="141">
        <f>'FICHA AMALDIÇOADA'!$E$152&amp;""</f>
        <v/>
      </c>
      <c r="CZ17" s="141">
        <f>'FICHA AMALDIÇOADA'!$D$159&amp;""</f>
        <v/>
      </c>
      <c r="DA17" s="141">
        <f>'FICHA AMALDIÇOADA'!$E$161&amp;""</f>
        <v/>
      </c>
      <c r="DB17" s="141">
        <f>'FICHA AMALDIÇOADA'!$E$162&amp;""</f>
        <v/>
      </c>
      <c r="DC17" s="141">
        <f>'FICHA AMALDIÇOADA'!$E$163&amp;""</f>
        <v/>
      </c>
      <c r="DD17" s="141">
        <f>'FICHA AMALDIÇOADA'!$E$164&amp;""</f>
        <v/>
      </c>
      <c r="DE17" s="141">
        <f>'FICHA AMALDIÇOADA'!$E$165&amp;""</f>
        <v/>
      </c>
      <c r="DF17" s="141">
        <f>'FICHA AMALDIÇOADA'!$E$166&amp;""</f>
        <v/>
      </c>
      <c r="DG17" s="141">
        <f>IF($CY17&lt;&gt;"",1,0)</f>
        <v/>
      </c>
      <c r="DH17" s="141">
        <f>IFERROR(MATCH($CZ17,$Q$2:$Q$11,0),0)</f>
        <v/>
      </c>
      <c r="DI17" s="141">
        <f>IF($DH17=0,0,INDEX($T$2:$T$11,$DH17))</f>
        <v/>
      </c>
      <c r="DJ17" s="141">
        <f>IFERROR(VLOOKUP($DA17,$AU$2:$BB$84,4,FALSE),0)</f>
        <v/>
      </c>
      <c r="DK17" s="141">
        <f>IFERROR(VLOOKUP($DB17,$AU$2:$BB$84,4,FALSE),0)</f>
        <v/>
      </c>
      <c r="DL17" s="141">
        <f>IFERROR(VLOOKUP($DC17,$AU$2:$BB$84,4,FALSE),0)</f>
        <v/>
      </c>
      <c r="DM17" s="141">
        <f>IFERROR(VLOOKUP($DD17,$AU$2:$BB$84,4,FALSE),0)</f>
        <v/>
      </c>
      <c r="DN17" s="141">
        <f>IF($DH17=0,0,INDEX($U$2:$U$11,$DH17))</f>
        <v/>
      </c>
      <c r="DO17" s="141">
        <f>IFERROR(VLOOKUP($DA17,$AU$2:$BB$84,5,FALSE),0)</f>
        <v/>
      </c>
      <c r="DP17" s="141">
        <f>IFERROR(VLOOKUP($DB17,$AU$2:$BB$84,5,FALSE),0)</f>
        <v/>
      </c>
      <c r="DQ17" s="141">
        <f>IFERROR(VLOOKUP($DC17,$AU$2:$BB$84,5,FALSE),0)</f>
        <v/>
      </c>
      <c r="DR17" s="141">
        <f>IFERROR(VLOOKUP($DD17,$AU$2:$BB$84,5,FALSE),0)</f>
        <v/>
      </c>
      <c r="DS17" s="141">
        <f>IFERROR(VLOOKUP($DA17,$AU$2:$BB$84,6,FALSE),0)+IFERROR(VLOOKUP($DB17,$AU$2:$BB$84,6,FALSE),0)+IFERROR(VLOOKUP($DC17,$AU$2:$BB$84,6,FALSE),0)+IFERROR(VLOOKUP($DD17,$AU$2:$BB$84,6,FALSE),0)</f>
        <v/>
      </c>
      <c r="DT17" s="141">
        <f>IF($DH17=0,0,INDEX($V$2:$V$11,$DH17))</f>
        <v/>
      </c>
      <c r="DU17" s="141">
        <f>IF($DH17=0,0,INDEX($W$2:$W$11,$DH17))</f>
        <v/>
      </c>
      <c r="DV17" s="141">
        <f>IF($DH17=0,0,INDEX($Y$2:$Y$11,$DH17))</f>
        <v/>
      </c>
      <c r="DW17" s="141">
        <f>IFERROR(VLOOKUP($DE17,$BD$2:$BH$24,3,FALSE),0)</f>
        <v/>
      </c>
      <c r="DX17" s="141">
        <f>IFERROR(VLOOKUP($DF17,$BD$2:$BH$24,3,FALSE),0)</f>
        <v/>
      </c>
      <c r="DY17" s="141">
        <f>IFERROR(VLOOKUP($DE17,$BD$2:$BH$24,2,FALSE),"")</f>
        <v/>
      </c>
      <c r="DZ17" s="141">
        <f>IFERROR(VLOOKUP($DF17,$BD$2:$BH$24,2,FALSE),"")</f>
        <v/>
      </c>
      <c r="EA17" s="141">
        <f>COUNTIF($DI17:$DM17,1)</f>
        <v/>
      </c>
      <c r="EB17" s="141">
        <f>COUNTIF($DI17:$DM17,2)</f>
        <v/>
      </c>
      <c r="EC17" s="141">
        <f>COUNTIF($DI17:$DM17,3)</f>
        <v/>
      </c>
      <c r="ED17" s="141">
        <f>COUNTIF($DI17:$DM17,4)</f>
        <v/>
      </c>
      <c r="EE17" s="141">
        <f>COUNTIF($DI17:$DM17,5)</f>
        <v/>
      </c>
      <c r="EF17" s="141">
        <f>COUNTIF($DI17:$DM17,6)</f>
        <v/>
      </c>
      <c r="EG17" s="141">
        <f>COUNTIF($DW17:$DX17,1)</f>
        <v/>
      </c>
      <c r="EH17" s="141">
        <f>COUNTIF($DW17:$DX17,2)+$DT17</f>
        <v/>
      </c>
      <c r="EI17" s="141">
        <f>COUNTIF($DA17:$DD17,"?*")</f>
        <v/>
      </c>
      <c r="EJ17" s="141">
        <f>COUNTIF($DE17:$DF17,"?*")+$DT17</f>
        <v/>
      </c>
      <c r="EK17" s="141">
        <f>SUMPRODUCT($EA17:$EF17,INDEX($I$2:$N$8,$CX17,0))</f>
        <v/>
      </c>
      <c r="EL17" s="141">
        <f>$EG17*CEILING($CX17/2,1)+$EH17*$CX17</f>
        <v/>
      </c>
      <c r="EM17" s="141">
        <f>MIN(2*$CX17,$EL17)</f>
        <v/>
      </c>
      <c r="EN17" s="141">
        <f>MIN($EM17,$EK17)</f>
        <v/>
      </c>
      <c r="EO17" s="141">
        <f>$EM17-$EN17</f>
        <v/>
      </c>
      <c r="EP17" s="141">
        <f>3*$CX17-$EK17+$EN17</f>
        <v/>
      </c>
      <c r="EQ17" s="141">
        <f>MAX(0,$EP17)+$CV17*$CX17</f>
        <v/>
      </c>
      <c r="ER17" s="141">
        <f>(IF(COUNTIF($DA17:$DD17,"Salto")&gt;0,1,0)+IF(COUNTIF($DA17:$DD17,"Queima")&gt;0,1,0))*FLOOR($EQ17/2,1)</f>
        <v/>
      </c>
      <c r="ES17" s="141">
        <f>MAX(0,3-SUMPRODUCT($EA17:$EF17,$I$2:$N$2)+MIN(2,$EG17*1+$EH17*1,SUMPRODUCT($EA17:$EF17,$I$2:$N$2)))+$CV17*1</f>
        <v/>
      </c>
      <c r="ET17" s="141">
        <f>MAX(0,6-SUMPRODUCT($EA17:$EF17,$I$3:$N$3)+MIN(4,$EG17*1+$EH17*2,SUMPRODUCT($EA17:$EF17,$I$3:$N$3)))+$CV17*2</f>
        <v/>
      </c>
      <c r="EU17" s="141">
        <f>MAX(0,9-SUMPRODUCT($EA17:$EF17,$I$4:$N$4)+MIN(6,$EG17*2+$EH17*3,SUMPRODUCT($EA17:$EF17,$I$4:$N$4)))+$CV17*3</f>
        <v/>
      </c>
      <c r="EV17" s="141">
        <f>MAX(0,12-SUMPRODUCT($EA17:$EF17,$I$5:$N$5)+MIN(8,$EG17*2+$EH17*4,SUMPRODUCT($EA17:$EF17,$I$5:$N$5)))+$CV17*4</f>
        <v/>
      </c>
      <c r="EW17" s="141">
        <f>MAX(0,15-SUMPRODUCT($EA17:$EF17,$I$6:$N$6)+MIN(10,$EG17*3+$EH17*5,SUMPRODUCT($EA17:$EF17,$I$6:$N$6)))+$CV17*5</f>
        <v/>
      </c>
      <c r="EX17" s="141">
        <f>MAX(0,18-SUMPRODUCT($EA17:$EF17,$I$7:$N$7)+MIN(12,$EG17*3+$EH17*6,SUMPRODUCT($EA17:$EF17,$I$7:$N$7)))+$CV17*6</f>
        <v/>
      </c>
      <c r="EY17" s="141">
        <f>MAX(0,21-SUMPRODUCT($EA17:$EF17,$I$8:$N$8)+MIN(14,$EG17*4+$EH17*7,SUMPRODUCT($EA17:$EF17,$I$8:$N$8)))+$CV17*7</f>
        <v/>
      </c>
      <c r="EZ17" s="141">
        <f>IF($DU17=2,3*$ES17&amp;" de vida temp.",IF($DU17=3,"sem dano",IF($ES17=0,IF($DU17=1,"sem cura","sem dano"),IF($DU17=1,"cura ","")&amp;$ES17&amp;"d8")))</f>
        <v/>
      </c>
      <c r="FA17" s="141">
        <f>IF($DU17=2,3*$ET17&amp;" de vida temp.",IF($DU17=3,"sem dano",IF($ET17=0,IF($DU17=1,"sem cura","sem dano"),IF($DU17=1,"cura ","")&amp;$ET17&amp;"d8")))</f>
        <v/>
      </c>
      <c r="FB17" s="141">
        <f>IF($DU17=2,3*$EU17&amp;" de vida temp.",IF($DU17=3,"sem dano",IF($EU17=0,IF($DU17=1,"sem cura","sem dano"),IF($DU17=1,"cura ","")&amp;$EU17&amp;"d8")))</f>
        <v/>
      </c>
      <c r="FC17" s="141">
        <f>IF($DU17=2,3*$EV17&amp;" de vida temp.",IF($DU17=3,"sem dano",IF($EV17=0,IF($DU17=1,"sem cura","sem dano"),IF($DU17=1,"cura ","")&amp;$EV17&amp;"d8")))</f>
        <v/>
      </c>
      <c r="FD17" s="141">
        <f>IF($DU17=2,3*$EW17&amp;" de vida temp.",IF($DU17=3,"sem dano",IF($EW17=0,IF($DU17=1,"sem cura","sem dano"),IF($DU17=1,"cura ","")&amp;$EW17&amp;"d8")))</f>
        <v/>
      </c>
      <c r="FE17" s="141">
        <f>IF($DU17=2,3*$EX17&amp;" de vida temp.",IF($DU17=3,"sem dano",IF($EX17=0,IF($DU17=1,"sem cura","sem dano"),IF($DU17=1,"cura ","")&amp;$EX17&amp;"d8")))</f>
        <v/>
      </c>
      <c r="FF17" s="141">
        <f>IF($DU17=2,3*$EY17&amp;" de vida temp.",IF($DU17=3,"sem dano",IF($EY17=0,IF($DU17=1,"sem cura","sem dano"),IF($DU17=1,"cura ","")&amp;$EY17&amp;"d8")))</f>
        <v/>
      </c>
      <c r="FG17" s="141">
        <f>IF($DG17=0,"",TEXTJOIN(" · ",TRUE,IF(AND($CV17=1,$CW17&gt;$GF$9),"O nível "&amp;$GF$2&amp;" dá "&amp;$GF$9&amp;" Liberação Máxima",""),IF($CX17&gt;$GF$4,"Classe "&amp;$CX17&amp;": o nível "&amp;$GF$2&amp;" libera até a "&amp;$GF$4,""),IF($DN17=1,"Família Fechada: a Forma "&amp;$CZ17,""),IF($DO17=1,"Família Fechada: "&amp;$DA17,""),IF($DP17=1,"Família Fechada: "&amp;$DB17,""),IF($DQ17=1,"Família Fechada: "&amp;$DC17,""),IF($DR17=1,"Família Fechada: "&amp;$DD17,""),IF($EI17&gt;INDEX($O$2:$O$8,$CX17),$EI17&amp;" Melhorias: a Classe "&amp;$CX17&amp;" aceita "&amp;INDEX($O$2:$O$8,$CX17),""),IF($EJ17&gt;2,$EJ17&amp;" Restrições"&amp;IF($DT17=1,", contando a que a Forma "&amp;$CZ17&amp;" já traz","")&amp;": o limite é 2",""),IF($EP17&lt;0,"Orçamento estourado: faltam "&amp;(-$EP17)&amp;IF($EP17&lt;-1," pontos"," ponto"),""),IF(IFERROR(VLOOKUP($DE17,$BD$2:$BH$24,4,FALSE),0)+IFERROR(VLOOKUP($DF17,$BD$2:$BH$24,4,FALSE),0)&gt;1,$DY17&amp;" e "&amp;$DZ17&amp;" são as duas de frequência",""),IF(AND((COUNTIF($DA17:$DD17,"Rápido")+COUNTIF($DY17:$DZ17,"Rápido"))&gt;0,(COUNTIF($DA17:$DD17,"Reação")+COUNTIF($DY17:$DZ17,"Reação"))&gt;0),"Rápido não entra com Reação",""),IF(AND((COUNTIF($DA17:$DD17,"Rápido")+COUNTIF($DY17:$DZ17,"Rápido"))&gt;0,(COUNTIF($DA17:$DD17,"Atrasar")+COUNTIF($DY17:$DZ17,"Atrasar"))&gt;0),"Rápido não entra com Atrasar",""),IF(AND((COUNTIF($DA17:$DD17,"Reação")+COUNTIF($DY17:$DZ17,"Reação"))&gt;0,(COUNTIF($DA17:$DD17,"Atrasar")+COUNTIF($DY17:$DZ17,"Atrasar"))&gt;0),"Reação não entra com Atrasar",""),IF(AND((COUNTIF($DA17:$DD17,"Reação")+COUNTIF($DY17:$DZ17,"Reação"))&gt;0,(COUNTIF($DA17:$DD17,"Parado")+COUNTIF($DY17:$DZ17,"Parado"))&gt;0),"Reação não entra com Parado",""),IF(AND(COUNTIF($DY17:$DZ17,"Corpo a Corpo")&gt;0,$DT17=0,OR($CZ17="Cone",$CZ17="Linha")),"Corpo a Corpo não entra em "&amp;$CZ17,""),IF(AND(COUNTIF($DY17:$DZ17,"Corpo a Corpo")&gt;0,$DT17=1),"A Forma "&amp;$CZ17&amp;" já traz o Corpo a Corpo",""),IF(AND(COUNTIF($DY17:$DZ17,"Tudo ou Nada")&gt;0,$DV17=0),"Tudo ou Nada só entra em feitiço de Teste de Resistência",""),IF(AND(COUNTIF($DA17:$DD17,"Inescapável")&gt;0,OR($EI17&gt;1,$EJ17&gt;0)),"Inescapável não aceita outra peça",""),IF(AND($CV17=1,$CX17&lt;3),"Liberação Máxima é de Classe 3 ou mais",""),IF(AND($CV17=1,OR($DU17=1,$DU17=2)),"Liberação Máxima não serve para cura",""),IF(AND($CV17=1,COUNTIF($DA17:$DD17,"Inescapável")+COUNTIF($DA17:$DD17,"Toca a Alma")&gt;0),"Esta peça não entra numa Liberação Máxima",""),IF($EQ17+$ER17&gt;4*$CX17,($EQ17+$ER17)&amp;" dados somando alvos e repetições: o teto da Classe "&amp;$CX17&amp;" é "&amp;4*$CX17,"")))</f>
        <v/>
      </c>
      <c r="FH17" s="141">
        <f>IF($FG17="",0,(LEN($FG17)-LEN(SUBSTITUTE($FG17," · ","")))/3+1)</f>
        <v/>
      </c>
      <c r="FI17" s="141">
        <f>IF($DG17=0,"",TEXTJOIN(" · ",TRUE,IF($EL17&gt;2*$CX17,"A devolução parou no teto de "&amp;2*$CX17,""),IF($EO17&gt;0,"Devolução perdida: "&amp;$EO17&amp;IF($EO17&gt;1," pontos"," ponto")&amp;" sem peça para pagar",""),IF(AND($DS17&gt;0,$EQ17=0),"Controle sem dano: uma rodada a mais e CD +2",""),IF(AND($DS17&gt;0,$EQ17&gt;0,$EQ17&lt;=$CX17),"Controle com um quarto do teto: uma rodada a mais","")))</f>
        <v/>
      </c>
      <c r="FJ17" s="141">
        <f>IF($FI17="",0,(LEN($FI17)-LEN(SUBSTITUTE($FI17," · ","")))/3+1)</f>
        <v/>
      </c>
      <c r="FK17" s="141">
        <f>IF($DG17=0,IF($EI17+$EJ17-$DT17&gt;0,"Dê um nome",""),IF($FH17&gt;0,"⚠ "&amp;$FH17&amp;IF($FH17&gt;1," erros"," erro"),IF($FJ17&gt;0,"! "&amp;$FJ17&amp;IF($FJ17&gt;1," avisos"," aviso"),"Na regra")))</f>
        <v/>
      </c>
      <c r="FL17" s="141">
        <f>IF($DG17=0,"",IF($FH17+$FJ17=0,"Dentro das regras que a ficha confere",$FG17&amp;IF(AND($FH17&gt;0,$FJ17&gt;0)," · ","")&amp;$FI17))</f>
        <v/>
      </c>
      <c r="FM17" s="141">
        <f>IF($DG17=0,"",IF($CV17=1,CEILING(4.5*$CX17,1),3*$CX17)&amp;" PE")</f>
        <v/>
      </c>
      <c r="FN17" s="141">
        <f>IF($DG17=0,"",IF($CV17=1,"Rodada inteira",IF(COUNTIF($DY17:$DZ17,"Atrasar")&gt;0,IF(COUNTIF($DY17:$DZ17,"Carregar")&gt;0,"Rodada +1 turno","Rodada inteira"),IF(COUNTIF($DA17:$DD17,"Rápido")&gt;0,"Bônus",IF(COUNTIF($DA17:$DD17,"Reação")&gt;0,"Reação","Padrão"))&amp;IF(COUNTIF($DY17:$DZ17,"Carregar")&gt;0," +1 turno",""))))</f>
        <v/>
      </c>
      <c r="FO17" s="141">
        <f>IF(OR($DG17=0,$DH17=0),"",IF(COUNTIF($DA17:$DD17,"Inescapável")&gt;0,"Automático",IF(COUNTIF($DA17:$DD17,"Certeiro")&gt;0,"TR para metade",INDEX($X$2:$X$11,$DH17))))</f>
        <v/>
      </c>
      <c r="FP17" s="141">
        <f>IF(OR($DG17=0,$DH17=0),"",IF(OR($DU17&gt;=2,$EQ17=0),UPPER(LEFT(INDEX($EZ17:$FF17,1,$CX17),1))&amp;MID(INDEX($EZ17:$FF17,1,$CX17),2,99),UPPER(LEFT(INDEX($EZ17:$FF17,1,$CX17),1))&amp;MID(INDEX($EZ17:$FF17,1,$CX17),2,99)&amp;" = "&amp;FLOOR($EQ17*4.5,1)&amp;IF($ER17&gt;0," · +"&amp;$ER17&amp;"d8","")))</f>
        <v/>
      </c>
      <c r="FQ17" s="141">
        <f>COUNTIF($DA17:$DD17,"Longe")+3*COUNTIF($DA17:$DD17,"Muito Longe")</f>
        <v/>
      </c>
      <c r="FR17" s="141">
        <f>COUNTIF($DA17:$DD17,"Maior")+3*COUNTIF($DA17:$DD17,"Muito Maior")</f>
        <v/>
      </c>
      <c r="FS17" s="141">
        <f>IF($DH17=0,0,CHOOSE(1+INDEX($Z$2:$Z$11,$DH17),0,$FQ17,$FR17,$FQ17+$FR17))</f>
        <v/>
      </c>
      <c r="FT17" s="141">
        <f>IF($DH17=0,0,CHOOSE(1+INDEX($AA$2:$AA$11,$DH17),0,$FQ17,$FR17,$FQ17+$FR17))</f>
        <v/>
      </c>
      <c r="FU17" s="141">
        <f>IF(OR($DG17=0,$DH17=0),"",INDEX($AH$2:$AM$31,($DH17-1)*3+IF($CX17&gt;=6,3,2),1+MIN(5,$FS17))&amp;INDEX($AN$2:$AS$31,($DH17-1)*3+IF($CX17&gt;=6,3,2),1+MIN(5,$FT17))&amp;IF(INDEX($AB$2:$AB$11,$DH17)=1,IF(COUNTIF($DA17:$DD17,"Mais Um")&gt;0," · +"&amp;COUNTIF($DA17:$DD17,"Mais Um")&amp;IF(COUNTIF($DA17:$DD17,"Mais Um")&gt;1," alvos"," alvo"),"")&amp;IF(COUNTIF($DA17:$DD17,"Rajada")&gt;0," · "&amp;($CX17+1)&amp;" tiros",""),""))</f>
        <v/>
      </c>
      <c r="FV17" s="141">
        <f>IF($DG17=0,"",3*$CX17&amp;" − "&amp;$EK17&amp;" + "&amp;$EN17&amp;IF($CV17=1," + "&amp;$CX17,"")&amp;" = "&amp;$EQ17&amp;"d8 · teto "&amp;4*$CX17&amp;IF($DT17=1," · a Forma devolve "&amp;$CX17,"")&amp;IF($EO17&gt;0," · perde "&amp;$EO17,""))</f>
        <v/>
      </c>
      <c r="FW17" s="141">
        <f>IF($DG17=0,"",IF($CX17&gt;=$GF$4,"Já está na maior Classe que o nível liberou",TEXTJOIN(" · ",TRUE,IF(AND(2&gt;$CX17,2&lt;=$GF$4),"2 → "&amp;$FA17&amp;", "&amp;IF($CV17=1,9,6)&amp;" PE",""),IF(AND(3&gt;$CX17,3&lt;=$GF$4),"3 → "&amp;$FB17&amp;", "&amp;IF($CV17=1,14,9)&amp;" PE",""),IF(AND(4&gt;$CX17,4&lt;=$GF$4),"4 → "&amp;$FC17&amp;", "&amp;IF($CV17=1,18,12)&amp;" PE",""),IF(AND(5&gt;$CX17,5&lt;=$GF$4),"5 → "&amp;$FD17&amp;", "&amp;IF($CV17=1,23,15)&amp;" PE",""),IF(AND(6&gt;$CX17,6&lt;=$GF$4),"6 → "&amp;$FE17&amp;", "&amp;IF($CV17=1,27,18)&amp;" PE",""),IF(AND(7&gt;$CX17,7&lt;=$GF$4),"7 → "&amp;$FF17&amp;", "&amp;IF($CV17=1,32,21)&amp;" PE",""))))</f>
        <v/>
      </c>
      <c r="FX17" s="141">
        <f>IF(OR($DG17=0,$DJ17=0),"","−"&amp;INDEX($I$2:$N$8,$CX17,$DJ17)&amp;" · "&amp;CHOOSE($DJ17,"Leve","Média","Pesada","Leve · Livre","Média · Livre","Pesada · Livre"))</f>
        <v/>
      </c>
      <c r="FY17" s="141">
        <f>IF(OR($DG17=0,$DK17=0),"","−"&amp;INDEX($I$2:$N$8,$CX17,$DK17)&amp;" · "&amp;CHOOSE($DK17,"Leve","Média","Pesada","Leve · Livre","Média · Livre","Pesada · Livre"))</f>
        <v/>
      </c>
      <c r="FZ17" s="141">
        <f>IF(OR($DG17=0,$DL17=0),"","−"&amp;INDEX($I$2:$N$8,$CX17,$DL17)&amp;" · "&amp;CHOOSE($DL17,"Leve","Média","Pesada","Leve · Livre","Média · Livre","Pesada · Livre"))</f>
        <v/>
      </c>
      <c r="GA17" s="141">
        <f>IF(OR($DG17=0,$DM17=0),"","−"&amp;INDEX($I$2:$N$8,$CX17,$DM17)&amp;" · "&amp;CHOOSE($DM17,"Leve","Média","Pesada","Leve · Livre","Média · Livre","Pesada · Livre"))</f>
        <v/>
      </c>
      <c r="GB17" s="141">
        <f>IF(OR($DG17=0,$DE17=""),"","+"&amp;IF($DW17=1,CEILING($CX17/2,1),$CX17))</f>
        <v/>
      </c>
      <c r="GC17" s="141">
        <f>IF(OR($DG17=0,$DF17=""),"","+"&amp;IF($DX17=1,CEILING($CX17/2,1),$CX17))</f>
        <v/>
      </c>
      <c r="GE17" s="114" t="inlineStr">
        <is>
          <t>espaços da regra própria</t>
        </is>
      </c>
      <c r="GF17" s="141">
        <f>MAX(0,$GF$16-1)</f>
        <v/>
      </c>
      <c r="HJ17" s="114" t="inlineStr">
        <is>
          <t>P337</t>
        </is>
      </c>
      <c r="HK17" s="141">
        <f>IF(DADOS_AM!$GF$35=0,"—",5*DADOS_AM!$GF$4)</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41" t="n">
        <v>2</v>
      </c>
      <c r="AX18" s="141">
        <f>$AW18+3*IFERROR(VLOOKUP($AV18,$A$2:$D$10,3,FALSE),0)</f>
        <v/>
      </c>
      <c r="AY18" s="141">
        <f>IFERROR(VLOOKUP($AV18,$A$2:$D$10,4,FALSE),0)</f>
        <v/>
      </c>
      <c r="AZ18" s="141" t="n">
        <v>0</v>
      </c>
      <c r="BA18" s="141">
        <f>IF($AY18=1,"",$AU18)</f>
        <v/>
      </c>
      <c r="BB18" s="141">
        <f>IF(AND($AW18=1,$AY18=0),$AU18,"")</f>
        <v/>
      </c>
      <c r="BD18" s="114" t="inlineStr">
        <is>
          <t>Assinatura</t>
        </is>
      </c>
      <c r="BE18" s="114" t="inlineStr">
        <is>
          <t>Assinatura</t>
        </is>
      </c>
      <c r="BF18" s="141" t="n">
        <v>1</v>
      </c>
      <c r="BG18" s="141" t="n">
        <v>0</v>
      </c>
      <c r="BH18" s="114" t="inlineStr">
        <is>
          <t>Assinatura</t>
        </is>
      </c>
      <c r="BJ18" s="114" t="inlineStr">
        <is>
          <t>Passiva Própria (CP 1)</t>
        </is>
      </c>
      <c r="BK18" s="141" t="n">
        <v>1</v>
      </c>
      <c r="BL18" s="114" t="inlineStr">
        <is>
          <t>Qualquer outra coisa, montada com o mestre na escala das outras entradas desta tabela. Escreva a sua na caixa de baixo.</t>
        </is>
      </c>
      <c r="CU18" s="114" t="inlineStr">
        <is>
          <t>Feitiço 17</t>
        </is>
      </c>
      <c r="CV18" s="141" t="n">
        <v>0</v>
      </c>
      <c r="CW18" s="141" t="n">
        <v>17</v>
      </c>
      <c r="CX18" s="141">
        <f>MAX(1,MIN(7,N('FICHA AMALDIÇOADA'!$J$152)))</f>
        <v/>
      </c>
      <c r="CY18" s="141">
        <f>'FICHA AMALDIÇOADA'!$K$152&amp;""</f>
        <v/>
      </c>
      <c r="CZ18" s="141">
        <f>'FICHA AMALDIÇOADA'!$J$159&amp;""</f>
        <v/>
      </c>
      <c r="DA18" s="141">
        <f>'FICHA AMALDIÇOADA'!$K$161&amp;""</f>
        <v/>
      </c>
      <c r="DB18" s="141">
        <f>'FICHA AMALDIÇOADA'!$K$162&amp;""</f>
        <v/>
      </c>
      <c r="DC18" s="141">
        <f>'FICHA AMALDIÇOADA'!$K$163&amp;""</f>
        <v/>
      </c>
      <c r="DD18" s="141">
        <f>'FICHA AMALDIÇOADA'!$K$164&amp;""</f>
        <v/>
      </c>
      <c r="DE18" s="141">
        <f>'FICHA AMALDIÇOADA'!$K$165&amp;""</f>
        <v/>
      </c>
      <c r="DF18" s="141">
        <f>'FICHA AMALDIÇOADA'!$K$166&amp;""</f>
        <v/>
      </c>
      <c r="DG18" s="141">
        <f>IF($CY18&lt;&gt;"",1,0)</f>
        <v/>
      </c>
      <c r="DH18" s="141">
        <f>IFERROR(MATCH($CZ18,$Q$2:$Q$11,0),0)</f>
        <v/>
      </c>
      <c r="DI18" s="141">
        <f>IF($DH18=0,0,INDEX($T$2:$T$11,$DH18))</f>
        <v/>
      </c>
      <c r="DJ18" s="141">
        <f>IFERROR(VLOOKUP($DA18,$AU$2:$BB$84,4,FALSE),0)</f>
        <v/>
      </c>
      <c r="DK18" s="141">
        <f>IFERROR(VLOOKUP($DB18,$AU$2:$BB$84,4,FALSE),0)</f>
        <v/>
      </c>
      <c r="DL18" s="141">
        <f>IFERROR(VLOOKUP($DC18,$AU$2:$BB$84,4,FALSE),0)</f>
        <v/>
      </c>
      <c r="DM18" s="141">
        <f>IFERROR(VLOOKUP($DD18,$AU$2:$BB$84,4,FALSE),0)</f>
        <v/>
      </c>
      <c r="DN18" s="141">
        <f>IF($DH18=0,0,INDEX($U$2:$U$11,$DH18))</f>
        <v/>
      </c>
      <c r="DO18" s="141">
        <f>IFERROR(VLOOKUP($DA18,$AU$2:$BB$84,5,FALSE),0)</f>
        <v/>
      </c>
      <c r="DP18" s="141">
        <f>IFERROR(VLOOKUP($DB18,$AU$2:$BB$84,5,FALSE),0)</f>
        <v/>
      </c>
      <c r="DQ18" s="141">
        <f>IFERROR(VLOOKUP($DC18,$AU$2:$BB$84,5,FALSE),0)</f>
        <v/>
      </c>
      <c r="DR18" s="141">
        <f>IFERROR(VLOOKUP($DD18,$AU$2:$BB$84,5,FALSE),0)</f>
        <v/>
      </c>
      <c r="DS18" s="141">
        <f>IFERROR(VLOOKUP($DA18,$AU$2:$BB$84,6,FALSE),0)+IFERROR(VLOOKUP($DB18,$AU$2:$BB$84,6,FALSE),0)+IFERROR(VLOOKUP($DC18,$AU$2:$BB$84,6,FALSE),0)+IFERROR(VLOOKUP($DD18,$AU$2:$BB$84,6,FALSE),0)</f>
        <v/>
      </c>
      <c r="DT18" s="141">
        <f>IF($DH18=0,0,INDEX($V$2:$V$11,$DH18))</f>
        <v/>
      </c>
      <c r="DU18" s="141">
        <f>IF($DH18=0,0,INDEX($W$2:$W$11,$DH18))</f>
        <v/>
      </c>
      <c r="DV18" s="141">
        <f>IF($DH18=0,0,INDEX($Y$2:$Y$11,$DH18))</f>
        <v/>
      </c>
      <c r="DW18" s="141">
        <f>IFERROR(VLOOKUP($DE18,$BD$2:$BH$24,3,FALSE),0)</f>
        <v/>
      </c>
      <c r="DX18" s="141">
        <f>IFERROR(VLOOKUP($DF18,$BD$2:$BH$24,3,FALSE),0)</f>
        <v/>
      </c>
      <c r="DY18" s="141">
        <f>IFERROR(VLOOKUP($DE18,$BD$2:$BH$24,2,FALSE),"")</f>
        <v/>
      </c>
      <c r="DZ18" s="141">
        <f>IFERROR(VLOOKUP($DF18,$BD$2:$BH$24,2,FALSE),"")</f>
        <v/>
      </c>
      <c r="EA18" s="141">
        <f>COUNTIF($DI18:$DM18,1)</f>
        <v/>
      </c>
      <c r="EB18" s="141">
        <f>COUNTIF($DI18:$DM18,2)</f>
        <v/>
      </c>
      <c r="EC18" s="141">
        <f>COUNTIF($DI18:$DM18,3)</f>
        <v/>
      </c>
      <c r="ED18" s="141">
        <f>COUNTIF($DI18:$DM18,4)</f>
        <v/>
      </c>
      <c r="EE18" s="141">
        <f>COUNTIF($DI18:$DM18,5)</f>
        <v/>
      </c>
      <c r="EF18" s="141">
        <f>COUNTIF($DI18:$DM18,6)</f>
        <v/>
      </c>
      <c r="EG18" s="141">
        <f>COUNTIF($DW18:$DX18,1)</f>
        <v/>
      </c>
      <c r="EH18" s="141">
        <f>COUNTIF($DW18:$DX18,2)+$DT18</f>
        <v/>
      </c>
      <c r="EI18" s="141">
        <f>COUNTIF($DA18:$DD18,"?*")</f>
        <v/>
      </c>
      <c r="EJ18" s="141">
        <f>COUNTIF($DE18:$DF18,"?*")+$DT18</f>
        <v/>
      </c>
      <c r="EK18" s="141">
        <f>SUMPRODUCT($EA18:$EF18,INDEX($I$2:$N$8,$CX18,0))</f>
        <v/>
      </c>
      <c r="EL18" s="141">
        <f>$EG18*CEILING($CX18/2,1)+$EH18*$CX18</f>
        <v/>
      </c>
      <c r="EM18" s="141">
        <f>MIN(2*$CX18,$EL18)</f>
        <v/>
      </c>
      <c r="EN18" s="141">
        <f>MIN($EM18,$EK18)</f>
        <v/>
      </c>
      <c r="EO18" s="141">
        <f>$EM18-$EN18</f>
        <v/>
      </c>
      <c r="EP18" s="141">
        <f>3*$CX18-$EK18+$EN18</f>
        <v/>
      </c>
      <c r="EQ18" s="141">
        <f>MAX(0,$EP18)+$CV18*$CX18</f>
        <v/>
      </c>
      <c r="ER18" s="141">
        <f>(IF(COUNTIF($DA18:$DD18,"Salto")&gt;0,1,0)+IF(COUNTIF($DA18:$DD18,"Queima")&gt;0,1,0))*FLOOR($EQ18/2,1)</f>
        <v/>
      </c>
      <c r="ES18" s="141">
        <f>MAX(0,3-SUMPRODUCT($EA18:$EF18,$I$2:$N$2)+MIN(2,$EG18*1+$EH18*1,SUMPRODUCT($EA18:$EF18,$I$2:$N$2)))+$CV18*1</f>
        <v/>
      </c>
      <c r="ET18" s="141">
        <f>MAX(0,6-SUMPRODUCT($EA18:$EF18,$I$3:$N$3)+MIN(4,$EG18*1+$EH18*2,SUMPRODUCT($EA18:$EF18,$I$3:$N$3)))+$CV18*2</f>
        <v/>
      </c>
      <c r="EU18" s="141">
        <f>MAX(0,9-SUMPRODUCT($EA18:$EF18,$I$4:$N$4)+MIN(6,$EG18*2+$EH18*3,SUMPRODUCT($EA18:$EF18,$I$4:$N$4)))+$CV18*3</f>
        <v/>
      </c>
      <c r="EV18" s="141">
        <f>MAX(0,12-SUMPRODUCT($EA18:$EF18,$I$5:$N$5)+MIN(8,$EG18*2+$EH18*4,SUMPRODUCT($EA18:$EF18,$I$5:$N$5)))+$CV18*4</f>
        <v/>
      </c>
      <c r="EW18" s="141">
        <f>MAX(0,15-SUMPRODUCT($EA18:$EF18,$I$6:$N$6)+MIN(10,$EG18*3+$EH18*5,SUMPRODUCT($EA18:$EF18,$I$6:$N$6)))+$CV18*5</f>
        <v/>
      </c>
      <c r="EX18" s="141">
        <f>MAX(0,18-SUMPRODUCT($EA18:$EF18,$I$7:$N$7)+MIN(12,$EG18*3+$EH18*6,SUMPRODUCT($EA18:$EF18,$I$7:$N$7)))+$CV18*6</f>
        <v/>
      </c>
      <c r="EY18" s="141">
        <f>MAX(0,21-SUMPRODUCT($EA18:$EF18,$I$8:$N$8)+MIN(14,$EG18*4+$EH18*7,SUMPRODUCT($EA18:$EF18,$I$8:$N$8)))+$CV18*7</f>
        <v/>
      </c>
      <c r="EZ18" s="141">
        <f>IF($DU18=2,3*$ES18&amp;" de vida temp.",IF($DU18=3,"sem dano",IF($ES18=0,IF($DU18=1,"sem cura","sem dano"),IF($DU18=1,"cura ","")&amp;$ES18&amp;"d8")))</f>
        <v/>
      </c>
      <c r="FA18" s="141">
        <f>IF($DU18=2,3*$ET18&amp;" de vida temp.",IF($DU18=3,"sem dano",IF($ET18=0,IF($DU18=1,"sem cura","sem dano"),IF($DU18=1,"cura ","")&amp;$ET18&amp;"d8")))</f>
        <v/>
      </c>
      <c r="FB18" s="141">
        <f>IF($DU18=2,3*$EU18&amp;" de vida temp.",IF($DU18=3,"sem dano",IF($EU18=0,IF($DU18=1,"sem cura","sem dano"),IF($DU18=1,"cura ","")&amp;$EU18&amp;"d8")))</f>
        <v/>
      </c>
      <c r="FC18" s="141">
        <f>IF($DU18=2,3*$EV18&amp;" de vida temp.",IF($DU18=3,"sem dano",IF($EV18=0,IF($DU18=1,"sem cura","sem dano"),IF($DU18=1,"cura ","")&amp;$EV18&amp;"d8")))</f>
        <v/>
      </c>
      <c r="FD18" s="141">
        <f>IF($DU18=2,3*$EW18&amp;" de vida temp.",IF($DU18=3,"sem dano",IF($EW18=0,IF($DU18=1,"sem cura","sem dano"),IF($DU18=1,"cura ","")&amp;$EW18&amp;"d8")))</f>
        <v/>
      </c>
      <c r="FE18" s="141">
        <f>IF($DU18=2,3*$EX18&amp;" de vida temp.",IF($DU18=3,"sem dano",IF($EX18=0,IF($DU18=1,"sem cura","sem dano"),IF($DU18=1,"cura ","")&amp;$EX18&amp;"d8")))</f>
        <v/>
      </c>
      <c r="FF18" s="141">
        <f>IF($DU18=2,3*$EY18&amp;" de vida temp.",IF($DU18=3,"sem dano",IF($EY18=0,IF($DU18=1,"sem cura","sem dano"),IF($DU18=1,"cura ","")&amp;$EY18&amp;"d8")))</f>
        <v/>
      </c>
      <c r="FG18" s="141">
        <f>IF($DG18=0,"",TEXTJOIN(" · ",TRUE,IF(AND($CV18=1,$CW18&gt;$GF$9),"O nível "&amp;$GF$2&amp;" dá "&amp;$GF$9&amp;" Liberação Máxima",""),IF($CX18&gt;$GF$4,"Classe "&amp;$CX18&amp;": o nível "&amp;$GF$2&amp;" libera até a "&amp;$GF$4,""),IF($DN18=1,"Família Fechada: a Forma "&amp;$CZ18,""),IF($DO18=1,"Família Fechada: "&amp;$DA18,""),IF($DP18=1,"Família Fechada: "&amp;$DB18,""),IF($DQ18=1,"Família Fechada: "&amp;$DC18,""),IF($DR18=1,"Família Fechada: "&amp;$DD18,""),IF($EI18&gt;INDEX($O$2:$O$8,$CX18),$EI18&amp;" Melhorias: a Classe "&amp;$CX18&amp;" aceita "&amp;INDEX($O$2:$O$8,$CX18),""),IF($EJ18&gt;2,$EJ18&amp;" Restrições"&amp;IF($DT18=1,", contando a que a Forma "&amp;$CZ18&amp;" já traz","")&amp;": o limite é 2",""),IF($EP18&lt;0,"Orçamento estourado: faltam "&amp;(-$EP18)&amp;IF($EP18&lt;-1," pontos"," ponto"),""),IF(IFERROR(VLOOKUP($DE18,$BD$2:$BH$24,4,FALSE),0)+IFERROR(VLOOKUP($DF18,$BD$2:$BH$24,4,FALSE),0)&gt;1,$DY18&amp;" e "&amp;$DZ18&amp;" são as duas de frequência",""),IF(AND((COUNTIF($DA18:$DD18,"Rápido")+COUNTIF($DY18:$DZ18,"Rápido"))&gt;0,(COUNTIF($DA18:$DD18,"Reação")+COUNTIF($DY18:$DZ18,"Reação"))&gt;0),"Rápido não entra com Reação",""),IF(AND((COUNTIF($DA18:$DD18,"Rápido")+COUNTIF($DY18:$DZ18,"Rápido"))&gt;0,(COUNTIF($DA18:$DD18,"Atrasar")+COUNTIF($DY18:$DZ18,"Atrasar"))&gt;0),"Rápido não entra com Atrasar",""),IF(AND((COUNTIF($DA18:$DD18,"Reação")+COUNTIF($DY18:$DZ18,"Reação"))&gt;0,(COUNTIF($DA18:$DD18,"Atrasar")+COUNTIF($DY18:$DZ18,"Atrasar"))&gt;0),"Reação não entra com Atrasar",""),IF(AND((COUNTIF($DA18:$DD18,"Reação")+COUNTIF($DY18:$DZ18,"Reação"))&gt;0,(COUNTIF($DA18:$DD18,"Parado")+COUNTIF($DY18:$DZ18,"Parado"))&gt;0),"Reação não entra com Parado",""),IF(AND(COUNTIF($DY18:$DZ18,"Corpo a Corpo")&gt;0,$DT18=0,OR($CZ18="Cone",$CZ18="Linha")),"Corpo a Corpo não entra em "&amp;$CZ18,""),IF(AND(COUNTIF($DY18:$DZ18,"Corpo a Corpo")&gt;0,$DT18=1),"A Forma "&amp;$CZ18&amp;" já traz o Corpo a Corpo",""),IF(AND(COUNTIF($DY18:$DZ18,"Tudo ou Nada")&gt;0,$DV18=0),"Tudo ou Nada só entra em feitiço de Teste de Resistência",""),IF(AND(COUNTIF($DA18:$DD18,"Inescapável")&gt;0,OR($EI18&gt;1,$EJ18&gt;0)),"Inescapável não aceita outra peça",""),IF(AND($CV18=1,$CX18&lt;3),"Liberação Máxima é de Classe 3 ou mais",""),IF(AND($CV18=1,OR($DU18=1,$DU18=2)),"Liberação Máxima não serve para cura",""),IF(AND($CV18=1,COUNTIF($DA18:$DD18,"Inescapável")+COUNTIF($DA18:$DD18,"Toca a Alma")&gt;0),"Esta peça não entra numa Liberação Máxima",""),IF($EQ18+$ER18&gt;4*$CX18,($EQ18+$ER18)&amp;" dados somando alvos e repetições: o teto da Classe "&amp;$CX18&amp;" é "&amp;4*$CX18,"")))</f>
        <v/>
      </c>
      <c r="FH18" s="141">
        <f>IF($FG18="",0,(LEN($FG18)-LEN(SUBSTITUTE($FG18," · ","")))/3+1)</f>
        <v/>
      </c>
      <c r="FI18" s="141">
        <f>IF($DG18=0,"",TEXTJOIN(" · ",TRUE,IF($EL18&gt;2*$CX18,"A devolução parou no teto de "&amp;2*$CX18,""),IF($EO18&gt;0,"Devolução perdida: "&amp;$EO18&amp;IF($EO18&gt;1," pontos"," ponto")&amp;" sem peça para pagar",""),IF(AND($DS18&gt;0,$EQ18=0),"Controle sem dano: uma rodada a mais e CD +2",""),IF(AND($DS18&gt;0,$EQ18&gt;0,$EQ18&lt;=$CX18),"Controle com um quarto do teto: uma rodada a mais","")))</f>
        <v/>
      </c>
      <c r="FJ18" s="141">
        <f>IF($FI18="",0,(LEN($FI18)-LEN(SUBSTITUTE($FI18," · ","")))/3+1)</f>
        <v/>
      </c>
      <c r="FK18" s="141">
        <f>IF($DG18=0,IF($EI18+$EJ18-$DT18&gt;0,"Dê um nome",""),IF($FH18&gt;0,"⚠ "&amp;$FH18&amp;IF($FH18&gt;1," erros"," erro"),IF($FJ18&gt;0,"! "&amp;$FJ18&amp;IF($FJ18&gt;1," avisos"," aviso"),"Na regra")))</f>
        <v/>
      </c>
      <c r="FL18" s="141">
        <f>IF($DG18=0,"",IF($FH18+$FJ18=0,"Dentro das regras que a ficha confere",$FG18&amp;IF(AND($FH18&gt;0,$FJ18&gt;0)," · ","")&amp;$FI18))</f>
        <v/>
      </c>
      <c r="FM18" s="141">
        <f>IF($DG18=0,"",IF($CV18=1,CEILING(4.5*$CX18,1),3*$CX18)&amp;" PE")</f>
        <v/>
      </c>
      <c r="FN18" s="141">
        <f>IF($DG18=0,"",IF($CV18=1,"Rodada inteira",IF(COUNTIF($DY18:$DZ18,"Atrasar")&gt;0,IF(COUNTIF($DY18:$DZ18,"Carregar")&gt;0,"Rodada +1 turno","Rodada inteira"),IF(COUNTIF($DA18:$DD18,"Rápido")&gt;0,"Bônus",IF(COUNTIF($DA18:$DD18,"Reação")&gt;0,"Reação","Padrão"))&amp;IF(COUNTIF($DY18:$DZ18,"Carregar")&gt;0," +1 turno",""))))</f>
        <v/>
      </c>
      <c r="FO18" s="141">
        <f>IF(OR($DG18=0,$DH18=0),"",IF(COUNTIF($DA18:$DD18,"Inescapável")&gt;0,"Automático",IF(COUNTIF($DA18:$DD18,"Certeiro")&gt;0,"TR para metade",INDEX($X$2:$X$11,$DH18))))</f>
        <v/>
      </c>
      <c r="FP18" s="141">
        <f>IF(OR($DG18=0,$DH18=0),"",IF(OR($DU18&gt;=2,$EQ18=0),UPPER(LEFT(INDEX($EZ18:$FF18,1,$CX18),1))&amp;MID(INDEX($EZ18:$FF18,1,$CX18),2,99),UPPER(LEFT(INDEX($EZ18:$FF18,1,$CX18),1))&amp;MID(INDEX($EZ18:$FF18,1,$CX18),2,99)&amp;" = "&amp;FLOOR($EQ18*4.5,1)&amp;IF($ER18&gt;0," · +"&amp;$ER18&amp;"d8","")))</f>
        <v/>
      </c>
      <c r="FQ18" s="141">
        <f>COUNTIF($DA18:$DD18,"Longe")+3*COUNTIF($DA18:$DD18,"Muito Longe")</f>
        <v/>
      </c>
      <c r="FR18" s="141">
        <f>COUNTIF($DA18:$DD18,"Maior")+3*COUNTIF($DA18:$DD18,"Muito Maior")</f>
        <v/>
      </c>
      <c r="FS18" s="141">
        <f>IF($DH18=0,0,CHOOSE(1+INDEX($Z$2:$Z$11,$DH18),0,$FQ18,$FR18,$FQ18+$FR18))</f>
        <v/>
      </c>
      <c r="FT18" s="141">
        <f>IF($DH18=0,0,CHOOSE(1+INDEX($AA$2:$AA$11,$DH18),0,$FQ18,$FR18,$FQ18+$FR18))</f>
        <v/>
      </c>
      <c r="FU18" s="141">
        <f>IF(OR($DG18=0,$DH18=0),"",INDEX($AH$2:$AM$31,($DH18-1)*3+IF($CX18&gt;=6,3,2),1+MIN(5,$FS18))&amp;INDEX($AN$2:$AS$31,($DH18-1)*3+IF($CX18&gt;=6,3,2),1+MIN(5,$FT18))&amp;IF(INDEX($AB$2:$AB$11,$DH18)=1,IF(COUNTIF($DA18:$DD18,"Mais Um")&gt;0," · +"&amp;COUNTIF($DA18:$DD18,"Mais Um")&amp;IF(COUNTIF($DA18:$DD18,"Mais Um")&gt;1," alvos"," alvo"),"")&amp;IF(COUNTIF($DA18:$DD18,"Rajada")&gt;0," · "&amp;($CX18+1)&amp;" tiros",""),""))</f>
        <v/>
      </c>
      <c r="FV18" s="141">
        <f>IF($DG18=0,"",3*$CX18&amp;" − "&amp;$EK18&amp;" + "&amp;$EN18&amp;IF($CV18=1," + "&amp;$CX18,"")&amp;" = "&amp;$EQ18&amp;"d8 · teto "&amp;4*$CX18&amp;IF($DT18=1," · a Forma devolve "&amp;$CX18,"")&amp;IF($EO18&gt;0," · perde "&amp;$EO18,""))</f>
        <v/>
      </c>
      <c r="FW18" s="141">
        <f>IF($DG18=0,"",IF($CX18&gt;=$GF$4,"Já está na maior Classe que o nível liberou",TEXTJOIN(" · ",TRUE,IF(AND(2&gt;$CX18,2&lt;=$GF$4),"2 → "&amp;$FA18&amp;", "&amp;IF($CV18=1,9,6)&amp;" PE",""),IF(AND(3&gt;$CX18,3&lt;=$GF$4),"3 → "&amp;$FB18&amp;", "&amp;IF($CV18=1,14,9)&amp;" PE",""),IF(AND(4&gt;$CX18,4&lt;=$GF$4),"4 → "&amp;$FC18&amp;", "&amp;IF($CV18=1,18,12)&amp;" PE",""),IF(AND(5&gt;$CX18,5&lt;=$GF$4),"5 → "&amp;$FD18&amp;", "&amp;IF($CV18=1,23,15)&amp;" PE",""),IF(AND(6&gt;$CX18,6&lt;=$GF$4),"6 → "&amp;$FE18&amp;", "&amp;IF($CV18=1,27,18)&amp;" PE",""),IF(AND(7&gt;$CX18,7&lt;=$GF$4),"7 → "&amp;$FF18&amp;", "&amp;IF($CV18=1,32,21)&amp;" PE",""))))</f>
        <v/>
      </c>
      <c r="FX18" s="141">
        <f>IF(OR($DG18=0,$DJ18=0),"","−"&amp;INDEX($I$2:$N$8,$CX18,$DJ18)&amp;" · "&amp;CHOOSE($DJ18,"Leve","Média","Pesada","Leve · Livre","Média · Livre","Pesada · Livre"))</f>
        <v/>
      </c>
      <c r="FY18" s="141">
        <f>IF(OR($DG18=0,$DK18=0),"","−"&amp;INDEX($I$2:$N$8,$CX18,$DK18)&amp;" · "&amp;CHOOSE($DK18,"Leve","Média","Pesada","Leve · Livre","Média · Livre","Pesada · Livre"))</f>
        <v/>
      </c>
      <c r="FZ18" s="141">
        <f>IF(OR($DG18=0,$DL18=0),"","−"&amp;INDEX($I$2:$N$8,$CX18,$DL18)&amp;" · "&amp;CHOOSE($DL18,"Leve","Média","Pesada","Leve · Livre","Média · Livre","Pesada · Livre"))</f>
        <v/>
      </c>
      <c r="GA18" s="141">
        <f>IF(OR($DG18=0,$DM18=0),"","−"&amp;INDEX($I$2:$N$8,$CX18,$DM18)&amp;" · "&amp;CHOOSE($DM18,"Leve","Média","Pesada","Leve · Livre","Média · Livre","Pesada · Livre"))</f>
        <v/>
      </c>
      <c r="GB18" s="141">
        <f>IF(OR($DG18=0,$DE18=""),"","+"&amp;IF($DW18=1,CEILING($CX18/2,1),$CX18))</f>
        <v/>
      </c>
      <c r="GC18" s="141">
        <f>IF(OR($DG18=0,$DF18=""),"","+"&amp;IF($DX18=1,CEILING($CX18/2,1),$CX18))</f>
        <v/>
      </c>
      <c r="GE18" s="114" t="inlineStr">
        <is>
          <t>espaços em passivas</t>
        </is>
      </c>
      <c r="GF18" s="141">
        <f>IFERROR(VLOOKUP('FICHA AMALDIÇOADA'!$D$373,$BJ$2:$BL$20,2,FALSE),0)+IFERROR(VLOOKUP('FICHA AMALDIÇOADA'!$J$373,$BJ$2:$BL$20,2,FALSE),0)+IFERROR(VLOOKUP('FICHA AMALDIÇOADA'!$P$373,$BJ$2:$BL$20,2,FALSE),0)+IFERROR(VLOOKUP('FICHA AMALDIÇOADA'!$D$381,$BJ$2:$BL$20,2,FALSE),0)+IFERROR(VLOOKUP('FICHA AMALDIÇOADA'!$J$381,$BJ$2:$BL$20,2,FALSE),0)+$GF$17</f>
        <v/>
      </c>
      <c r="HJ18" s="114" t="inlineStr">
        <is>
          <t>R337</t>
        </is>
      </c>
      <c r="HK18" s="141">
        <f>IF(DADOS_AM!$GF$35=0,"—",IF(OR(DADOS_AM!$GF$37&gt;DADOS_AM!$GF$36,DADOS_AM!$GF$38&gt;0),"⚠ ","")&amp;DADOS_AM!$GF$37&amp;" de "&amp;DADOS_AM!$GF$36&amp;IF(DADOS_AM!$GF$38&gt;0," · Família Fechada",""))</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41" t="n">
        <v>2</v>
      </c>
      <c r="AX19" s="141">
        <f>$AW19+3*IFERROR(VLOOKUP($AV19,$A$2:$D$10,3,FALSE),0)</f>
        <v/>
      </c>
      <c r="AY19" s="141">
        <f>IFERROR(VLOOKUP($AV19,$A$2:$D$10,4,FALSE),0)</f>
        <v/>
      </c>
      <c r="AZ19" s="141" t="n">
        <v>0</v>
      </c>
      <c r="BA19" s="141">
        <f>IF($AY19=1,"",$AU19)</f>
        <v/>
      </c>
      <c r="BB19" s="141">
        <f>IF(AND($AW19=1,$AY19=0),$AU19,"")</f>
        <v/>
      </c>
      <c r="BD19" s="114" t="inlineStr">
        <is>
          <t>Aquecer</t>
        </is>
      </c>
      <c r="BE19" s="114" t="inlineStr">
        <is>
          <t>Aquecer</t>
        </is>
      </c>
      <c r="BF19" s="141" t="n">
        <v>1</v>
      </c>
      <c r="BG19" s="141" t="n">
        <v>1</v>
      </c>
      <c r="BH19" s="114" t="inlineStr">
        <is>
          <t>Aquecer</t>
        </is>
      </c>
      <c r="BJ19" s="114" t="inlineStr">
        <is>
          <t>Passiva Própria (CP 2)</t>
        </is>
      </c>
      <c r="BK19" s="141" t="n">
        <v>2</v>
      </c>
      <c r="BL19" s="114" t="inlineStr">
        <is>
          <t>Qualquer outra coisa, montada com o mestre na escala das outras entradas desta tabela. Escreva a sua na caixa de baixo.</t>
        </is>
      </c>
      <c r="CU19" s="114" t="inlineStr">
        <is>
          <t>Feitiço 18</t>
        </is>
      </c>
      <c r="CV19" s="141" t="n">
        <v>0</v>
      </c>
      <c r="CW19" s="141" t="n">
        <v>18</v>
      </c>
      <c r="CX19" s="141">
        <f>MAX(1,MIN(7,N('FICHA AMALDIÇOADA'!$P$152)))</f>
        <v/>
      </c>
      <c r="CY19" s="141">
        <f>'FICHA AMALDIÇOADA'!$Q$152&amp;""</f>
        <v/>
      </c>
      <c r="CZ19" s="141">
        <f>'FICHA AMALDIÇOADA'!$P$159&amp;""</f>
        <v/>
      </c>
      <c r="DA19" s="141">
        <f>'FICHA AMALDIÇOADA'!$Q$161&amp;""</f>
        <v/>
      </c>
      <c r="DB19" s="141">
        <f>'FICHA AMALDIÇOADA'!$Q$162&amp;""</f>
        <v/>
      </c>
      <c r="DC19" s="141">
        <f>'FICHA AMALDIÇOADA'!$Q$163&amp;""</f>
        <v/>
      </c>
      <c r="DD19" s="141">
        <f>'FICHA AMALDIÇOADA'!$Q$164&amp;""</f>
        <v/>
      </c>
      <c r="DE19" s="141">
        <f>'FICHA AMALDIÇOADA'!$Q$165&amp;""</f>
        <v/>
      </c>
      <c r="DF19" s="141">
        <f>'FICHA AMALDIÇOADA'!$Q$166&amp;""</f>
        <v/>
      </c>
      <c r="DG19" s="141">
        <f>IF($CY19&lt;&gt;"",1,0)</f>
        <v/>
      </c>
      <c r="DH19" s="141">
        <f>IFERROR(MATCH($CZ19,$Q$2:$Q$11,0),0)</f>
        <v/>
      </c>
      <c r="DI19" s="141">
        <f>IF($DH19=0,0,INDEX($T$2:$T$11,$DH19))</f>
        <v/>
      </c>
      <c r="DJ19" s="141">
        <f>IFERROR(VLOOKUP($DA19,$AU$2:$BB$84,4,FALSE),0)</f>
        <v/>
      </c>
      <c r="DK19" s="141">
        <f>IFERROR(VLOOKUP($DB19,$AU$2:$BB$84,4,FALSE),0)</f>
        <v/>
      </c>
      <c r="DL19" s="141">
        <f>IFERROR(VLOOKUP($DC19,$AU$2:$BB$84,4,FALSE),0)</f>
        <v/>
      </c>
      <c r="DM19" s="141">
        <f>IFERROR(VLOOKUP($DD19,$AU$2:$BB$84,4,FALSE),0)</f>
        <v/>
      </c>
      <c r="DN19" s="141">
        <f>IF($DH19=0,0,INDEX($U$2:$U$11,$DH19))</f>
        <v/>
      </c>
      <c r="DO19" s="141">
        <f>IFERROR(VLOOKUP($DA19,$AU$2:$BB$84,5,FALSE),0)</f>
        <v/>
      </c>
      <c r="DP19" s="141">
        <f>IFERROR(VLOOKUP($DB19,$AU$2:$BB$84,5,FALSE),0)</f>
        <v/>
      </c>
      <c r="DQ19" s="141">
        <f>IFERROR(VLOOKUP($DC19,$AU$2:$BB$84,5,FALSE),0)</f>
        <v/>
      </c>
      <c r="DR19" s="141">
        <f>IFERROR(VLOOKUP($DD19,$AU$2:$BB$84,5,FALSE),0)</f>
        <v/>
      </c>
      <c r="DS19" s="141">
        <f>IFERROR(VLOOKUP($DA19,$AU$2:$BB$84,6,FALSE),0)+IFERROR(VLOOKUP($DB19,$AU$2:$BB$84,6,FALSE),0)+IFERROR(VLOOKUP($DC19,$AU$2:$BB$84,6,FALSE),0)+IFERROR(VLOOKUP($DD19,$AU$2:$BB$84,6,FALSE),0)</f>
        <v/>
      </c>
      <c r="DT19" s="141">
        <f>IF($DH19=0,0,INDEX($V$2:$V$11,$DH19))</f>
        <v/>
      </c>
      <c r="DU19" s="141">
        <f>IF($DH19=0,0,INDEX($W$2:$W$11,$DH19))</f>
        <v/>
      </c>
      <c r="DV19" s="141">
        <f>IF($DH19=0,0,INDEX($Y$2:$Y$11,$DH19))</f>
        <v/>
      </c>
      <c r="DW19" s="141">
        <f>IFERROR(VLOOKUP($DE19,$BD$2:$BH$24,3,FALSE),0)</f>
        <v/>
      </c>
      <c r="DX19" s="141">
        <f>IFERROR(VLOOKUP($DF19,$BD$2:$BH$24,3,FALSE),0)</f>
        <v/>
      </c>
      <c r="DY19" s="141">
        <f>IFERROR(VLOOKUP($DE19,$BD$2:$BH$24,2,FALSE),"")</f>
        <v/>
      </c>
      <c r="DZ19" s="141">
        <f>IFERROR(VLOOKUP($DF19,$BD$2:$BH$24,2,FALSE),"")</f>
        <v/>
      </c>
      <c r="EA19" s="141">
        <f>COUNTIF($DI19:$DM19,1)</f>
        <v/>
      </c>
      <c r="EB19" s="141">
        <f>COUNTIF($DI19:$DM19,2)</f>
        <v/>
      </c>
      <c r="EC19" s="141">
        <f>COUNTIF($DI19:$DM19,3)</f>
        <v/>
      </c>
      <c r="ED19" s="141">
        <f>COUNTIF($DI19:$DM19,4)</f>
        <v/>
      </c>
      <c r="EE19" s="141">
        <f>COUNTIF($DI19:$DM19,5)</f>
        <v/>
      </c>
      <c r="EF19" s="141">
        <f>COUNTIF($DI19:$DM19,6)</f>
        <v/>
      </c>
      <c r="EG19" s="141">
        <f>COUNTIF($DW19:$DX19,1)</f>
        <v/>
      </c>
      <c r="EH19" s="141">
        <f>COUNTIF($DW19:$DX19,2)+$DT19</f>
        <v/>
      </c>
      <c r="EI19" s="141">
        <f>COUNTIF($DA19:$DD19,"?*")</f>
        <v/>
      </c>
      <c r="EJ19" s="141">
        <f>COUNTIF($DE19:$DF19,"?*")+$DT19</f>
        <v/>
      </c>
      <c r="EK19" s="141">
        <f>SUMPRODUCT($EA19:$EF19,INDEX($I$2:$N$8,$CX19,0))</f>
        <v/>
      </c>
      <c r="EL19" s="141">
        <f>$EG19*CEILING($CX19/2,1)+$EH19*$CX19</f>
        <v/>
      </c>
      <c r="EM19" s="141">
        <f>MIN(2*$CX19,$EL19)</f>
        <v/>
      </c>
      <c r="EN19" s="141">
        <f>MIN($EM19,$EK19)</f>
        <v/>
      </c>
      <c r="EO19" s="141">
        <f>$EM19-$EN19</f>
        <v/>
      </c>
      <c r="EP19" s="141">
        <f>3*$CX19-$EK19+$EN19</f>
        <v/>
      </c>
      <c r="EQ19" s="141">
        <f>MAX(0,$EP19)+$CV19*$CX19</f>
        <v/>
      </c>
      <c r="ER19" s="141">
        <f>(IF(COUNTIF($DA19:$DD19,"Salto")&gt;0,1,0)+IF(COUNTIF($DA19:$DD19,"Queima")&gt;0,1,0))*FLOOR($EQ19/2,1)</f>
        <v/>
      </c>
      <c r="ES19" s="141">
        <f>MAX(0,3-SUMPRODUCT($EA19:$EF19,$I$2:$N$2)+MIN(2,$EG19*1+$EH19*1,SUMPRODUCT($EA19:$EF19,$I$2:$N$2)))+$CV19*1</f>
        <v/>
      </c>
      <c r="ET19" s="141">
        <f>MAX(0,6-SUMPRODUCT($EA19:$EF19,$I$3:$N$3)+MIN(4,$EG19*1+$EH19*2,SUMPRODUCT($EA19:$EF19,$I$3:$N$3)))+$CV19*2</f>
        <v/>
      </c>
      <c r="EU19" s="141">
        <f>MAX(0,9-SUMPRODUCT($EA19:$EF19,$I$4:$N$4)+MIN(6,$EG19*2+$EH19*3,SUMPRODUCT($EA19:$EF19,$I$4:$N$4)))+$CV19*3</f>
        <v/>
      </c>
      <c r="EV19" s="141">
        <f>MAX(0,12-SUMPRODUCT($EA19:$EF19,$I$5:$N$5)+MIN(8,$EG19*2+$EH19*4,SUMPRODUCT($EA19:$EF19,$I$5:$N$5)))+$CV19*4</f>
        <v/>
      </c>
      <c r="EW19" s="141">
        <f>MAX(0,15-SUMPRODUCT($EA19:$EF19,$I$6:$N$6)+MIN(10,$EG19*3+$EH19*5,SUMPRODUCT($EA19:$EF19,$I$6:$N$6)))+$CV19*5</f>
        <v/>
      </c>
      <c r="EX19" s="141">
        <f>MAX(0,18-SUMPRODUCT($EA19:$EF19,$I$7:$N$7)+MIN(12,$EG19*3+$EH19*6,SUMPRODUCT($EA19:$EF19,$I$7:$N$7)))+$CV19*6</f>
        <v/>
      </c>
      <c r="EY19" s="141">
        <f>MAX(0,21-SUMPRODUCT($EA19:$EF19,$I$8:$N$8)+MIN(14,$EG19*4+$EH19*7,SUMPRODUCT($EA19:$EF19,$I$8:$N$8)))+$CV19*7</f>
        <v/>
      </c>
      <c r="EZ19" s="141">
        <f>IF($DU19=2,3*$ES19&amp;" de vida temp.",IF($DU19=3,"sem dano",IF($ES19=0,IF($DU19=1,"sem cura","sem dano"),IF($DU19=1,"cura ","")&amp;$ES19&amp;"d8")))</f>
        <v/>
      </c>
      <c r="FA19" s="141">
        <f>IF($DU19=2,3*$ET19&amp;" de vida temp.",IF($DU19=3,"sem dano",IF($ET19=0,IF($DU19=1,"sem cura","sem dano"),IF($DU19=1,"cura ","")&amp;$ET19&amp;"d8")))</f>
        <v/>
      </c>
      <c r="FB19" s="141">
        <f>IF($DU19=2,3*$EU19&amp;" de vida temp.",IF($DU19=3,"sem dano",IF($EU19=0,IF($DU19=1,"sem cura","sem dano"),IF($DU19=1,"cura ","")&amp;$EU19&amp;"d8")))</f>
        <v/>
      </c>
      <c r="FC19" s="141">
        <f>IF($DU19=2,3*$EV19&amp;" de vida temp.",IF($DU19=3,"sem dano",IF($EV19=0,IF($DU19=1,"sem cura","sem dano"),IF($DU19=1,"cura ","")&amp;$EV19&amp;"d8")))</f>
        <v/>
      </c>
      <c r="FD19" s="141">
        <f>IF($DU19=2,3*$EW19&amp;" de vida temp.",IF($DU19=3,"sem dano",IF($EW19=0,IF($DU19=1,"sem cura","sem dano"),IF($DU19=1,"cura ","")&amp;$EW19&amp;"d8")))</f>
        <v/>
      </c>
      <c r="FE19" s="141">
        <f>IF($DU19=2,3*$EX19&amp;" de vida temp.",IF($DU19=3,"sem dano",IF($EX19=0,IF($DU19=1,"sem cura","sem dano"),IF($DU19=1,"cura ","")&amp;$EX19&amp;"d8")))</f>
        <v/>
      </c>
      <c r="FF19" s="141">
        <f>IF($DU19=2,3*$EY19&amp;" de vida temp.",IF($DU19=3,"sem dano",IF($EY19=0,IF($DU19=1,"sem cura","sem dano"),IF($DU19=1,"cura ","")&amp;$EY19&amp;"d8")))</f>
        <v/>
      </c>
      <c r="FG19" s="141">
        <f>IF($DG19=0,"",TEXTJOIN(" · ",TRUE,IF(AND($CV19=1,$CW19&gt;$GF$9),"O nível "&amp;$GF$2&amp;" dá "&amp;$GF$9&amp;" Liberação Máxima",""),IF($CX19&gt;$GF$4,"Classe "&amp;$CX19&amp;": o nível "&amp;$GF$2&amp;" libera até a "&amp;$GF$4,""),IF($DN19=1,"Família Fechada: a Forma "&amp;$CZ19,""),IF($DO19=1,"Família Fechada: "&amp;$DA19,""),IF($DP19=1,"Família Fechada: "&amp;$DB19,""),IF($DQ19=1,"Família Fechada: "&amp;$DC19,""),IF($DR19=1,"Família Fechada: "&amp;$DD19,""),IF($EI19&gt;INDEX($O$2:$O$8,$CX19),$EI19&amp;" Melhorias: a Classe "&amp;$CX19&amp;" aceita "&amp;INDEX($O$2:$O$8,$CX19),""),IF($EJ19&gt;2,$EJ19&amp;" Restrições"&amp;IF($DT19=1,", contando a que a Forma "&amp;$CZ19&amp;" já traz","")&amp;": o limite é 2",""),IF($EP19&lt;0,"Orçamento estourado: faltam "&amp;(-$EP19)&amp;IF($EP19&lt;-1," pontos"," ponto"),""),IF(IFERROR(VLOOKUP($DE19,$BD$2:$BH$24,4,FALSE),0)+IFERROR(VLOOKUP($DF19,$BD$2:$BH$24,4,FALSE),0)&gt;1,$DY19&amp;" e "&amp;$DZ19&amp;" são as duas de frequência",""),IF(AND((COUNTIF($DA19:$DD19,"Rápido")+COUNTIF($DY19:$DZ19,"Rápido"))&gt;0,(COUNTIF($DA19:$DD19,"Reação")+COUNTIF($DY19:$DZ19,"Reação"))&gt;0),"Rápido não entra com Reação",""),IF(AND((COUNTIF($DA19:$DD19,"Rápido")+COUNTIF($DY19:$DZ19,"Rápido"))&gt;0,(COUNTIF($DA19:$DD19,"Atrasar")+COUNTIF($DY19:$DZ19,"Atrasar"))&gt;0),"Rápido não entra com Atrasar",""),IF(AND((COUNTIF($DA19:$DD19,"Reação")+COUNTIF($DY19:$DZ19,"Reação"))&gt;0,(COUNTIF($DA19:$DD19,"Atrasar")+COUNTIF($DY19:$DZ19,"Atrasar"))&gt;0),"Reação não entra com Atrasar",""),IF(AND((COUNTIF($DA19:$DD19,"Reação")+COUNTIF($DY19:$DZ19,"Reação"))&gt;0,(COUNTIF($DA19:$DD19,"Parado")+COUNTIF($DY19:$DZ19,"Parado"))&gt;0),"Reação não entra com Parado",""),IF(AND(COUNTIF($DY19:$DZ19,"Corpo a Corpo")&gt;0,$DT19=0,OR($CZ19="Cone",$CZ19="Linha")),"Corpo a Corpo não entra em "&amp;$CZ19,""),IF(AND(COUNTIF($DY19:$DZ19,"Corpo a Corpo")&gt;0,$DT19=1),"A Forma "&amp;$CZ19&amp;" já traz o Corpo a Corpo",""),IF(AND(COUNTIF($DY19:$DZ19,"Tudo ou Nada")&gt;0,$DV19=0),"Tudo ou Nada só entra em feitiço de Teste de Resistência",""),IF(AND(COUNTIF($DA19:$DD19,"Inescapável")&gt;0,OR($EI19&gt;1,$EJ19&gt;0)),"Inescapável não aceita outra peça",""),IF(AND($CV19=1,$CX19&lt;3),"Liberação Máxima é de Classe 3 ou mais",""),IF(AND($CV19=1,OR($DU19=1,$DU19=2)),"Liberação Máxima não serve para cura",""),IF(AND($CV19=1,COUNTIF($DA19:$DD19,"Inescapável")+COUNTIF($DA19:$DD19,"Toca a Alma")&gt;0),"Esta peça não entra numa Liberação Máxima",""),IF($EQ19+$ER19&gt;4*$CX19,($EQ19+$ER19)&amp;" dados somando alvos e repetições: o teto da Classe "&amp;$CX19&amp;" é "&amp;4*$CX19,"")))</f>
        <v/>
      </c>
      <c r="FH19" s="141">
        <f>IF($FG19="",0,(LEN($FG19)-LEN(SUBSTITUTE($FG19," · ","")))/3+1)</f>
        <v/>
      </c>
      <c r="FI19" s="141">
        <f>IF($DG19=0,"",TEXTJOIN(" · ",TRUE,IF($EL19&gt;2*$CX19,"A devolução parou no teto de "&amp;2*$CX19,""),IF($EO19&gt;0,"Devolução perdida: "&amp;$EO19&amp;IF($EO19&gt;1," pontos"," ponto")&amp;" sem peça para pagar",""),IF(AND($DS19&gt;0,$EQ19=0),"Controle sem dano: uma rodada a mais e CD +2",""),IF(AND($DS19&gt;0,$EQ19&gt;0,$EQ19&lt;=$CX19),"Controle com um quarto do teto: uma rodada a mais","")))</f>
        <v/>
      </c>
      <c r="FJ19" s="141">
        <f>IF($FI19="",0,(LEN($FI19)-LEN(SUBSTITUTE($FI19," · ","")))/3+1)</f>
        <v/>
      </c>
      <c r="FK19" s="141">
        <f>IF($DG19=0,IF($EI19+$EJ19-$DT19&gt;0,"Dê um nome",""),IF($FH19&gt;0,"⚠ "&amp;$FH19&amp;IF($FH19&gt;1," erros"," erro"),IF($FJ19&gt;0,"! "&amp;$FJ19&amp;IF($FJ19&gt;1," avisos"," aviso"),"Na regra")))</f>
        <v/>
      </c>
      <c r="FL19" s="141">
        <f>IF($DG19=0,"",IF($FH19+$FJ19=0,"Dentro das regras que a ficha confere",$FG19&amp;IF(AND($FH19&gt;0,$FJ19&gt;0)," · ","")&amp;$FI19))</f>
        <v/>
      </c>
      <c r="FM19" s="141">
        <f>IF($DG19=0,"",IF($CV19=1,CEILING(4.5*$CX19,1),3*$CX19)&amp;" PE")</f>
        <v/>
      </c>
      <c r="FN19" s="141">
        <f>IF($DG19=0,"",IF($CV19=1,"Rodada inteira",IF(COUNTIF($DY19:$DZ19,"Atrasar")&gt;0,IF(COUNTIF($DY19:$DZ19,"Carregar")&gt;0,"Rodada +1 turno","Rodada inteira"),IF(COUNTIF($DA19:$DD19,"Rápido")&gt;0,"Bônus",IF(COUNTIF($DA19:$DD19,"Reação")&gt;0,"Reação","Padrão"))&amp;IF(COUNTIF($DY19:$DZ19,"Carregar")&gt;0," +1 turno",""))))</f>
        <v/>
      </c>
      <c r="FO19" s="141">
        <f>IF(OR($DG19=0,$DH19=0),"",IF(COUNTIF($DA19:$DD19,"Inescapável")&gt;0,"Automático",IF(COUNTIF($DA19:$DD19,"Certeiro")&gt;0,"TR para metade",INDEX($X$2:$X$11,$DH19))))</f>
        <v/>
      </c>
      <c r="FP19" s="141">
        <f>IF(OR($DG19=0,$DH19=0),"",IF(OR($DU19&gt;=2,$EQ19=0),UPPER(LEFT(INDEX($EZ19:$FF19,1,$CX19),1))&amp;MID(INDEX($EZ19:$FF19,1,$CX19),2,99),UPPER(LEFT(INDEX($EZ19:$FF19,1,$CX19),1))&amp;MID(INDEX($EZ19:$FF19,1,$CX19),2,99)&amp;" = "&amp;FLOOR($EQ19*4.5,1)&amp;IF($ER19&gt;0," · +"&amp;$ER19&amp;"d8","")))</f>
        <v/>
      </c>
      <c r="FQ19" s="141">
        <f>COUNTIF($DA19:$DD19,"Longe")+3*COUNTIF($DA19:$DD19,"Muito Longe")</f>
        <v/>
      </c>
      <c r="FR19" s="141">
        <f>COUNTIF($DA19:$DD19,"Maior")+3*COUNTIF($DA19:$DD19,"Muito Maior")</f>
        <v/>
      </c>
      <c r="FS19" s="141">
        <f>IF($DH19=0,0,CHOOSE(1+INDEX($Z$2:$Z$11,$DH19),0,$FQ19,$FR19,$FQ19+$FR19))</f>
        <v/>
      </c>
      <c r="FT19" s="141">
        <f>IF($DH19=0,0,CHOOSE(1+INDEX($AA$2:$AA$11,$DH19),0,$FQ19,$FR19,$FQ19+$FR19))</f>
        <v/>
      </c>
      <c r="FU19" s="141">
        <f>IF(OR($DG19=0,$DH19=0),"",INDEX($AH$2:$AM$31,($DH19-1)*3+IF($CX19&gt;=6,3,2),1+MIN(5,$FS19))&amp;INDEX($AN$2:$AS$31,($DH19-1)*3+IF($CX19&gt;=6,3,2),1+MIN(5,$FT19))&amp;IF(INDEX($AB$2:$AB$11,$DH19)=1,IF(COUNTIF($DA19:$DD19,"Mais Um")&gt;0," · +"&amp;COUNTIF($DA19:$DD19,"Mais Um")&amp;IF(COUNTIF($DA19:$DD19,"Mais Um")&gt;1," alvos"," alvo"),"")&amp;IF(COUNTIF($DA19:$DD19,"Rajada")&gt;0," · "&amp;($CX19+1)&amp;" tiros",""),""))</f>
        <v/>
      </c>
      <c r="FV19" s="141">
        <f>IF($DG19=0,"",3*$CX19&amp;" − "&amp;$EK19&amp;" + "&amp;$EN19&amp;IF($CV19=1," + "&amp;$CX19,"")&amp;" = "&amp;$EQ19&amp;"d8 · teto "&amp;4*$CX19&amp;IF($DT19=1," · a Forma devolve "&amp;$CX19,"")&amp;IF($EO19&gt;0," · perde "&amp;$EO19,""))</f>
        <v/>
      </c>
      <c r="FW19" s="141">
        <f>IF($DG19=0,"",IF($CX19&gt;=$GF$4,"Já está na maior Classe que o nível liberou",TEXTJOIN(" · ",TRUE,IF(AND(2&gt;$CX19,2&lt;=$GF$4),"2 → "&amp;$FA19&amp;", "&amp;IF($CV19=1,9,6)&amp;" PE",""),IF(AND(3&gt;$CX19,3&lt;=$GF$4),"3 → "&amp;$FB19&amp;", "&amp;IF($CV19=1,14,9)&amp;" PE",""),IF(AND(4&gt;$CX19,4&lt;=$GF$4),"4 → "&amp;$FC19&amp;", "&amp;IF($CV19=1,18,12)&amp;" PE",""),IF(AND(5&gt;$CX19,5&lt;=$GF$4),"5 → "&amp;$FD19&amp;", "&amp;IF($CV19=1,23,15)&amp;" PE",""),IF(AND(6&gt;$CX19,6&lt;=$GF$4),"6 → "&amp;$FE19&amp;", "&amp;IF($CV19=1,27,18)&amp;" PE",""),IF(AND(7&gt;$CX19,7&lt;=$GF$4),"7 → "&amp;$FF19&amp;", "&amp;IF($CV19=1,32,21)&amp;" PE",""))))</f>
        <v/>
      </c>
      <c r="FX19" s="141">
        <f>IF(OR($DG19=0,$DJ19=0),"","−"&amp;INDEX($I$2:$N$8,$CX19,$DJ19)&amp;" · "&amp;CHOOSE($DJ19,"Leve","Média","Pesada","Leve · Livre","Média · Livre","Pesada · Livre"))</f>
        <v/>
      </c>
      <c r="FY19" s="141">
        <f>IF(OR($DG19=0,$DK19=0),"","−"&amp;INDEX($I$2:$N$8,$CX19,$DK19)&amp;" · "&amp;CHOOSE($DK19,"Leve","Média","Pesada","Leve · Livre","Média · Livre","Pesada · Livre"))</f>
        <v/>
      </c>
      <c r="FZ19" s="141">
        <f>IF(OR($DG19=0,$DL19=0),"","−"&amp;INDEX($I$2:$N$8,$CX19,$DL19)&amp;" · "&amp;CHOOSE($DL19,"Leve","Média","Pesada","Leve · Livre","Média · Livre","Pesada · Livre"))</f>
        <v/>
      </c>
      <c r="GA19" s="141">
        <f>IF(OR($DG19=0,$DM19=0),"","−"&amp;INDEX($I$2:$N$8,$CX19,$DM19)&amp;" · "&amp;CHOOSE($DM19,"Leve","Média","Pesada","Leve · Livre","Média · Livre","Pesada · Livre"))</f>
        <v/>
      </c>
      <c r="GB19" s="141">
        <f>IF(OR($DG19=0,$DE19=""),"","+"&amp;IF($DW19=1,CEILING($CX19/2,1),$CX19))</f>
        <v/>
      </c>
      <c r="GC19" s="141">
        <f>IF(OR($DG19=0,$DF19=""),"","+"&amp;IF($DX19=1,CEILING($CX19/2,1),$CX19))</f>
        <v/>
      </c>
      <c r="GE19" s="114" t="inlineStr">
        <is>
          <t>espaços no domínio</t>
        </is>
      </c>
      <c r="GF19" s="141">
        <f>IFERROR(VLOOKUP($GF$34,$CJ$2:$CN$4,2,FALSE),0)</f>
        <v/>
      </c>
      <c r="HJ19" s="114" t="inlineStr">
        <is>
          <t>F351</t>
        </is>
      </c>
      <c r="HK19" s="141">
        <f>IF(DADOS_AM!$GF$34="","—",DADOS_AM!$GF$19&amp;" espaços")</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41" t="n">
        <v>2</v>
      </c>
      <c r="AX20" s="141">
        <f>$AW20+3*IFERROR(VLOOKUP($AV20,$A$2:$D$10,3,FALSE),0)</f>
        <v/>
      </c>
      <c r="AY20" s="141">
        <f>IFERROR(VLOOKUP($AV20,$A$2:$D$10,4,FALSE),0)</f>
        <v/>
      </c>
      <c r="AZ20" s="141" t="n">
        <v>0</v>
      </c>
      <c r="BA20" s="141">
        <f>IF($AY20=1,"",$AU20)</f>
        <v/>
      </c>
      <c r="BB20" s="141">
        <f>IF(AND($AW20=1,$AY20=0),$AU20,"")</f>
        <v/>
      </c>
      <c r="BD20" s="114" t="inlineStr">
        <is>
          <t>Dívida</t>
        </is>
      </c>
      <c r="BE20" s="114" t="inlineStr">
        <is>
          <t>Dívida</t>
        </is>
      </c>
      <c r="BF20" s="141" t="n">
        <v>2</v>
      </c>
      <c r="BG20" s="141" t="n">
        <v>1</v>
      </c>
      <c r="BH20" s="114" t="inlineStr"/>
      <c r="BJ20" s="114" t="inlineStr">
        <is>
          <t>Passiva Própria (CP 3)</t>
        </is>
      </c>
      <c r="BK20" s="141" t="n">
        <v>3</v>
      </c>
      <c r="BL20" s="114" t="inlineStr">
        <is>
          <t>Qualquer outra coisa, montada com o mestre na escala das outras entradas desta tabela. Escreva a sua na caixa de baixo.</t>
        </is>
      </c>
      <c r="CU20" s="114" t="inlineStr">
        <is>
          <t>Feitiço 19</t>
        </is>
      </c>
      <c r="CV20" s="141" t="n">
        <v>0</v>
      </c>
      <c r="CW20" s="141" t="n">
        <v>19</v>
      </c>
      <c r="CX20" s="141">
        <f>MAX(1,MIN(7,N('FICHA AMALDIÇOADA'!$D$173)))</f>
        <v/>
      </c>
      <c r="CY20" s="141">
        <f>'FICHA AMALDIÇOADA'!$E$173&amp;""</f>
        <v/>
      </c>
      <c r="CZ20" s="141">
        <f>'FICHA AMALDIÇOADA'!$D$180&amp;""</f>
        <v/>
      </c>
      <c r="DA20" s="141">
        <f>'FICHA AMALDIÇOADA'!$E$182&amp;""</f>
        <v/>
      </c>
      <c r="DB20" s="141">
        <f>'FICHA AMALDIÇOADA'!$E$183&amp;""</f>
        <v/>
      </c>
      <c r="DC20" s="141">
        <f>'FICHA AMALDIÇOADA'!$E$184&amp;""</f>
        <v/>
      </c>
      <c r="DD20" s="141">
        <f>'FICHA AMALDIÇOADA'!$E$185&amp;""</f>
        <v/>
      </c>
      <c r="DE20" s="141">
        <f>'FICHA AMALDIÇOADA'!$E$186&amp;""</f>
        <v/>
      </c>
      <c r="DF20" s="141">
        <f>'FICHA AMALDIÇOADA'!$E$187&amp;""</f>
        <v/>
      </c>
      <c r="DG20" s="141">
        <f>IF($CY20&lt;&gt;"",1,0)</f>
        <v/>
      </c>
      <c r="DH20" s="141">
        <f>IFERROR(MATCH($CZ20,$Q$2:$Q$11,0),0)</f>
        <v/>
      </c>
      <c r="DI20" s="141">
        <f>IF($DH20=0,0,INDEX($T$2:$T$11,$DH20))</f>
        <v/>
      </c>
      <c r="DJ20" s="141">
        <f>IFERROR(VLOOKUP($DA20,$AU$2:$BB$84,4,FALSE),0)</f>
        <v/>
      </c>
      <c r="DK20" s="141">
        <f>IFERROR(VLOOKUP($DB20,$AU$2:$BB$84,4,FALSE),0)</f>
        <v/>
      </c>
      <c r="DL20" s="141">
        <f>IFERROR(VLOOKUP($DC20,$AU$2:$BB$84,4,FALSE),0)</f>
        <v/>
      </c>
      <c r="DM20" s="141">
        <f>IFERROR(VLOOKUP($DD20,$AU$2:$BB$84,4,FALSE),0)</f>
        <v/>
      </c>
      <c r="DN20" s="141">
        <f>IF($DH20=0,0,INDEX($U$2:$U$11,$DH20))</f>
        <v/>
      </c>
      <c r="DO20" s="141">
        <f>IFERROR(VLOOKUP($DA20,$AU$2:$BB$84,5,FALSE),0)</f>
        <v/>
      </c>
      <c r="DP20" s="141">
        <f>IFERROR(VLOOKUP($DB20,$AU$2:$BB$84,5,FALSE),0)</f>
        <v/>
      </c>
      <c r="DQ20" s="141">
        <f>IFERROR(VLOOKUP($DC20,$AU$2:$BB$84,5,FALSE),0)</f>
        <v/>
      </c>
      <c r="DR20" s="141">
        <f>IFERROR(VLOOKUP($DD20,$AU$2:$BB$84,5,FALSE),0)</f>
        <v/>
      </c>
      <c r="DS20" s="141">
        <f>IFERROR(VLOOKUP($DA20,$AU$2:$BB$84,6,FALSE),0)+IFERROR(VLOOKUP($DB20,$AU$2:$BB$84,6,FALSE),0)+IFERROR(VLOOKUP($DC20,$AU$2:$BB$84,6,FALSE),0)+IFERROR(VLOOKUP($DD20,$AU$2:$BB$84,6,FALSE),0)</f>
        <v/>
      </c>
      <c r="DT20" s="141">
        <f>IF($DH20=0,0,INDEX($V$2:$V$11,$DH20))</f>
        <v/>
      </c>
      <c r="DU20" s="141">
        <f>IF($DH20=0,0,INDEX($W$2:$W$11,$DH20))</f>
        <v/>
      </c>
      <c r="DV20" s="141">
        <f>IF($DH20=0,0,INDEX($Y$2:$Y$11,$DH20))</f>
        <v/>
      </c>
      <c r="DW20" s="141">
        <f>IFERROR(VLOOKUP($DE20,$BD$2:$BH$24,3,FALSE),0)</f>
        <v/>
      </c>
      <c r="DX20" s="141">
        <f>IFERROR(VLOOKUP($DF20,$BD$2:$BH$24,3,FALSE),0)</f>
        <v/>
      </c>
      <c r="DY20" s="141">
        <f>IFERROR(VLOOKUP($DE20,$BD$2:$BH$24,2,FALSE),"")</f>
        <v/>
      </c>
      <c r="DZ20" s="141">
        <f>IFERROR(VLOOKUP($DF20,$BD$2:$BH$24,2,FALSE),"")</f>
        <v/>
      </c>
      <c r="EA20" s="141">
        <f>COUNTIF($DI20:$DM20,1)</f>
        <v/>
      </c>
      <c r="EB20" s="141">
        <f>COUNTIF($DI20:$DM20,2)</f>
        <v/>
      </c>
      <c r="EC20" s="141">
        <f>COUNTIF($DI20:$DM20,3)</f>
        <v/>
      </c>
      <c r="ED20" s="141">
        <f>COUNTIF($DI20:$DM20,4)</f>
        <v/>
      </c>
      <c r="EE20" s="141">
        <f>COUNTIF($DI20:$DM20,5)</f>
        <v/>
      </c>
      <c r="EF20" s="141">
        <f>COUNTIF($DI20:$DM20,6)</f>
        <v/>
      </c>
      <c r="EG20" s="141">
        <f>COUNTIF($DW20:$DX20,1)</f>
        <v/>
      </c>
      <c r="EH20" s="141">
        <f>COUNTIF($DW20:$DX20,2)+$DT20</f>
        <v/>
      </c>
      <c r="EI20" s="141">
        <f>COUNTIF($DA20:$DD20,"?*")</f>
        <v/>
      </c>
      <c r="EJ20" s="141">
        <f>COUNTIF($DE20:$DF20,"?*")+$DT20</f>
        <v/>
      </c>
      <c r="EK20" s="141">
        <f>SUMPRODUCT($EA20:$EF20,INDEX($I$2:$N$8,$CX20,0))</f>
        <v/>
      </c>
      <c r="EL20" s="141">
        <f>$EG20*CEILING($CX20/2,1)+$EH20*$CX20</f>
        <v/>
      </c>
      <c r="EM20" s="141">
        <f>MIN(2*$CX20,$EL20)</f>
        <v/>
      </c>
      <c r="EN20" s="141">
        <f>MIN($EM20,$EK20)</f>
        <v/>
      </c>
      <c r="EO20" s="141">
        <f>$EM20-$EN20</f>
        <v/>
      </c>
      <c r="EP20" s="141">
        <f>3*$CX20-$EK20+$EN20</f>
        <v/>
      </c>
      <c r="EQ20" s="141">
        <f>MAX(0,$EP20)+$CV20*$CX20</f>
        <v/>
      </c>
      <c r="ER20" s="141">
        <f>(IF(COUNTIF($DA20:$DD20,"Salto")&gt;0,1,0)+IF(COUNTIF($DA20:$DD20,"Queima")&gt;0,1,0))*FLOOR($EQ20/2,1)</f>
        <v/>
      </c>
      <c r="ES20" s="141">
        <f>MAX(0,3-SUMPRODUCT($EA20:$EF20,$I$2:$N$2)+MIN(2,$EG20*1+$EH20*1,SUMPRODUCT($EA20:$EF20,$I$2:$N$2)))+$CV20*1</f>
        <v/>
      </c>
      <c r="ET20" s="141">
        <f>MAX(0,6-SUMPRODUCT($EA20:$EF20,$I$3:$N$3)+MIN(4,$EG20*1+$EH20*2,SUMPRODUCT($EA20:$EF20,$I$3:$N$3)))+$CV20*2</f>
        <v/>
      </c>
      <c r="EU20" s="141">
        <f>MAX(0,9-SUMPRODUCT($EA20:$EF20,$I$4:$N$4)+MIN(6,$EG20*2+$EH20*3,SUMPRODUCT($EA20:$EF20,$I$4:$N$4)))+$CV20*3</f>
        <v/>
      </c>
      <c r="EV20" s="141">
        <f>MAX(0,12-SUMPRODUCT($EA20:$EF20,$I$5:$N$5)+MIN(8,$EG20*2+$EH20*4,SUMPRODUCT($EA20:$EF20,$I$5:$N$5)))+$CV20*4</f>
        <v/>
      </c>
      <c r="EW20" s="141">
        <f>MAX(0,15-SUMPRODUCT($EA20:$EF20,$I$6:$N$6)+MIN(10,$EG20*3+$EH20*5,SUMPRODUCT($EA20:$EF20,$I$6:$N$6)))+$CV20*5</f>
        <v/>
      </c>
      <c r="EX20" s="141">
        <f>MAX(0,18-SUMPRODUCT($EA20:$EF20,$I$7:$N$7)+MIN(12,$EG20*3+$EH20*6,SUMPRODUCT($EA20:$EF20,$I$7:$N$7)))+$CV20*6</f>
        <v/>
      </c>
      <c r="EY20" s="141">
        <f>MAX(0,21-SUMPRODUCT($EA20:$EF20,$I$8:$N$8)+MIN(14,$EG20*4+$EH20*7,SUMPRODUCT($EA20:$EF20,$I$8:$N$8)))+$CV20*7</f>
        <v/>
      </c>
      <c r="EZ20" s="141">
        <f>IF($DU20=2,3*$ES20&amp;" de vida temp.",IF($DU20=3,"sem dano",IF($ES20=0,IF($DU20=1,"sem cura","sem dano"),IF($DU20=1,"cura ","")&amp;$ES20&amp;"d8")))</f>
        <v/>
      </c>
      <c r="FA20" s="141">
        <f>IF($DU20=2,3*$ET20&amp;" de vida temp.",IF($DU20=3,"sem dano",IF($ET20=0,IF($DU20=1,"sem cura","sem dano"),IF($DU20=1,"cura ","")&amp;$ET20&amp;"d8")))</f>
        <v/>
      </c>
      <c r="FB20" s="141">
        <f>IF($DU20=2,3*$EU20&amp;" de vida temp.",IF($DU20=3,"sem dano",IF($EU20=0,IF($DU20=1,"sem cura","sem dano"),IF($DU20=1,"cura ","")&amp;$EU20&amp;"d8")))</f>
        <v/>
      </c>
      <c r="FC20" s="141">
        <f>IF($DU20=2,3*$EV20&amp;" de vida temp.",IF($DU20=3,"sem dano",IF($EV20=0,IF($DU20=1,"sem cura","sem dano"),IF($DU20=1,"cura ","")&amp;$EV20&amp;"d8")))</f>
        <v/>
      </c>
      <c r="FD20" s="141">
        <f>IF($DU20=2,3*$EW20&amp;" de vida temp.",IF($DU20=3,"sem dano",IF($EW20=0,IF($DU20=1,"sem cura","sem dano"),IF($DU20=1,"cura ","")&amp;$EW20&amp;"d8")))</f>
        <v/>
      </c>
      <c r="FE20" s="141">
        <f>IF($DU20=2,3*$EX20&amp;" de vida temp.",IF($DU20=3,"sem dano",IF($EX20=0,IF($DU20=1,"sem cura","sem dano"),IF($DU20=1,"cura ","")&amp;$EX20&amp;"d8")))</f>
        <v/>
      </c>
      <c r="FF20" s="141">
        <f>IF($DU20=2,3*$EY20&amp;" de vida temp.",IF($DU20=3,"sem dano",IF($EY20=0,IF($DU20=1,"sem cura","sem dano"),IF($DU20=1,"cura ","")&amp;$EY20&amp;"d8")))</f>
        <v/>
      </c>
      <c r="FG20" s="141">
        <f>IF($DG20=0,"",TEXTJOIN(" · ",TRUE,IF(AND($CV20=1,$CW20&gt;$GF$9),"O nível "&amp;$GF$2&amp;" dá "&amp;$GF$9&amp;" Liberação Máxima",""),IF($CX20&gt;$GF$4,"Classe "&amp;$CX20&amp;": o nível "&amp;$GF$2&amp;" libera até a "&amp;$GF$4,""),IF($DN20=1,"Família Fechada: a Forma "&amp;$CZ20,""),IF($DO20=1,"Família Fechada: "&amp;$DA20,""),IF($DP20=1,"Família Fechada: "&amp;$DB20,""),IF($DQ20=1,"Família Fechada: "&amp;$DC20,""),IF($DR20=1,"Família Fechada: "&amp;$DD20,""),IF($EI20&gt;INDEX($O$2:$O$8,$CX20),$EI20&amp;" Melhorias: a Classe "&amp;$CX20&amp;" aceita "&amp;INDEX($O$2:$O$8,$CX20),""),IF($EJ20&gt;2,$EJ20&amp;" Restrições"&amp;IF($DT20=1,", contando a que a Forma "&amp;$CZ20&amp;" já traz","")&amp;": o limite é 2",""),IF($EP20&lt;0,"Orçamento estourado: faltam "&amp;(-$EP20)&amp;IF($EP20&lt;-1," pontos"," ponto"),""),IF(IFERROR(VLOOKUP($DE20,$BD$2:$BH$24,4,FALSE),0)+IFERROR(VLOOKUP($DF20,$BD$2:$BH$24,4,FALSE),0)&gt;1,$DY20&amp;" e "&amp;$DZ20&amp;" são as duas de frequência",""),IF(AND((COUNTIF($DA20:$DD20,"Rápido")+COUNTIF($DY20:$DZ20,"Rápido"))&gt;0,(COUNTIF($DA20:$DD20,"Reação")+COUNTIF($DY20:$DZ20,"Reação"))&gt;0),"Rápido não entra com Reação",""),IF(AND((COUNTIF($DA20:$DD20,"Rápido")+COUNTIF($DY20:$DZ20,"Rápido"))&gt;0,(COUNTIF($DA20:$DD20,"Atrasar")+COUNTIF($DY20:$DZ20,"Atrasar"))&gt;0),"Rápido não entra com Atrasar",""),IF(AND((COUNTIF($DA20:$DD20,"Reação")+COUNTIF($DY20:$DZ20,"Reação"))&gt;0,(COUNTIF($DA20:$DD20,"Atrasar")+COUNTIF($DY20:$DZ20,"Atrasar"))&gt;0),"Reação não entra com Atrasar",""),IF(AND((COUNTIF($DA20:$DD20,"Reação")+COUNTIF($DY20:$DZ20,"Reação"))&gt;0,(COUNTIF($DA20:$DD20,"Parado")+COUNTIF($DY20:$DZ20,"Parado"))&gt;0),"Reação não entra com Parado",""),IF(AND(COUNTIF($DY20:$DZ20,"Corpo a Corpo")&gt;0,$DT20=0,OR($CZ20="Cone",$CZ20="Linha")),"Corpo a Corpo não entra em "&amp;$CZ20,""),IF(AND(COUNTIF($DY20:$DZ20,"Corpo a Corpo")&gt;0,$DT20=1),"A Forma "&amp;$CZ20&amp;" já traz o Corpo a Corpo",""),IF(AND(COUNTIF($DY20:$DZ20,"Tudo ou Nada")&gt;0,$DV20=0),"Tudo ou Nada só entra em feitiço de Teste de Resistência",""),IF(AND(COUNTIF($DA20:$DD20,"Inescapável")&gt;0,OR($EI20&gt;1,$EJ20&gt;0)),"Inescapável não aceita outra peça",""),IF(AND($CV20=1,$CX20&lt;3),"Liberação Máxima é de Classe 3 ou mais",""),IF(AND($CV20=1,OR($DU20=1,$DU20=2)),"Liberação Máxima não serve para cura",""),IF(AND($CV20=1,COUNTIF($DA20:$DD20,"Inescapável")+COUNTIF($DA20:$DD20,"Toca a Alma")&gt;0),"Esta peça não entra numa Liberação Máxima",""),IF($EQ20+$ER20&gt;4*$CX20,($EQ20+$ER20)&amp;" dados somando alvos e repetições: o teto da Classe "&amp;$CX20&amp;" é "&amp;4*$CX20,"")))</f>
        <v/>
      </c>
      <c r="FH20" s="141">
        <f>IF($FG20="",0,(LEN($FG20)-LEN(SUBSTITUTE($FG20," · ","")))/3+1)</f>
        <v/>
      </c>
      <c r="FI20" s="141">
        <f>IF($DG20=0,"",TEXTJOIN(" · ",TRUE,IF($EL20&gt;2*$CX20,"A devolução parou no teto de "&amp;2*$CX20,""),IF($EO20&gt;0,"Devolução perdida: "&amp;$EO20&amp;IF($EO20&gt;1," pontos"," ponto")&amp;" sem peça para pagar",""),IF(AND($DS20&gt;0,$EQ20=0),"Controle sem dano: uma rodada a mais e CD +2",""),IF(AND($DS20&gt;0,$EQ20&gt;0,$EQ20&lt;=$CX20),"Controle com um quarto do teto: uma rodada a mais","")))</f>
        <v/>
      </c>
      <c r="FJ20" s="141">
        <f>IF($FI20="",0,(LEN($FI20)-LEN(SUBSTITUTE($FI20," · ","")))/3+1)</f>
        <v/>
      </c>
      <c r="FK20" s="141">
        <f>IF($DG20=0,IF($EI20+$EJ20-$DT20&gt;0,"Dê um nome",""),IF($FH20&gt;0,"⚠ "&amp;$FH20&amp;IF($FH20&gt;1," erros"," erro"),IF($FJ20&gt;0,"! "&amp;$FJ20&amp;IF($FJ20&gt;1," avisos"," aviso"),"Na regra")))</f>
        <v/>
      </c>
      <c r="FL20" s="141">
        <f>IF($DG20=0,"",IF($FH20+$FJ20=0,"Dentro das regras que a ficha confere",$FG20&amp;IF(AND($FH20&gt;0,$FJ20&gt;0)," · ","")&amp;$FI20))</f>
        <v/>
      </c>
      <c r="FM20" s="141">
        <f>IF($DG20=0,"",IF($CV20=1,CEILING(4.5*$CX20,1),3*$CX20)&amp;" PE")</f>
        <v/>
      </c>
      <c r="FN20" s="141">
        <f>IF($DG20=0,"",IF($CV20=1,"Rodada inteira",IF(COUNTIF($DY20:$DZ20,"Atrasar")&gt;0,IF(COUNTIF($DY20:$DZ20,"Carregar")&gt;0,"Rodada +1 turno","Rodada inteira"),IF(COUNTIF($DA20:$DD20,"Rápido")&gt;0,"Bônus",IF(COUNTIF($DA20:$DD20,"Reação")&gt;0,"Reação","Padrão"))&amp;IF(COUNTIF($DY20:$DZ20,"Carregar")&gt;0," +1 turno",""))))</f>
        <v/>
      </c>
      <c r="FO20" s="141">
        <f>IF(OR($DG20=0,$DH20=0),"",IF(COUNTIF($DA20:$DD20,"Inescapável")&gt;0,"Automático",IF(COUNTIF($DA20:$DD20,"Certeiro")&gt;0,"TR para metade",INDEX($X$2:$X$11,$DH20))))</f>
        <v/>
      </c>
      <c r="FP20" s="141">
        <f>IF(OR($DG20=0,$DH20=0),"",IF(OR($DU20&gt;=2,$EQ20=0),UPPER(LEFT(INDEX($EZ20:$FF20,1,$CX20),1))&amp;MID(INDEX($EZ20:$FF20,1,$CX20),2,99),UPPER(LEFT(INDEX($EZ20:$FF20,1,$CX20),1))&amp;MID(INDEX($EZ20:$FF20,1,$CX20),2,99)&amp;" = "&amp;FLOOR($EQ20*4.5,1)&amp;IF($ER20&gt;0," · +"&amp;$ER20&amp;"d8","")))</f>
        <v/>
      </c>
      <c r="FQ20" s="141">
        <f>COUNTIF($DA20:$DD20,"Longe")+3*COUNTIF($DA20:$DD20,"Muito Longe")</f>
        <v/>
      </c>
      <c r="FR20" s="141">
        <f>COUNTIF($DA20:$DD20,"Maior")+3*COUNTIF($DA20:$DD20,"Muito Maior")</f>
        <v/>
      </c>
      <c r="FS20" s="141">
        <f>IF($DH20=0,0,CHOOSE(1+INDEX($Z$2:$Z$11,$DH20),0,$FQ20,$FR20,$FQ20+$FR20))</f>
        <v/>
      </c>
      <c r="FT20" s="141">
        <f>IF($DH20=0,0,CHOOSE(1+INDEX($AA$2:$AA$11,$DH20),0,$FQ20,$FR20,$FQ20+$FR20))</f>
        <v/>
      </c>
      <c r="FU20" s="141">
        <f>IF(OR($DG20=0,$DH20=0),"",INDEX($AH$2:$AM$31,($DH20-1)*3+IF($CX20&gt;=6,3,2),1+MIN(5,$FS20))&amp;INDEX($AN$2:$AS$31,($DH20-1)*3+IF($CX20&gt;=6,3,2),1+MIN(5,$FT20))&amp;IF(INDEX($AB$2:$AB$11,$DH20)=1,IF(COUNTIF($DA20:$DD20,"Mais Um")&gt;0," · +"&amp;COUNTIF($DA20:$DD20,"Mais Um")&amp;IF(COUNTIF($DA20:$DD20,"Mais Um")&gt;1," alvos"," alvo"),"")&amp;IF(COUNTIF($DA20:$DD20,"Rajada")&gt;0," · "&amp;($CX20+1)&amp;" tiros",""),""))</f>
        <v/>
      </c>
      <c r="FV20" s="141">
        <f>IF($DG20=0,"",3*$CX20&amp;" − "&amp;$EK20&amp;" + "&amp;$EN20&amp;IF($CV20=1," + "&amp;$CX20,"")&amp;" = "&amp;$EQ20&amp;"d8 · teto "&amp;4*$CX20&amp;IF($DT20=1," · a Forma devolve "&amp;$CX20,"")&amp;IF($EO20&gt;0," · perde "&amp;$EO20,""))</f>
        <v/>
      </c>
      <c r="FW20" s="141">
        <f>IF($DG20=0,"",IF($CX20&gt;=$GF$4,"Já está na maior Classe que o nível liberou",TEXTJOIN(" · ",TRUE,IF(AND(2&gt;$CX20,2&lt;=$GF$4),"2 → "&amp;$FA20&amp;", "&amp;IF($CV20=1,9,6)&amp;" PE",""),IF(AND(3&gt;$CX20,3&lt;=$GF$4),"3 → "&amp;$FB20&amp;", "&amp;IF($CV20=1,14,9)&amp;" PE",""),IF(AND(4&gt;$CX20,4&lt;=$GF$4),"4 → "&amp;$FC20&amp;", "&amp;IF($CV20=1,18,12)&amp;" PE",""),IF(AND(5&gt;$CX20,5&lt;=$GF$4),"5 → "&amp;$FD20&amp;", "&amp;IF($CV20=1,23,15)&amp;" PE",""),IF(AND(6&gt;$CX20,6&lt;=$GF$4),"6 → "&amp;$FE20&amp;", "&amp;IF($CV20=1,27,18)&amp;" PE",""),IF(AND(7&gt;$CX20,7&lt;=$GF$4),"7 → "&amp;$FF20&amp;", "&amp;IF($CV20=1,32,21)&amp;" PE",""))))</f>
        <v/>
      </c>
      <c r="FX20" s="141">
        <f>IF(OR($DG20=0,$DJ20=0),"","−"&amp;INDEX($I$2:$N$8,$CX20,$DJ20)&amp;" · "&amp;CHOOSE($DJ20,"Leve","Média","Pesada","Leve · Livre","Média · Livre","Pesada · Livre"))</f>
        <v/>
      </c>
      <c r="FY20" s="141">
        <f>IF(OR($DG20=0,$DK20=0),"","−"&amp;INDEX($I$2:$N$8,$CX20,$DK20)&amp;" · "&amp;CHOOSE($DK20,"Leve","Média","Pesada","Leve · Livre","Média · Livre","Pesada · Livre"))</f>
        <v/>
      </c>
      <c r="FZ20" s="141">
        <f>IF(OR($DG20=0,$DL20=0),"","−"&amp;INDEX($I$2:$N$8,$CX20,$DL20)&amp;" · "&amp;CHOOSE($DL20,"Leve","Média","Pesada","Leve · Livre","Média · Livre","Pesada · Livre"))</f>
        <v/>
      </c>
      <c r="GA20" s="141">
        <f>IF(OR($DG20=0,$DM20=0),"","−"&amp;INDEX($I$2:$N$8,$CX20,$DM20)&amp;" · "&amp;CHOOSE($DM20,"Leve","Média","Pesada","Leve · Livre","Média · Livre","Pesada · Livre"))</f>
        <v/>
      </c>
      <c r="GB20" s="141">
        <f>IF(OR($DG20=0,$DE20=""),"","+"&amp;IF($DW20=1,CEILING($CX20/2,1),$CX20))</f>
        <v/>
      </c>
      <c r="GC20" s="141">
        <f>IF(OR($DG20=0,$DF20=""),"","+"&amp;IF($DX20=1,CEILING($CX20/2,1),$CX20))</f>
        <v/>
      </c>
      <c r="GE20" s="114" t="inlineStr">
        <is>
          <t>sem espaço</t>
        </is>
      </c>
      <c r="GF20" s="141">
        <f>IF($GF$18+$GF$19&gt;$GF$14,1,0)</f>
        <v/>
      </c>
      <c r="HJ20" s="114" t="inlineStr">
        <is>
          <t>J351</t>
        </is>
      </c>
      <c r="HK20" s="141">
        <f>IF(DADOS_AM!$GF$34="","—",IF(AND(DADOS_AM!$GF$2&gt;=IFERROR(VLOOKUP(DADOS_AM!$GF$34,DADOS_AM!$CJ$2:$CN$4,3,FALSE),0),DADOS_AM!$GF$6&gt;=IFERROR(VLOOKUP(DADOS_AM!$GF$34,DADOS_AM!$CJ$2:$CN$4,4,FALSE),0)),"","⚠ ")&amp;IFERROR(VLOOKUP(DADOS_AM!$GF$34,DADOS_AM!$CJ$2:$CN$4,5,FALSE),""))</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41" t="n">
        <v>3</v>
      </c>
      <c r="AX21" s="141">
        <f>$AW21+3*IFERROR(VLOOKUP($AV21,$A$2:$D$10,3,FALSE),0)</f>
        <v/>
      </c>
      <c r="AY21" s="141">
        <f>IFERROR(VLOOKUP($AV21,$A$2:$D$10,4,FALSE),0)</f>
        <v/>
      </c>
      <c r="AZ21" s="141" t="n">
        <v>0</v>
      </c>
      <c r="BA21" s="141">
        <f>IF($AY21=1,"",$AU21)</f>
        <v/>
      </c>
      <c r="BB21" s="141">
        <f>IF(AND($AW21=1,$AY21=0),$AU21,"")</f>
        <v/>
      </c>
      <c r="BD21" s="114" t="inlineStr">
        <is>
          <t>Peso Morto</t>
        </is>
      </c>
      <c r="BE21" s="114" t="inlineStr">
        <is>
          <t>Peso Morto</t>
        </is>
      </c>
      <c r="BF21" s="141" t="n">
        <v>1</v>
      </c>
      <c r="BG21" s="141" t="n">
        <v>0</v>
      </c>
      <c r="BH21" s="114" t="inlineStr">
        <is>
          <t>Peso Morto</t>
        </is>
      </c>
      <c r="CU21" s="114" t="inlineStr">
        <is>
          <t>Feitiço 20</t>
        </is>
      </c>
      <c r="CV21" s="141" t="n">
        <v>0</v>
      </c>
      <c r="CW21" s="141" t="n">
        <v>20</v>
      </c>
      <c r="CX21" s="141">
        <f>MAX(1,MIN(7,N('FICHA AMALDIÇOADA'!$J$173)))</f>
        <v/>
      </c>
      <c r="CY21" s="141">
        <f>'FICHA AMALDIÇOADA'!$K$173&amp;""</f>
        <v/>
      </c>
      <c r="CZ21" s="141">
        <f>'FICHA AMALDIÇOADA'!$J$180&amp;""</f>
        <v/>
      </c>
      <c r="DA21" s="141">
        <f>'FICHA AMALDIÇOADA'!$K$182&amp;""</f>
        <v/>
      </c>
      <c r="DB21" s="141">
        <f>'FICHA AMALDIÇOADA'!$K$183&amp;""</f>
        <v/>
      </c>
      <c r="DC21" s="141">
        <f>'FICHA AMALDIÇOADA'!$K$184&amp;""</f>
        <v/>
      </c>
      <c r="DD21" s="141">
        <f>'FICHA AMALDIÇOADA'!$K$185&amp;""</f>
        <v/>
      </c>
      <c r="DE21" s="141">
        <f>'FICHA AMALDIÇOADA'!$K$186&amp;""</f>
        <v/>
      </c>
      <c r="DF21" s="141">
        <f>'FICHA AMALDIÇOADA'!$K$187&amp;""</f>
        <v/>
      </c>
      <c r="DG21" s="141">
        <f>IF($CY21&lt;&gt;"",1,0)</f>
        <v/>
      </c>
      <c r="DH21" s="141">
        <f>IFERROR(MATCH($CZ21,$Q$2:$Q$11,0),0)</f>
        <v/>
      </c>
      <c r="DI21" s="141">
        <f>IF($DH21=0,0,INDEX($T$2:$T$11,$DH21))</f>
        <v/>
      </c>
      <c r="DJ21" s="141">
        <f>IFERROR(VLOOKUP($DA21,$AU$2:$BB$84,4,FALSE),0)</f>
        <v/>
      </c>
      <c r="DK21" s="141">
        <f>IFERROR(VLOOKUP($DB21,$AU$2:$BB$84,4,FALSE),0)</f>
        <v/>
      </c>
      <c r="DL21" s="141">
        <f>IFERROR(VLOOKUP($DC21,$AU$2:$BB$84,4,FALSE),0)</f>
        <v/>
      </c>
      <c r="DM21" s="141">
        <f>IFERROR(VLOOKUP($DD21,$AU$2:$BB$84,4,FALSE),0)</f>
        <v/>
      </c>
      <c r="DN21" s="141">
        <f>IF($DH21=0,0,INDEX($U$2:$U$11,$DH21))</f>
        <v/>
      </c>
      <c r="DO21" s="141">
        <f>IFERROR(VLOOKUP($DA21,$AU$2:$BB$84,5,FALSE),0)</f>
        <v/>
      </c>
      <c r="DP21" s="141">
        <f>IFERROR(VLOOKUP($DB21,$AU$2:$BB$84,5,FALSE),0)</f>
        <v/>
      </c>
      <c r="DQ21" s="141">
        <f>IFERROR(VLOOKUP($DC21,$AU$2:$BB$84,5,FALSE),0)</f>
        <v/>
      </c>
      <c r="DR21" s="141">
        <f>IFERROR(VLOOKUP($DD21,$AU$2:$BB$84,5,FALSE),0)</f>
        <v/>
      </c>
      <c r="DS21" s="141">
        <f>IFERROR(VLOOKUP($DA21,$AU$2:$BB$84,6,FALSE),0)+IFERROR(VLOOKUP($DB21,$AU$2:$BB$84,6,FALSE),0)+IFERROR(VLOOKUP($DC21,$AU$2:$BB$84,6,FALSE),0)+IFERROR(VLOOKUP($DD21,$AU$2:$BB$84,6,FALSE),0)</f>
        <v/>
      </c>
      <c r="DT21" s="141">
        <f>IF($DH21=0,0,INDEX($V$2:$V$11,$DH21))</f>
        <v/>
      </c>
      <c r="DU21" s="141">
        <f>IF($DH21=0,0,INDEX($W$2:$W$11,$DH21))</f>
        <v/>
      </c>
      <c r="DV21" s="141">
        <f>IF($DH21=0,0,INDEX($Y$2:$Y$11,$DH21))</f>
        <v/>
      </c>
      <c r="DW21" s="141">
        <f>IFERROR(VLOOKUP($DE21,$BD$2:$BH$24,3,FALSE),0)</f>
        <v/>
      </c>
      <c r="DX21" s="141">
        <f>IFERROR(VLOOKUP($DF21,$BD$2:$BH$24,3,FALSE),0)</f>
        <v/>
      </c>
      <c r="DY21" s="141">
        <f>IFERROR(VLOOKUP($DE21,$BD$2:$BH$24,2,FALSE),"")</f>
        <v/>
      </c>
      <c r="DZ21" s="141">
        <f>IFERROR(VLOOKUP($DF21,$BD$2:$BH$24,2,FALSE),"")</f>
        <v/>
      </c>
      <c r="EA21" s="141">
        <f>COUNTIF($DI21:$DM21,1)</f>
        <v/>
      </c>
      <c r="EB21" s="141">
        <f>COUNTIF($DI21:$DM21,2)</f>
        <v/>
      </c>
      <c r="EC21" s="141">
        <f>COUNTIF($DI21:$DM21,3)</f>
        <v/>
      </c>
      <c r="ED21" s="141">
        <f>COUNTIF($DI21:$DM21,4)</f>
        <v/>
      </c>
      <c r="EE21" s="141">
        <f>COUNTIF($DI21:$DM21,5)</f>
        <v/>
      </c>
      <c r="EF21" s="141">
        <f>COUNTIF($DI21:$DM21,6)</f>
        <v/>
      </c>
      <c r="EG21" s="141">
        <f>COUNTIF($DW21:$DX21,1)</f>
        <v/>
      </c>
      <c r="EH21" s="141">
        <f>COUNTIF($DW21:$DX21,2)+$DT21</f>
        <v/>
      </c>
      <c r="EI21" s="141">
        <f>COUNTIF($DA21:$DD21,"?*")</f>
        <v/>
      </c>
      <c r="EJ21" s="141">
        <f>COUNTIF($DE21:$DF21,"?*")+$DT21</f>
        <v/>
      </c>
      <c r="EK21" s="141">
        <f>SUMPRODUCT($EA21:$EF21,INDEX($I$2:$N$8,$CX21,0))</f>
        <v/>
      </c>
      <c r="EL21" s="141">
        <f>$EG21*CEILING($CX21/2,1)+$EH21*$CX21</f>
        <v/>
      </c>
      <c r="EM21" s="141">
        <f>MIN(2*$CX21,$EL21)</f>
        <v/>
      </c>
      <c r="EN21" s="141">
        <f>MIN($EM21,$EK21)</f>
        <v/>
      </c>
      <c r="EO21" s="141">
        <f>$EM21-$EN21</f>
        <v/>
      </c>
      <c r="EP21" s="141">
        <f>3*$CX21-$EK21+$EN21</f>
        <v/>
      </c>
      <c r="EQ21" s="141">
        <f>MAX(0,$EP21)+$CV21*$CX21</f>
        <v/>
      </c>
      <c r="ER21" s="141">
        <f>(IF(COUNTIF($DA21:$DD21,"Salto")&gt;0,1,0)+IF(COUNTIF($DA21:$DD21,"Queima")&gt;0,1,0))*FLOOR($EQ21/2,1)</f>
        <v/>
      </c>
      <c r="ES21" s="141">
        <f>MAX(0,3-SUMPRODUCT($EA21:$EF21,$I$2:$N$2)+MIN(2,$EG21*1+$EH21*1,SUMPRODUCT($EA21:$EF21,$I$2:$N$2)))+$CV21*1</f>
        <v/>
      </c>
      <c r="ET21" s="141">
        <f>MAX(0,6-SUMPRODUCT($EA21:$EF21,$I$3:$N$3)+MIN(4,$EG21*1+$EH21*2,SUMPRODUCT($EA21:$EF21,$I$3:$N$3)))+$CV21*2</f>
        <v/>
      </c>
      <c r="EU21" s="141">
        <f>MAX(0,9-SUMPRODUCT($EA21:$EF21,$I$4:$N$4)+MIN(6,$EG21*2+$EH21*3,SUMPRODUCT($EA21:$EF21,$I$4:$N$4)))+$CV21*3</f>
        <v/>
      </c>
      <c r="EV21" s="141">
        <f>MAX(0,12-SUMPRODUCT($EA21:$EF21,$I$5:$N$5)+MIN(8,$EG21*2+$EH21*4,SUMPRODUCT($EA21:$EF21,$I$5:$N$5)))+$CV21*4</f>
        <v/>
      </c>
      <c r="EW21" s="141">
        <f>MAX(0,15-SUMPRODUCT($EA21:$EF21,$I$6:$N$6)+MIN(10,$EG21*3+$EH21*5,SUMPRODUCT($EA21:$EF21,$I$6:$N$6)))+$CV21*5</f>
        <v/>
      </c>
      <c r="EX21" s="141">
        <f>MAX(0,18-SUMPRODUCT($EA21:$EF21,$I$7:$N$7)+MIN(12,$EG21*3+$EH21*6,SUMPRODUCT($EA21:$EF21,$I$7:$N$7)))+$CV21*6</f>
        <v/>
      </c>
      <c r="EY21" s="141">
        <f>MAX(0,21-SUMPRODUCT($EA21:$EF21,$I$8:$N$8)+MIN(14,$EG21*4+$EH21*7,SUMPRODUCT($EA21:$EF21,$I$8:$N$8)))+$CV21*7</f>
        <v/>
      </c>
      <c r="EZ21" s="141">
        <f>IF($DU21=2,3*$ES21&amp;" de vida temp.",IF($DU21=3,"sem dano",IF($ES21=0,IF($DU21=1,"sem cura","sem dano"),IF($DU21=1,"cura ","")&amp;$ES21&amp;"d8")))</f>
        <v/>
      </c>
      <c r="FA21" s="141">
        <f>IF($DU21=2,3*$ET21&amp;" de vida temp.",IF($DU21=3,"sem dano",IF($ET21=0,IF($DU21=1,"sem cura","sem dano"),IF($DU21=1,"cura ","")&amp;$ET21&amp;"d8")))</f>
        <v/>
      </c>
      <c r="FB21" s="141">
        <f>IF($DU21=2,3*$EU21&amp;" de vida temp.",IF($DU21=3,"sem dano",IF($EU21=0,IF($DU21=1,"sem cura","sem dano"),IF($DU21=1,"cura ","")&amp;$EU21&amp;"d8")))</f>
        <v/>
      </c>
      <c r="FC21" s="141">
        <f>IF($DU21=2,3*$EV21&amp;" de vida temp.",IF($DU21=3,"sem dano",IF($EV21=0,IF($DU21=1,"sem cura","sem dano"),IF($DU21=1,"cura ","")&amp;$EV21&amp;"d8")))</f>
        <v/>
      </c>
      <c r="FD21" s="141">
        <f>IF($DU21=2,3*$EW21&amp;" de vida temp.",IF($DU21=3,"sem dano",IF($EW21=0,IF($DU21=1,"sem cura","sem dano"),IF($DU21=1,"cura ","")&amp;$EW21&amp;"d8")))</f>
        <v/>
      </c>
      <c r="FE21" s="141">
        <f>IF($DU21=2,3*$EX21&amp;" de vida temp.",IF($DU21=3,"sem dano",IF($EX21=0,IF($DU21=1,"sem cura","sem dano"),IF($DU21=1,"cura ","")&amp;$EX21&amp;"d8")))</f>
        <v/>
      </c>
      <c r="FF21" s="141">
        <f>IF($DU21=2,3*$EY21&amp;" de vida temp.",IF($DU21=3,"sem dano",IF($EY21=0,IF($DU21=1,"sem cura","sem dano"),IF($DU21=1,"cura ","")&amp;$EY21&amp;"d8")))</f>
        <v/>
      </c>
      <c r="FG21" s="141">
        <f>IF($DG21=0,"",TEXTJOIN(" · ",TRUE,IF(AND($CV21=1,$CW21&gt;$GF$9),"O nível "&amp;$GF$2&amp;" dá "&amp;$GF$9&amp;" Liberação Máxima",""),IF($CX21&gt;$GF$4,"Classe "&amp;$CX21&amp;": o nível "&amp;$GF$2&amp;" libera até a "&amp;$GF$4,""),IF($DN21=1,"Família Fechada: a Forma "&amp;$CZ21,""),IF($DO21=1,"Família Fechada: "&amp;$DA21,""),IF($DP21=1,"Família Fechada: "&amp;$DB21,""),IF($DQ21=1,"Família Fechada: "&amp;$DC21,""),IF($DR21=1,"Família Fechada: "&amp;$DD21,""),IF($EI21&gt;INDEX($O$2:$O$8,$CX21),$EI21&amp;" Melhorias: a Classe "&amp;$CX21&amp;" aceita "&amp;INDEX($O$2:$O$8,$CX21),""),IF($EJ21&gt;2,$EJ21&amp;" Restrições"&amp;IF($DT21=1,", contando a que a Forma "&amp;$CZ21&amp;" já traz","")&amp;": o limite é 2",""),IF($EP21&lt;0,"Orçamento estourado: faltam "&amp;(-$EP21)&amp;IF($EP21&lt;-1," pontos"," ponto"),""),IF(IFERROR(VLOOKUP($DE21,$BD$2:$BH$24,4,FALSE),0)+IFERROR(VLOOKUP($DF21,$BD$2:$BH$24,4,FALSE),0)&gt;1,$DY21&amp;" e "&amp;$DZ21&amp;" são as duas de frequência",""),IF(AND((COUNTIF($DA21:$DD21,"Rápido")+COUNTIF($DY21:$DZ21,"Rápido"))&gt;0,(COUNTIF($DA21:$DD21,"Reação")+COUNTIF($DY21:$DZ21,"Reação"))&gt;0),"Rápido não entra com Reação",""),IF(AND((COUNTIF($DA21:$DD21,"Rápido")+COUNTIF($DY21:$DZ21,"Rápido"))&gt;0,(COUNTIF($DA21:$DD21,"Atrasar")+COUNTIF($DY21:$DZ21,"Atrasar"))&gt;0),"Rápido não entra com Atrasar",""),IF(AND((COUNTIF($DA21:$DD21,"Reação")+COUNTIF($DY21:$DZ21,"Reação"))&gt;0,(COUNTIF($DA21:$DD21,"Atrasar")+COUNTIF($DY21:$DZ21,"Atrasar"))&gt;0),"Reação não entra com Atrasar",""),IF(AND((COUNTIF($DA21:$DD21,"Reação")+COUNTIF($DY21:$DZ21,"Reação"))&gt;0,(COUNTIF($DA21:$DD21,"Parado")+COUNTIF($DY21:$DZ21,"Parado"))&gt;0),"Reação não entra com Parado",""),IF(AND(COUNTIF($DY21:$DZ21,"Corpo a Corpo")&gt;0,$DT21=0,OR($CZ21="Cone",$CZ21="Linha")),"Corpo a Corpo não entra em "&amp;$CZ21,""),IF(AND(COUNTIF($DY21:$DZ21,"Corpo a Corpo")&gt;0,$DT21=1),"A Forma "&amp;$CZ21&amp;" já traz o Corpo a Corpo",""),IF(AND(COUNTIF($DY21:$DZ21,"Tudo ou Nada")&gt;0,$DV21=0),"Tudo ou Nada só entra em feitiço de Teste de Resistência",""),IF(AND(COUNTIF($DA21:$DD21,"Inescapável")&gt;0,OR($EI21&gt;1,$EJ21&gt;0)),"Inescapável não aceita outra peça",""),IF(AND($CV21=1,$CX21&lt;3),"Liberação Máxima é de Classe 3 ou mais",""),IF(AND($CV21=1,OR($DU21=1,$DU21=2)),"Liberação Máxima não serve para cura",""),IF(AND($CV21=1,COUNTIF($DA21:$DD21,"Inescapável")+COUNTIF($DA21:$DD21,"Toca a Alma")&gt;0),"Esta peça não entra numa Liberação Máxima",""),IF($EQ21+$ER21&gt;4*$CX21,($EQ21+$ER21)&amp;" dados somando alvos e repetições: o teto da Classe "&amp;$CX21&amp;" é "&amp;4*$CX21,"")))</f>
        <v/>
      </c>
      <c r="FH21" s="141">
        <f>IF($FG21="",0,(LEN($FG21)-LEN(SUBSTITUTE($FG21," · ","")))/3+1)</f>
        <v/>
      </c>
      <c r="FI21" s="141">
        <f>IF($DG21=0,"",TEXTJOIN(" · ",TRUE,IF($EL21&gt;2*$CX21,"A devolução parou no teto de "&amp;2*$CX21,""),IF($EO21&gt;0,"Devolução perdida: "&amp;$EO21&amp;IF($EO21&gt;1," pontos"," ponto")&amp;" sem peça para pagar",""),IF(AND($DS21&gt;0,$EQ21=0),"Controle sem dano: uma rodada a mais e CD +2",""),IF(AND($DS21&gt;0,$EQ21&gt;0,$EQ21&lt;=$CX21),"Controle com um quarto do teto: uma rodada a mais","")))</f>
        <v/>
      </c>
      <c r="FJ21" s="141">
        <f>IF($FI21="",0,(LEN($FI21)-LEN(SUBSTITUTE($FI21," · ","")))/3+1)</f>
        <v/>
      </c>
      <c r="FK21" s="141">
        <f>IF($DG21=0,IF($EI21+$EJ21-$DT21&gt;0,"Dê um nome",""),IF($FH21&gt;0,"⚠ "&amp;$FH21&amp;IF($FH21&gt;1," erros"," erro"),IF($FJ21&gt;0,"! "&amp;$FJ21&amp;IF($FJ21&gt;1," avisos"," aviso"),"Na regra")))</f>
        <v/>
      </c>
      <c r="FL21" s="141">
        <f>IF($DG21=0,"",IF($FH21+$FJ21=0,"Dentro das regras que a ficha confere",$FG21&amp;IF(AND($FH21&gt;0,$FJ21&gt;0)," · ","")&amp;$FI21))</f>
        <v/>
      </c>
      <c r="FM21" s="141">
        <f>IF($DG21=0,"",IF($CV21=1,CEILING(4.5*$CX21,1),3*$CX21)&amp;" PE")</f>
        <v/>
      </c>
      <c r="FN21" s="141">
        <f>IF($DG21=0,"",IF($CV21=1,"Rodada inteira",IF(COUNTIF($DY21:$DZ21,"Atrasar")&gt;0,IF(COUNTIF($DY21:$DZ21,"Carregar")&gt;0,"Rodada +1 turno","Rodada inteira"),IF(COUNTIF($DA21:$DD21,"Rápido")&gt;0,"Bônus",IF(COUNTIF($DA21:$DD21,"Reação")&gt;0,"Reação","Padrão"))&amp;IF(COUNTIF($DY21:$DZ21,"Carregar")&gt;0," +1 turno",""))))</f>
        <v/>
      </c>
      <c r="FO21" s="141">
        <f>IF(OR($DG21=0,$DH21=0),"",IF(COUNTIF($DA21:$DD21,"Inescapável")&gt;0,"Automático",IF(COUNTIF($DA21:$DD21,"Certeiro")&gt;0,"TR para metade",INDEX($X$2:$X$11,$DH21))))</f>
        <v/>
      </c>
      <c r="FP21" s="141">
        <f>IF(OR($DG21=0,$DH21=0),"",IF(OR($DU21&gt;=2,$EQ21=0),UPPER(LEFT(INDEX($EZ21:$FF21,1,$CX21),1))&amp;MID(INDEX($EZ21:$FF21,1,$CX21),2,99),UPPER(LEFT(INDEX($EZ21:$FF21,1,$CX21),1))&amp;MID(INDEX($EZ21:$FF21,1,$CX21),2,99)&amp;" = "&amp;FLOOR($EQ21*4.5,1)&amp;IF($ER21&gt;0," · +"&amp;$ER21&amp;"d8","")))</f>
        <v/>
      </c>
      <c r="FQ21" s="141">
        <f>COUNTIF($DA21:$DD21,"Longe")+3*COUNTIF($DA21:$DD21,"Muito Longe")</f>
        <v/>
      </c>
      <c r="FR21" s="141">
        <f>COUNTIF($DA21:$DD21,"Maior")+3*COUNTIF($DA21:$DD21,"Muito Maior")</f>
        <v/>
      </c>
      <c r="FS21" s="141">
        <f>IF($DH21=0,0,CHOOSE(1+INDEX($Z$2:$Z$11,$DH21),0,$FQ21,$FR21,$FQ21+$FR21))</f>
        <v/>
      </c>
      <c r="FT21" s="141">
        <f>IF($DH21=0,0,CHOOSE(1+INDEX($AA$2:$AA$11,$DH21),0,$FQ21,$FR21,$FQ21+$FR21))</f>
        <v/>
      </c>
      <c r="FU21" s="141">
        <f>IF(OR($DG21=0,$DH21=0),"",INDEX($AH$2:$AM$31,($DH21-1)*3+IF($CX21&gt;=6,3,2),1+MIN(5,$FS21))&amp;INDEX($AN$2:$AS$31,($DH21-1)*3+IF($CX21&gt;=6,3,2),1+MIN(5,$FT21))&amp;IF(INDEX($AB$2:$AB$11,$DH21)=1,IF(COUNTIF($DA21:$DD21,"Mais Um")&gt;0," · +"&amp;COUNTIF($DA21:$DD21,"Mais Um")&amp;IF(COUNTIF($DA21:$DD21,"Mais Um")&gt;1," alvos"," alvo"),"")&amp;IF(COUNTIF($DA21:$DD21,"Rajada")&gt;0," · "&amp;($CX21+1)&amp;" tiros",""),""))</f>
        <v/>
      </c>
      <c r="FV21" s="141">
        <f>IF($DG21=0,"",3*$CX21&amp;" − "&amp;$EK21&amp;" + "&amp;$EN21&amp;IF($CV21=1," + "&amp;$CX21,"")&amp;" = "&amp;$EQ21&amp;"d8 · teto "&amp;4*$CX21&amp;IF($DT21=1," · a Forma devolve "&amp;$CX21,"")&amp;IF($EO21&gt;0," · perde "&amp;$EO21,""))</f>
        <v/>
      </c>
      <c r="FW21" s="141">
        <f>IF($DG21=0,"",IF($CX21&gt;=$GF$4,"Já está na maior Classe que o nível liberou",TEXTJOIN(" · ",TRUE,IF(AND(2&gt;$CX21,2&lt;=$GF$4),"2 → "&amp;$FA21&amp;", "&amp;IF($CV21=1,9,6)&amp;" PE",""),IF(AND(3&gt;$CX21,3&lt;=$GF$4),"3 → "&amp;$FB21&amp;", "&amp;IF($CV21=1,14,9)&amp;" PE",""),IF(AND(4&gt;$CX21,4&lt;=$GF$4),"4 → "&amp;$FC21&amp;", "&amp;IF($CV21=1,18,12)&amp;" PE",""),IF(AND(5&gt;$CX21,5&lt;=$GF$4),"5 → "&amp;$FD21&amp;", "&amp;IF($CV21=1,23,15)&amp;" PE",""),IF(AND(6&gt;$CX21,6&lt;=$GF$4),"6 → "&amp;$FE21&amp;", "&amp;IF($CV21=1,27,18)&amp;" PE",""),IF(AND(7&gt;$CX21,7&lt;=$GF$4),"7 → "&amp;$FF21&amp;", "&amp;IF($CV21=1,32,21)&amp;" PE",""))))</f>
        <v/>
      </c>
      <c r="FX21" s="141">
        <f>IF(OR($DG21=0,$DJ21=0),"","−"&amp;INDEX($I$2:$N$8,$CX21,$DJ21)&amp;" · "&amp;CHOOSE($DJ21,"Leve","Média","Pesada","Leve · Livre","Média · Livre","Pesada · Livre"))</f>
        <v/>
      </c>
      <c r="FY21" s="141">
        <f>IF(OR($DG21=0,$DK21=0),"","−"&amp;INDEX($I$2:$N$8,$CX21,$DK21)&amp;" · "&amp;CHOOSE($DK21,"Leve","Média","Pesada","Leve · Livre","Média · Livre","Pesada · Livre"))</f>
        <v/>
      </c>
      <c r="FZ21" s="141">
        <f>IF(OR($DG21=0,$DL21=0),"","−"&amp;INDEX($I$2:$N$8,$CX21,$DL21)&amp;" · "&amp;CHOOSE($DL21,"Leve","Média","Pesada","Leve · Livre","Média · Livre","Pesada · Livre"))</f>
        <v/>
      </c>
      <c r="GA21" s="141">
        <f>IF(OR($DG21=0,$DM21=0),"","−"&amp;INDEX($I$2:$N$8,$CX21,$DM21)&amp;" · "&amp;CHOOSE($DM21,"Leve","Média","Pesada","Leve · Livre","Média · Livre","Pesada · Livre"))</f>
        <v/>
      </c>
      <c r="GB21" s="141">
        <f>IF(OR($DG21=0,$DE21=""),"","+"&amp;IF($DW21=1,CEILING($CX21/2,1),$CX21))</f>
        <v/>
      </c>
      <c r="GC21" s="141">
        <f>IF(OR($DG21=0,$DF21=""),"","+"&amp;IF($DX21=1,CEILING($CX21/2,1),$CX21))</f>
        <v/>
      </c>
      <c r="GE21" s="114" t="inlineStr">
        <is>
          <t>cabem</t>
        </is>
      </c>
      <c r="GF21" s="141">
        <f>$GF$14+$GF$8-$GF$18-$GF$19</f>
        <v/>
      </c>
      <c r="HJ21" s="114" t="inlineStr">
        <is>
          <t>R351</t>
        </is>
      </c>
      <c r="HK21" s="141">
        <f>"Cai na "&amp;MAX(1,FLOOR(DADOS_AM!$GF$7/2,1))&amp;"ª falha"</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41" t="n">
        <v>1</v>
      </c>
      <c r="AX22" s="141">
        <f>$AW22+3*IFERROR(VLOOKUP($AV22,$A$2:$D$10,3,FALSE),0)</f>
        <v/>
      </c>
      <c r="AY22" s="141">
        <f>IFERROR(VLOOKUP($AV22,$A$2:$D$10,4,FALSE),0)</f>
        <v/>
      </c>
      <c r="AZ22" s="141" t="n">
        <v>0</v>
      </c>
      <c r="BA22" s="141">
        <f>IF($AY22=1,"",$AU22)</f>
        <v/>
      </c>
      <c r="BB22" s="141">
        <f>IF(AND($AW22=1,$AY22=0),$AU22,"")</f>
        <v/>
      </c>
      <c r="BD22" s="114" t="inlineStr">
        <is>
          <t>Sem Volta</t>
        </is>
      </c>
      <c r="BE22" s="114" t="inlineStr">
        <is>
          <t>Sem Volta</t>
        </is>
      </c>
      <c r="BF22" s="141" t="n">
        <v>2</v>
      </c>
      <c r="BG22" s="141" t="n">
        <v>0</v>
      </c>
      <c r="BH22" s="114" t="inlineStr"/>
      <c r="CU22" s="114" t="inlineStr">
        <is>
          <t>Feitiço 21</t>
        </is>
      </c>
      <c r="CV22" s="141" t="n">
        <v>0</v>
      </c>
      <c r="CW22" s="141" t="n">
        <v>21</v>
      </c>
      <c r="CX22" s="141">
        <f>MAX(1,MIN(7,N('FICHA AMALDIÇOADA'!$P$173)))</f>
        <v/>
      </c>
      <c r="CY22" s="141">
        <f>'FICHA AMALDIÇOADA'!$Q$173&amp;""</f>
        <v/>
      </c>
      <c r="CZ22" s="141">
        <f>'FICHA AMALDIÇOADA'!$P$180&amp;""</f>
        <v/>
      </c>
      <c r="DA22" s="141">
        <f>'FICHA AMALDIÇOADA'!$Q$182&amp;""</f>
        <v/>
      </c>
      <c r="DB22" s="141">
        <f>'FICHA AMALDIÇOADA'!$Q$183&amp;""</f>
        <v/>
      </c>
      <c r="DC22" s="141">
        <f>'FICHA AMALDIÇOADA'!$Q$184&amp;""</f>
        <v/>
      </c>
      <c r="DD22" s="141">
        <f>'FICHA AMALDIÇOADA'!$Q$185&amp;""</f>
        <v/>
      </c>
      <c r="DE22" s="141">
        <f>'FICHA AMALDIÇOADA'!$Q$186&amp;""</f>
        <v/>
      </c>
      <c r="DF22" s="141">
        <f>'FICHA AMALDIÇOADA'!$Q$187&amp;""</f>
        <v/>
      </c>
      <c r="DG22" s="141">
        <f>IF($CY22&lt;&gt;"",1,0)</f>
        <v/>
      </c>
      <c r="DH22" s="141">
        <f>IFERROR(MATCH($CZ22,$Q$2:$Q$11,0),0)</f>
        <v/>
      </c>
      <c r="DI22" s="141">
        <f>IF($DH22=0,0,INDEX($T$2:$T$11,$DH22))</f>
        <v/>
      </c>
      <c r="DJ22" s="141">
        <f>IFERROR(VLOOKUP($DA22,$AU$2:$BB$84,4,FALSE),0)</f>
        <v/>
      </c>
      <c r="DK22" s="141">
        <f>IFERROR(VLOOKUP($DB22,$AU$2:$BB$84,4,FALSE),0)</f>
        <v/>
      </c>
      <c r="DL22" s="141">
        <f>IFERROR(VLOOKUP($DC22,$AU$2:$BB$84,4,FALSE),0)</f>
        <v/>
      </c>
      <c r="DM22" s="141">
        <f>IFERROR(VLOOKUP($DD22,$AU$2:$BB$84,4,FALSE),0)</f>
        <v/>
      </c>
      <c r="DN22" s="141">
        <f>IF($DH22=0,0,INDEX($U$2:$U$11,$DH22))</f>
        <v/>
      </c>
      <c r="DO22" s="141">
        <f>IFERROR(VLOOKUP($DA22,$AU$2:$BB$84,5,FALSE),0)</f>
        <v/>
      </c>
      <c r="DP22" s="141">
        <f>IFERROR(VLOOKUP($DB22,$AU$2:$BB$84,5,FALSE),0)</f>
        <v/>
      </c>
      <c r="DQ22" s="141">
        <f>IFERROR(VLOOKUP($DC22,$AU$2:$BB$84,5,FALSE),0)</f>
        <v/>
      </c>
      <c r="DR22" s="141">
        <f>IFERROR(VLOOKUP($DD22,$AU$2:$BB$84,5,FALSE),0)</f>
        <v/>
      </c>
      <c r="DS22" s="141">
        <f>IFERROR(VLOOKUP($DA22,$AU$2:$BB$84,6,FALSE),0)+IFERROR(VLOOKUP($DB22,$AU$2:$BB$84,6,FALSE),0)+IFERROR(VLOOKUP($DC22,$AU$2:$BB$84,6,FALSE),0)+IFERROR(VLOOKUP($DD22,$AU$2:$BB$84,6,FALSE),0)</f>
        <v/>
      </c>
      <c r="DT22" s="141">
        <f>IF($DH22=0,0,INDEX($V$2:$V$11,$DH22))</f>
        <v/>
      </c>
      <c r="DU22" s="141">
        <f>IF($DH22=0,0,INDEX($W$2:$W$11,$DH22))</f>
        <v/>
      </c>
      <c r="DV22" s="141">
        <f>IF($DH22=0,0,INDEX($Y$2:$Y$11,$DH22))</f>
        <v/>
      </c>
      <c r="DW22" s="141">
        <f>IFERROR(VLOOKUP($DE22,$BD$2:$BH$24,3,FALSE),0)</f>
        <v/>
      </c>
      <c r="DX22" s="141">
        <f>IFERROR(VLOOKUP($DF22,$BD$2:$BH$24,3,FALSE),0)</f>
        <v/>
      </c>
      <c r="DY22" s="141">
        <f>IFERROR(VLOOKUP($DE22,$BD$2:$BH$24,2,FALSE),"")</f>
        <v/>
      </c>
      <c r="DZ22" s="141">
        <f>IFERROR(VLOOKUP($DF22,$BD$2:$BH$24,2,FALSE),"")</f>
        <v/>
      </c>
      <c r="EA22" s="141">
        <f>COUNTIF($DI22:$DM22,1)</f>
        <v/>
      </c>
      <c r="EB22" s="141">
        <f>COUNTIF($DI22:$DM22,2)</f>
        <v/>
      </c>
      <c r="EC22" s="141">
        <f>COUNTIF($DI22:$DM22,3)</f>
        <v/>
      </c>
      <c r="ED22" s="141">
        <f>COUNTIF($DI22:$DM22,4)</f>
        <v/>
      </c>
      <c r="EE22" s="141">
        <f>COUNTIF($DI22:$DM22,5)</f>
        <v/>
      </c>
      <c r="EF22" s="141">
        <f>COUNTIF($DI22:$DM22,6)</f>
        <v/>
      </c>
      <c r="EG22" s="141">
        <f>COUNTIF($DW22:$DX22,1)</f>
        <v/>
      </c>
      <c r="EH22" s="141">
        <f>COUNTIF($DW22:$DX22,2)+$DT22</f>
        <v/>
      </c>
      <c r="EI22" s="141">
        <f>COUNTIF($DA22:$DD22,"?*")</f>
        <v/>
      </c>
      <c r="EJ22" s="141">
        <f>COUNTIF($DE22:$DF22,"?*")+$DT22</f>
        <v/>
      </c>
      <c r="EK22" s="141">
        <f>SUMPRODUCT($EA22:$EF22,INDEX($I$2:$N$8,$CX22,0))</f>
        <v/>
      </c>
      <c r="EL22" s="141">
        <f>$EG22*CEILING($CX22/2,1)+$EH22*$CX22</f>
        <v/>
      </c>
      <c r="EM22" s="141">
        <f>MIN(2*$CX22,$EL22)</f>
        <v/>
      </c>
      <c r="EN22" s="141">
        <f>MIN($EM22,$EK22)</f>
        <v/>
      </c>
      <c r="EO22" s="141">
        <f>$EM22-$EN22</f>
        <v/>
      </c>
      <c r="EP22" s="141">
        <f>3*$CX22-$EK22+$EN22</f>
        <v/>
      </c>
      <c r="EQ22" s="141">
        <f>MAX(0,$EP22)+$CV22*$CX22</f>
        <v/>
      </c>
      <c r="ER22" s="141">
        <f>(IF(COUNTIF($DA22:$DD22,"Salto")&gt;0,1,0)+IF(COUNTIF($DA22:$DD22,"Queima")&gt;0,1,0))*FLOOR($EQ22/2,1)</f>
        <v/>
      </c>
      <c r="ES22" s="141">
        <f>MAX(0,3-SUMPRODUCT($EA22:$EF22,$I$2:$N$2)+MIN(2,$EG22*1+$EH22*1,SUMPRODUCT($EA22:$EF22,$I$2:$N$2)))+$CV22*1</f>
        <v/>
      </c>
      <c r="ET22" s="141">
        <f>MAX(0,6-SUMPRODUCT($EA22:$EF22,$I$3:$N$3)+MIN(4,$EG22*1+$EH22*2,SUMPRODUCT($EA22:$EF22,$I$3:$N$3)))+$CV22*2</f>
        <v/>
      </c>
      <c r="EU22" s="141">
        <f>MAX(0,9-SUMPRODUCT($EA22:$EF22,$I$4:$N$4)+MIN(6,$EG22*2+$EH22*3,SUMPRODUCT($EA22:$EF22,$I$4:$N$4)))+$CV22*3</f>
        <v/>
      </c>
      <c r="EV22" s="141">
        <f>MAX(0,12-SUMPRODUCT($EA22:$EF22,$I$5:$N$5)+MIN(8,$EG22*2+$EH22*4,SUMPRODUCT($EA22:$EF22,$I$5:$N$5)))+$CV22*4</f>
        <v/>
      </c>
      <c r="EW22" s="141">
        <f>MAX(0,15-SUMPRODUCT($EA22:$EF22,$I$6:$N$6)+MIN(10,$EG22*3+$EH22*5,SUMPRODUCT($EA22:$EF22,$I$6:$N$6)))+$CV22*5</f>
        <v/>
      </c>
      <c r="EX22" s="141">
        <f>MAX(0,18-SUMPRODUCT($EA22:$EF22,$I$7:$N$7)+MIN(12,$EG22*3+$EH22*6,SUMPRODUCT($EA22:$EF22,$I$7:$N$7)))+$CV22*6</f>
        <v/>
      </c>
      <c r="EY22" s="141">
        <f>MAX(0,21-SUMPRODUCT($EA22:$EF22,$I$8:$N$8)+MIN(14,$EG22*4+$EH22*7,SUMPRODUCT($EA22:$EF22,$I$8:$N$8)))+$CV22*7</f>
        <v/>
      </c>
      <c r="EZ22" s="141">
        <f>IF($DU22=2,3*$ES22&amp;" de vida temp.",IF($DU22=3,"sem dano",IF($ES22=0,IF($DU22=1,"sem cura","sem dano"),IF($DU22=1,"cura ","")&amp;$ES22&amp;"d8")))</f>
        <v/>
      </c>
      <c r="FA22" s="141">
        <f>IF($DU22=2,3*$ET22&amp;" de vida temp.",IF($DU22=3,"sem dano",IF($ET22=0,IF($DU22=1,"sem cura","sem dano"),IF($DU22=1,"cura ","")&amp;$ET22&amp;"d8")))</f>
        <v/>
      </c>
      <c r="FB22" s="141">
        <f>IF($DU22=2,3*$EU22&amp;" de vida temp.",IF($DU22=3,"sem dano",IF($EU22=0,IF($DU22=1,"sem cura","sem dano"),IF($DU22=1,"cura ","")&amp;$EU22&amp;"d8")))</f>
        <v/>
      </c>
      <c r="FC22" s="141">
        <f>IF($DU22=2,3*$EV22&amp;" de vida temp.",IF($DU22=3,"sem dano",IF($EV22=0,IF($DU22=1,"sem cura","sem dano"),IF($DU22=1,"cura ","")&amp;$EV22&amp;"d8")))</f>
        <v/>
      </c>
      <c r="FD22" s="141">
        <f>IF($DU22=2,3*$EW22&amp;" de vida temp.",IF($DU22=3,"sem dano",IF($EW22=0,IF($DU22=1,"sem cura","sem dano"),IF($DU22=1,"cura ","")&amp;$EW22&amp;"d8")))</f>
        <v/>
      </c>
      <c r="FE22" s="141">
        <f>IF($DU22=2,3*$EX22&amp;" de vida temp.",IF($DU22=3,"sem dano",IF($EX22=0,IF($DU22=1,"sem cura","sem dano"),IF($DU22=1,"cura ","")&amp;$EX22&amp;"d8")))</f>
        <v/>
      </c>
      <c r="FF22" s="141">
        <f>IF($DU22=2,3*$EY22&amp;" de vida temp.",IF($DU22=3,"sem dano",IF($EY22=0,IF($DU22=1,"sem cura","sem dano"),IF($DU22=1,"cura ","")&amp;$EY22&amp;"d8")))</f>
        <v/>
      </c>
      <c r="FG22" s="141">
        <f>IF($DG22=0,"",TEXTJOIN(" · ",TRUE,IF(AND($CV22=1,$CW22&gt;$GF$9),"O nível "&amp;$GF$2&amp;" dá "&amp;$GF$9&amp;" Liberação Máxima",""),IF($CX22&gt;$GF$4,"Classe "&amp;$CX22&amp;": o nível "&amp;$GF$2&amp;" libera até a "&amp;$GF$4,""),IF($DN22=1,"Família Fechada: a Forma "&amp;$CZ22,""),IF($DO22=1,"Família Fechada: "&amp;$DA22,""),IF($DP22=1,"Família Fechada: "&amp;$DB22,""),IF($DQ22=1,"Família Fechada: "&amp;$DC22,""),IF($DR22=1,"Família Fechada: "&amp;$DD22,""),IF($EI22&gt;INDEX($O$2:$O$8,$CX22),$EI22&amp;" Melhorias: a Classe "&amp;$CX22&amp;" aceita "&amp;INDEX($O$2:$O$8,$CX22),""),IF($EJ22&gt;2,$EJ22&amp;" Restrições"&amp;IF($DT22=1,", contando a que a Forma "&amp;$CZ22&amp;" já traz","")&amp;": o limite é 2",""),IF($EP22&lt;0,"Orçamento estourado: faltam "&amp;(-$EP22)&amp;IF($EP22&lt;-1," pontos"," ponto"),""),IF(IFERROR(VLOOKUP($DE22,$BD$2:$BH$24,4,FALSE),0)+IFERROR(VLOOKUP($DF22,$BD$2:$BH$24,4,FALSE),0)&gt;1,$DY22&amp;" e "&amp;$DZ22&amp;" são as duas de frequência",""),IF(AND((COUNTIF($DA22:$DD22,"Rápido")+COUNTIF($DY22:$DZ22,"Rápido"))&gt;0,(COUNTIF($DA22:$DD22,"Reação")+COUNTIF($DY22:$DZ22,"Reação"))&gt;0),"Rápido não entra com Reação",""),IF(AND((COUNTIF($DA22:$DD22,"Rápido")+COUNTIF($DY22:$DZ22,"Rápido"))&gt;0,(COUNTIF($DA22:$DD22,"Atrasar")+COUNTIF($DY22:$DZ22,"Atrasar"))&gt;0),"Rápido não entra com Atrasar",""),IF(AND((COUNTIF($DA22:$DD22,"Reação")+COUNTIF($DY22:$DZ22,"Reação"))&gt;0,(COUNTIF($DA22:$DD22,"Atrasar")+COUNTIF($DY22:$DZ22,"Atrasar"))&gt;0),"Reação não entra com Atrasar",""),IF(AND((COUNTIF($DA22:$DD22,"Reação")+COUNTIF($DY22:$DZ22,"Reação"))&gt;0,(COUNTIF($DA22:$DD22,"Parado")+COUNTIF($DY22:$DZ22,"Parado"))&gt;0),"Reação não entra com Parado",""),IF(AND(COUNTIF($DY22:$DZ22,"Corpo a Corpo")&gt;0,$DT22=0,OR($CZ22="Cone",$CZ22="Linha")),"Corpo a Corpo não entra em "&amp;$CZ22,""),IF(AND(COUNTIF($DY22:$DZ22,"Corpo a Corpo")&gt;0,$DT22=1),"A Forma "&amp;$CZ22&amp;" já traz o Corpo a Corpo",""),IF(AND(COUNTIF($DY22:$DZ22,"Tudo ou Nada")&gt;0,$DV22=0),"Tudo ou Nada só entra em feitiço de Teste de Resistência",""),IF(AND(COUNTIF($DA22:$DD22,"Inescapável")&gt;0,OR($EI22&gt;1,$EJ22&gt;0)),"Inescapável não aceita outra peça",""),IF(AND($CV22=1,$CX22&lt;3),"Liberação Máxima é de Classe 3 ou mais",""),IF(AND($CV22=1,OR($DU22=1,$DU22=2)),"Liberação Máxima não serve para cura",""),IF(AND($CV22=1,COUNTIF($DA22:$DD22,"Inescapável")+COUNTIF($DA22:$DD22,"Toca a Alma")&gt;0),"Esta peça não entra numa Liberação Máxima",""),IF($EQ22+$ER22&gt;4*$CX22,($EQ22+$ER22)&amp;" dados somando alvos e repetições: o teto da Classe "&amp;$CX22&amp;" é "&amp;4*$CX22,"")))</f>
        <v/>
      </c>
      <c r="FH22" s="141">
        <f>IF($FG22="",0,(LEN($FG22)-LEN(SUBSTITUTE($FG22," · ","")))/3+1)</f>
        <v/>
      </c>
      <c r="FI22" s="141">
        <f>IF($DG22=0,"",TEXTJOIN(" · ",TRUE,IF($EL22&gt;2*$CX22,"A devolução parou no teto de "&amp;2*$CX22,""),IF($EO22&gt;0,"Devolução perdida: "&amp;$EO22&amp;IF($EO22&gt;1," pontos"," ponto")&amp;" sem peça para pagar",""),IF(AND($DS22&gt;0,$EQ22=0),"Controle sem dano: uma rodada a mais e CD +2",""),IF(AND($DS22&gt;0,$EQ22&gt;0,$EQ22&lt;=$CX22),"Controle com um quarto do teto: uma rodada a mais","")))</f>
        <v/>
      </c>
      <c r="FJ22" s="141">
        <f>IF($FI22="",0,(LEN($FI22)-LEN(SUBSTITUTE($FI22," · ","")))/3+1)</f>
        <v/>
      </c>
      <c r="FK22" s="141">
        <f>IF($DG22=0,IF($EI22+$EJ22-$DT22&gt;0,"Dê um nome",""),IF($FH22&gt;0,"⚠ "&amp;$FH22&amp;IF($FH22&gt;1," erros"," erro"),IF($FJ22&gt;0,"! "&amp;$FJ22&amp;IF($FJ22&gt;1," avisos"," aviso"),"Na regra")))</f>
        <v/>
      </c>
      <c r="FL22" s="141">
        <f>IF($DG22=0,"",IF($FH22+$FJ22=0,"Dentro das regras que a ficha confere",$FG22&amp;IF(AND($FH22&gt;0,$FJ22&gt;0)," · ","")&amp;$FI22))</f>
        <v/>
      </c>
      <c r="FM22" s="141">
        <f>IF($DG22=0,"",IF($CV22=1,CEILING(4.5*$CX22,1),3*$CX22)&amp;" PE")</f>
        <v/>
      </c>
      <c r="FN22" s="141">
        <f>IF($DG22=0,"",IF($CV22=1,"Rodada inteira",IF(COUNTIF($DY22:$DZ22,"Atrasar")&gt;0,IF(COUNTIF($DY22:$DZ22,"Carregar")&gt;0,"Rodada +1 turno","Rodada inteira"),IF(COUNTIF($DA22:$DD22,"Rápido")&gt;0,"Bônus",IF(COUNTIF($DA22:$DD22,"Reação")&gt;0,"Reação","Padrão"))&amp;IF(COUNTIF($DY22:$DZ22,"Carregar")&gt;0," +1 turno",""))))</f>
        <v/>
      </c>
      <c r="FO22" s="141">
        <f>IF(OR($DG22=0,$DH22=0),"",IF(COUNTIF($DA22:$DD22,"Inescapável")&gt;0,"Automático",IF(COUNTIF($DA22:$DD22,"Certeiro")&gt;0,"TR para metade",INDEX($X$2:$X$11,$DH22))))</f>
        <v/>
      </c>
      <c r="FP22" s="141">
        <f>IF(OR($DG22=0,$DH22=0),"",IF(OR($DU22&gt;=2,$EQ22=0),UPPER(LEFT(INDEX($EZ22:$FF22,1,$CX22),1))&amp;MID(INDEX($EZ22:$FF22,1,$CX22),2,99),UPPER(LEFT(INDEX($EZ22:$FF22,1,$CX22),1))&amp;MID(INDEX($EZ22:$FF22,1,$CX22),2,99)&amp;" = "&amp;FLOOR($EQ22*4.5,1)&amp;IF($ER22&gt;0," · +"&amp;$ER22&amp;"d8","")))</f>
        <v/>
      </c>
      <c r="FQ22" s="141">
        <f>COUNTIF($DA22:$DD22,"Longe")+3*COUNTIF($DA22:$DD22,"Muito Longe")</f>
        <v/>
      </c>
      <c r="FR22" s="141">
        <f>COUNTIF($DA22:$DD22,"Maior")+3*COUNTIF($DA22:$DD22,"Muito Maior")</f>
        <v/>
      </c>
      <c r="FS22" s="141">
        <f>IF($DH22=0,0,CHOOSE(1+INDEX($Z$2:$Z$11,$DH22),0,$FQ22,$FR22,$FQ22+$FR22))</f>
        <v/>
      </c>
      <c r="FT22" s="141">
        <f>IF($DH22=0,0,CHOOSE(1+INDEX($AA$2:$AA$11,$DH22),0,$FQ22,$FR22,$FQ22+$FR22))</f>
        <v/>
      </c>
      <c r="FU22" s="141">
        <f>IF(OR($DG22=0,$DH22=0),"",INDEX($AH$2:$AM$31,($DH22-1)*3+IF($CX22&gt;=6,3,2),1+MIN(5,$FS22))&amp;INDEX($AN$2:$AS$31,($DH22-1)*3+IF($CX22&gt;=6,3,2),1+MIN(5,$FT22))&amp;IF(INDEX($AB$2:$AB$11,$DH22)=1,IF(COUNTIF($DA22:$DD22,"Mais Um")&gt;0," · +"&amp;COUNTIF($DA22:$DD22,"Mais Um")&amp;IF(COUNTIF($DA22:$DD22,"Mais Um")&gt;1," alvos"," alvo"),"")&amp;IF(COUNTIF($DA22:$DD22,"Rajada")&gt;0," · "&amp;($CX22+1)&amp;" tiros",""),""))</f>
        <v/>
      </c>
      <c r="FV22" s="141">
        <f>IF($DG22=0,"",3*$CX22&amp;" − "&amp;$EK22&amp;" + "&amp;$EN22&amp;IF($CV22=1," + "&amp;$CX22,"")&amp;" = "&amp;$EQ22&amp;"d8 · teto "&amp;4*$CX22&amp;IF($DT22=1," · a Forma devolve "&amp;$CX22,"")&amp;IF($EO22&gt;0," · perde "&amp;$EO22,""))</f>
        <v/>
      </c>
      <c r="FW22" s="141">
        <f>IF($DG22=0,"",IF($CX22&gt;=$GF$4,"Já está na maior Classe que o nível liberou",TEXTJOIN(" · ",TRUE,IF(AND(2&gt;$CX22,2&lt;=$GF$4),"2 → "&amp;$FA22&amp;", "&amp;IF($CV22=1,9,6)&amp;" PE",""),IF(AND(3&gt;$CX22,3&lt;=$GF$4),"3 → "&amp;$FB22&amp;", "&amp;IF($CV22=1,14,9)&amp;" PE",""),IF(AND(4&gt;$CX22,4&lt;=$GF$4),"4 → "&amp;$FC22&amp;", "&amp;IF($CV22=1,18,12)&amp;" PE",""),IF(AND(5&gt;$CX22,5&lt;=$GF$4),"5 → "&amp;$FD22&amp;", "&amp;IF($CV22=1,23,15)&amp;" PE",""),IF(AND(6&gt;$CX22,6&lt;=$GF$4),"6 → "&amp;$FE22&amp;", "&amp;IF($CV22=1,27,18)&amp;" PE",""),IF(AND(7&gt;$CX22,7&lt;=$GF$4),"7 → "&amp;$FF22&amp;", "&amp;IF($CV22=1,32,21)&amp;" PE",""))))</f>
        <v/>
      </c>
      <c r="FX22" s="141">
        <f>IF(OR($DG22=0,$DJ22=0),"","−"&amp;INDEX($I$2:$N$8,$CX22,$DJ22)&amp;" · "&amp;CHOOSE($DJ22,"Leve","Média","Pesada","Leve · Livre","Média · Livre","Pesada · Livre"))</f>
        <v/>
      </c>
      <c r="FY22" s="141">
        <f>IF(OR($DG22=0,$DK22=0),"","−"&amp;INDEX($I$2:$N$8,$CX22,$DK22)&amp;" · "&amp;CHOOSE($DK22,"Leve","Média","Pesada","Leve · Livre","Média · Livre","Pesada · Livre"))</f>
        <v/>
      </c>
      <c r="FZ22" s="141">
        <f>IF(OR($DG22=0,$DL22=0),"","−"&amp;INDEX($I$2:$N$8,$CX22,$DL22)&amp;" · "&amp;CHOOSE($DL22,"Leve","Média","Pesada","Leve · Livre","Média · Livre","Pesada · Livre"))</f>
        <v/>
      </c>
      <c r="GA22" s="141">
        <f>IF(OR($DG22=0,$DM22=0),"","−"&amp;INDEX($I$2:$N$8,$CX22,$DM22)&amp;" · "&amp;CHOOSE($DM22,"Leve","Média","Pesada","Leve · Livre","Média · Livre","Pesada · Livre"))</f>
        <v/>
      </c>
      <c r="GB22" s="141">
        <f>IF(OR($DG22=0,$DE22=""),"","+"&amp;IF($DW22=1,CEILING($CX22/2,1),$CX22))</f>
        <v/>
      </c>
      <c r="GC22" s="141">
        <f>IF(OR($DG22=0,$DF22=""),"","+"&amp;IF($DX22=1,CEILING($CX22/2,1),$CX22))</f>
        <v/>
      </c>
      <c r="GE22" s="114" t="inlineStr">
        <is>
          <t>livres</t>
        </is>
      </c>
      <c r="GF22" s="141">
        <f>$GF$21-$GF$15</f>
        <v/>
      </c>
      <c r="HJ22" s="114" t="inlineStr">
        <is>
          <t>D355</t>
        </is>
      </c>
      <c r="HK22" s="141">
        <f>"Incompleta"&amp;IF(DADOS_AM!$GF$34="Incompleta"," · a sua","")</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41" t="n">
        <v>2</v>
      </c>
      <c r="AX23" s="141">
        <f>$AW23+3*IFERROR(VLOOKUP($AV23,$A$2:$D$10,3,FALSE),0)</f>
        <v/>
      </c>
      <c r="AY23" s="141">
        <f>IFERROR(VLOOKUP($AV23,$A$2:$D$10,4,FALSE),0)</f>
        <v/>
      </c>
      <c r="AZ23" s="141" t="n">
        <v>0</v>
      </c>
      <c r="BA23" s="141">
        <f>IF($AY23=1,"",$AU23)</f>
        <v/>
      </c>
      <c r="BB23" s="141">
        <f>IF(AND($AW23=1,$AY23=0),$AU23,"")</f>
        <v/>
      </c>
      <c r="BD23" s="114" t="inlineStr">
        <is>
          <t>Restrição Própria (Leve)</t>
        </is>
      </c>
      <c r="BE23" s="114" t="inlineStr">
        <is>
          <t>Restrição Própria</t>
        </is>
      </c>
      <c r="BF23" s="141" t="n">
        <v>1</v>
      </c>
      <c r="BG23" s="141" t="n">
        <v>0</v>
      </c>
      <c r="BH23" s="114" t="inlineStr">
        <is>
          <t>Restrição Própria (Leve)</t>
        </is>
      </c>
      <c r="CU23" s="114" t="inlineStr">
        <is>
          <t>Feitiço 22</t>
        </is>
      </c>
      <c r="CV23" s="141" t="n">
        <v>0</v>
      </c>
      <c r="CW23" s="141" t="n">
        <v>22</v>
      </c>
      <c r="CX23" s="141">
        <f>MAX(1,MIN(7,N('FICHA AMALDIÇOADA'!$D$194)))</f>
        <v/>
      </c>
      <c r="CY23" s="141">
        <f>'FICHA AMALDIÇOADA'!$E$194&amp;""</f>
        <v/>
      </c>
      <c r="CZ23" s="141">
        <f>'FICHA AMALDIÇOADA'!$D$201&amp;""</f>
        <v/>
      </c>
      <c r="DA23" s="141">
        <f>'FICHA AMALDIÇOADA'!$E$203&amp;""</f>
        <v/>
      </c>
      <c r="DB23" s="141">
        <f>'FICHA AMALDIÇOADA'!$E$204&amp;""</f>
        <v/>
      </c>
      <c r="DC23" s="141">
        <f>'FICHA AMALDIÇOADA'!$E$205&amp;""</f>
        <v/>
      </c>
      <c r="DD23" s="141">
        <f>'FICHA AMALDIÇOADA'!$E$206&amp;""</f>
        <v/>
      </c>
      <c r="DE23" s="141">
        <f>'FICHA AMALDIÇOADA'!$E$207&amp;""</f>
        <v/>
      </c>
      <c r="DF23" s="141">
        <f>'FICHA AMALDIÇOADA'!$E$208&amp;""</f>
        <v/>
      </c>
      <c r="DG23" s="141">
        <f>IF($CY23&lt;&gt;"",1,0)</f>
        <v/>
      </c>
      <c r="DH23" s="141">
        <f>IFERROR(MATCH($CZ23,$Q$2:$Q$11,0),0)</f>
        <v/>
      </c>
      <c r="DI23" s="141">
        <f>IF($DH23=0,0,INDEX($T$2:$T$11,$DH23))</f>
        <v/>
      </c>
      <c r="DJ23" s="141">
        <f>IFERROR(VLOOKUP($DA23,$AU$2:$BB$84,4,FALSE),0)</f>
        <v/>
      </c>
      <c r="DK23" s="141">
        <f>IFERROR(VLOOKUP($DB23,$AU$2:$BB$84,4,FALSE),0)</f>
        <v/>
      </c>
      <c r="DL23" s="141">
        <f>IFERROR(VLOOKUP($DC23,$AU$2:$BB$84,4,FALSE),0)</f>
        <v/>
      </c>
      <c r="DM23" s="141">
        <f>IFERROR(VLOOKUP($DD23,$AU$2:$BB$84,4,FALSE),0)</f>
        <v/>
      </c>
      <c r="DN23" s="141">
        <f>IF($DH23=0,0,INDEX($U$2:$U$11,$DH23))</f>
        <v/>
      </c>
      <c r="DO23" s="141">
        <f>IFERROR(VLOOKUP($DA23,$AU$2:$BB$84,5,FALSE),0)</f>
        <v/>
      </c>
      <c r="DP23" s="141">
        <f>IFERROR(VLOOKUP($DB23,$AU$2:$BB$84,5,FALSE),0)</f>
        <v/>
      </c>
      <c r="DQ23" s="141">
        <f>IFERROR(VLOOKUP($DC23,$AU$2:$BB$84,5,FALSE),0)</f>
        <v/>
      </c>
      <c r="DR23" s="141">
        <f>IFERROR(VLOOKUP($DD23,$AU$2:$BB$84,5,FALSE),0)</f>
        <v/>
      </c>
      <c r="DS23" s="141">
        <f>IFERROR(VLOOKUP($DA23,$AU$2:$BB$84,6,FALSE),0)+IFERROR(VLOOKUP($DB23,$AU$2:$BB$84,6,FALSE),0)+IFERROR(VLOOKUP($DC23,$AU$2:$BB$84,6,FALSE),0)+IFERROR(VLOOKUP($DD23,$AU$2:$BB$84,6,FALSE),0)</f>
        <v/>
      </c>
      <c r="DT23" s="141">
        <f>IF($DH23=0,0,INDEX($V$2:$V$11,$DH23))</f>
        <v/>
      </c>
      <c r="DU23" s="141">
        <f>IF($DH23=0,0,INDEX($W$2:$W$11,$DH23))</f>
        <v/>
      </c>
      <c r="DV23" s="141">
        <f>IF($DH23=0,0,INDEX($Y$2:$Y$11,$DH23))</f>
        <v/>
      </c>
      <c r="DW23" s="141">
        <f>IFERROR(VLOOKUP($DE23,$BD$2:$BH$24,3,FALSE),0)</f>
        <v/>
      </c>
      <c r="DX23" s="141">
        <f>IFERROR(VLOOKUP($DF23,$BD$2:$BH$24,3,FALSE),0)</f>
        <v/>
      </c>
      <c r="DY23" s="141">
        <f>IFERROR(VLOOKUP($DE23,$BD$2:$BH$24,2,FALSE),"")</f>
        <v/>
      </c>
      <c r="DZ23" s="141">
        <f>IFERROR(VLOOKUP($DF23,$BD$2:$BH$24,2,FALSE),"")</f>
        <v/>
      </c>
      <c r="EA23" s="141">
        <f>COUNTIF($DI23:$DM23,1)</f>
        <v/>
      </c>
      <c r="EB23" s="141">
        <f>COUNTIF($DI23:$DM23,2)</f>
        <v/>
      </c>
      <c r="EC23" s="141">
        <f>COUNTIF($DI23:$DM23,3)</f>
        <v/>
      </c>
      <c r="ED23" s="141">
        <f>COUNTIF($DI23:$DM23,4)</f>
        <v/>
      </c>
      <c r="EE23" s="141">
        <f>COUNTIF($DI23:$DM23,5)</f>
        <v/>
      </c>
      <c r="EF23" s="141">
        <f>COUNTIF($DI23:$DM23,6)</f>
        <v/>
      </c>
      <c r="EG23" s="141">
        <f>COUNTIF($DW23:$DX23,1)</f>
        <v/>
      </c>
      <c r="EH23" s="141">
        <f>COUNTIF($DW23:$DX23,2)+$DT23</f>
        <v/>
      </c>
      <c r="EI23" s="141">
        <f>COUNTIF($DA23:$DD23,"?*")</f>
        <v/>
      </c>
      <c r="EJ23" s="141">
        <f>COUNTIF($DE23:$DF23,"?*")+$DT23</f>
        <v/>
      </c>
      <c r="EK23" s="141">
        <f>SUMPRODUCT($EA23:$EF23,INDEX($I$2:$N$8,$CX23,0))</f>
        <v/>
      </c>
      <c r="EL23" s="141">
        <f>$EG23*CEILING($CX23/2,1)+$EH23*$CX23</f>
        <v/>
      </c>
      <c r="EM23" s="141">
        <f>MIN(2*$CX23,$EL23)</f>
        <v/>
      </c>
      <c r="EN23" s="141">
        <f>MIN($EM23,$EK23)</f>
        <v/>
      </c>
      <c r="EO23" s="141">
        <f>$EM23-$EN23</f>
        <v/>
      </c>
      <c r="EP23" s="141">
        <f>3*$CX23-$EK23+$EN23</f>
        <v/>
      </c>
      <c r="EQ23" s="141">
        <f>MAX(0,$EP23)+$CV23*$CX23</f>
        <v/>
      </c>
      <c r="ER23" s="141">
        <f>(IF(COUNTIF($DA23:$DD23,"Salto")&gt;0,1,0)+IF(COUNTIF($DA23:$DD23,"Queima")&gt;0,1,0))*FLOOR($EQ23/2,1)</f>
        <v/>
      </c>
      <c r="ES23" s="141">
        <f>MAX(0,3-SUMPRODUCT($EA23:$EF23,$I$2:$N$2)+MIN(2,$EG23*1+$EH23*1,SUMPRODUCT($EA23:$EF23,$I$2:$N$2)))+$CV23*1</f>
        <v/>
      </c>
      <c r="ET23" s="141">
        <f>MAX(0,6-SUMPRODUCT($EA23:$EF23,$I$3:$N$3)+MIN(4,$EG23*1+$EH23*2,SUMPRODUCT($EA23:$EF23,$I$3:$N$3)))+$CV23*2</f>
        <v/>
      </c>
      <c r="EU23" s="141">
        <f>MAX(0,9-SUMPRODUCT($EA23:$EF23,$I$4:$N$4)+MIN(6,$EG23*2+$EH23*3,SUMPRODUCT($EA23:$EF23,$I$4:$N$4)))+$CV23*3</f>
        <v/>
      </c>
      <c r="EV23" s="141">
        <f>MAX(0,12-SUMPRODUCT($EA23:$EF23,$I$5:$N$5)+MIN(8,$EG23*2+$EH23*4,SUMPRODUCT($EA23:$EF23,$I$5:$N$5)))+$CV23*4</f>
        <v/>
      </c>
      <c r="EW23" s="141">
        <f>MAX(0,15-SUMPRODUCT($EA23:$EF23,$I$6:$N$6)+MIN(10,$EG23*3+$EH23*5,SUMPRODUCT($EA23:$EF23,$I$6:$N$6)))+$CV23*5</f>
        <v/>
      </c>
      <c r="EX23" s="141">
        <f>MAX(0,18-SUMPRODUCT($EA23:$EF23,$I$7:$N$7)+MIN(12,$EG23*3+$EH23*6,SUMPRODUCT($EA23:$EF23,$I$7:$N$7)))+$CV23*6</f>
        <v/>
      </c>
      <c r="EY23" s="141">
        <f>MAX(0,21-SUMPRODUCT($EA23:$EF23,$I$8:$N$8)+MIN(14,$EG23*4+$EH23*7,SUMPRODUCT($EA23:$EF23,$I$8:$N$8)))+$CV23*7</f>
        <v/>
      </c>
      <c r="EZ23" s="141">
        <f>IF($DU23=2,3*$ES23&amp;" de vida temp.",IF($DU23=3,"sem dano",IF($ES23=0,IF($DU23=1,"sem cura","sem dano"),IF($DU23=1,"cura ","")&amp;$ES23&amp;"d8")))</f>
        <v/>
      </c>
      <c r="FA23" s="141">
        <f>IF($DU23=2,3*$ET23&amp;" de vida temp.",IF($DU23=3,"sem dano",IF($ET23=0,IF($DU23=1,"sem cura","sem dano"),IF($DU23=1,"cura ","")&amp;$ET23&amp;"d8")))</f>
        <v/>
      </c>
      <c r="FB23" s="141">
        <f>IF($DU23=2,3*$EU23&amp;" de vida temp.",IF($DU23=3,"sem dano",IF($EU23=0,IF($DU23=1,"sem cura","sem dano"),IF($DU23=1,"cura ","")&amp;$EU23&amp;"d8")))</f>
        <v/>
      </c>
      <c r="FC23" s="141">
        <f>IF($DU23=2,3*$EV23&amp;" de vida temp.",IF($DU23=3,"sem dano",IF($EV23=0,IF($DU23=1,"sem cura","sem dano"),IF($DU23=1,"cura ","")&amp;$EV23&amp;"d8")))</f>
        <v/>
      </c>
      <c r="FD23" s="141">
        <f>IF($DU23=2,3*$EW23&amp;" de vida temp.",IF($DU23=3,"sem dano",IF($EW23=0,IF($DU23=1,"sem cura","sem dano"),IF($DU23=1,"cura ","")&amp;$EW23&amp;"d8")))</f>
        <v/>
      </c>
      <c r="FE23" s="141">
        <f>IF($DU23=2,3*$EX23&amp;" de vida temp.",IF($DU23=3,"sem dano",IF($EX23=0,IF($DU23=1,"sem cura","sem dano"),IF($DU23=1,"cura ","")&amp;$EX23&amp;"d8")))</f>
        <v/>
      </c>
      <c r="FF23" s="141">
        <f>IF($DU23=2,3*$EY23&amp;" de vida temp.",IF($DU23=3,"sem dano",IF($EY23=0,IF($DU23=1,"sem cura","sem dano"),IF($DU23=1,"cura ","")&amp;$EY23&amp;"d8")))</f>
        <v/>
      </c>
      <c r="FG23" s="141">
        <f>IF($DG23=0,"",TEXTJOIN(" · ",TRUE,IF(AND($CV23=1,$CW23&gt;$GF$9),"O nível "&amp;$GF$2&amp;" dá "&amp;$GF$9&amp;" Liberação Máxima",""),IF($CX23&gt;$GF$4,"Classe "&amp;$CX23&amp;": o nível "&amp;$GF$2&amp;" libera até a "&amp;$GF$4,""),IF($DN23=1,"Família Fechada: a Forma "&amp;$CZ23,""),IF($DO23=1,"Família Fechada: "&amp;$DA23,""),IF($DP23=1,"Família Fechada: "&amp;$DB23,""),IF($DQ23=1,"Família Fechada: "&amp;$DC23,""),IF($DR23=1,"Família Fechada: "&amp;$DD23,""),IF($EI23&gt;INDEX($O$2:$O$8,$CX23),$EI23&amp;" Melhorias: a Classe "&amp;$CX23&amp;" aceita "&amp;INDEX($O$2:$O$8,$CX23),""),IF($EJ23&gt;2,$EJ23&amp;" Restrições"&amp;IF($DT23=1,", contando a que a Forma "&amp;$CZ23&amp;" já traz","")&amp;": o limite é 2",""),IF($EP23&lt;0,"Orçamento estourado: faltam "&amp;(-$EP23)&amp;IF($EP23&lt;-1," pontos"," ponto"),""),IF(IFERROR(VLOOKUP($DE23,$BD$2:$BH$24,4,FALSE),0)+IFERROR(VLOOKUP($DF23,$BD$2:$BH$24,4,FALSE),0)&gt;1,$DY23&amp;" e "&amp;$DZ23&amp;" são as duas de frequência",""),IF(AND((COUNTIF($DA23:$DD23,"Rápido")+COUNTIF($DY23:$DZ23,"Rápido"))&gt;0,(COUNTIF($DA23:$DD23,"Reação")+COUNTIF($DY23:$DZ23,"Reação"))&gt;0),"Rápido não entra com Reação",""),IF(AND((COUNTIF($DA23:$DD23,"Rápido")+COUNTIF($DY23:$DZ23,"Rápido"))&gt;0,(COUNTIF($DA23:$DD23,"Atrasar")+COUNTIF($DY23:$DZ23,"Atrasar"))&gt;0),"Rápido não entra com Atrasar",""),IF(AND((COUNTIF($DA23:$DD23,"Reação")+COUNTIF($DY23:$DZ23,"Reação"))&gt;0,(COUNTIF($DA23:$DD23,"Atrasar")+COUNTIF($DY23:$DZ23,"Atrasar"))&gt;0),"Reação não entra com Atrasar",""),IF(AND((COUNTIF($DA23:$DD23,"Reação")+COUNTIF($DY23:$DZ23,"Reação"))&gt;0,(COUNTIF($DA23:$DD23,"Parado")+COUNTIF($DY23:$DZ23,"Parado"))&gt;0),"Reação não entra com Parado",""),IF(AND(COUNTIF($DY23:$DZ23,"Corpo a Corpo")&gt;0,$DT23=0,OR($CZ23="Cone",$CZ23="Linha")),"Corpo a Corpo não entra em "&amp;$CZ23,""),IF(AND(COUNTIF($DY23:$DZ23,"Corpo a Corpo")&gt;0,$DT23=1),"A Forma "&amp;$CZ23&amp;" já traz o Corpo a Corpo",""),IF(AND(COUNTIF($DY23:$DZ23,"Tudo ou Nada")&gt;0,$DV23=0),"Tudo ou Nada só entra em feitiço de Teste de Resistência",""),IF(AND(COUNTIF($DA23:$DD23,"Inescapável")&gt;0,OR($EI23&gt;1,$EJ23&gt;0)),"Inescapável não aceita outra peça",""),IF(AND($CV23=1,$CX23&lt;3),"Liberação Máxima é de Classe 3 ou mais",""),IF(AND($CV23=1,OR($DU23=1,$DU23=2)),"Liberação Máxima não serve para cura",""),IF(AND($CV23=1,COUNTIF($DA23:$DD23,"Inescapável")+COUNTIF($DA23:$DD23,"Toca a Alma")&gt;0),"Esta peça não entra numa Liberação Máxima",""),IF($EQ23+$ER23&gt;4*$CX23,($EQ23+$ER23)&amp;" dados somando alvos e repetições: o teto da Classe "&amp;$CX23&amp;" é "&amp;4*$CX23,"")))</f>
        <v/>
      </c>
      <c r="FH23" s="141">
        <f>IF($FG23="",0,(LEN($FG23)-LEN(SUBSTITUTE($FG23," · ","")))/3+1)</f>
        <v/>
      </c>
      <c r="FI23" s="141">
        <f>IF($DG23=0,"",TEXTJOIN(" · ",TRUE,IF($EL23&gt;2*$CX23,"A devolução parou no teto de "&amp;2*$CX23,""),IF($EO23&gt;0,"Devolução perdida: "&amp;$EO23&amp;IF($EO23&gt;1," pontos"," ponto")&amp;" sem peça para pagar",""),IF(AND($DS23&gt;0,$EQ23=0),"Controle sem dano: uma rodada a mais e CD +2",""),IF(AND($DS23&gt;0,$EQ23&gt;0,$EQ23&lt;=$CX23),"Controle com um quarto do teto: uma rodada a mais","")))</f>
        <v/>
      </c>
      <c r="FJ23" s="141">
        <f>IF($FI23="",0,(LEN($FI23)-LEN(SUBSTITUTE($FI23," · ","")))/3+1)</f>
        <v/>
      </c>
      <c r="FK23" s="141">
        <f>IF($DG23=0,IF($EI23+$EJ23-$DT23&gt;0,"Dê um nome",""),IF($FH23&gt;0,"⚠ "&amp;$FH23&amp;IF($FH23&gt;1," erros"," erro"),IF($FJ23&gt;0,"! "&amp;$FJ23&amp;IF($FJ23&gt;1," avisos"," aviso"),"Na regra")))</f>
        <v/>
      </c>
      <c r="FL23" s="141">
        <f>IF($DG23=0,"",IF($FH23+$FJ23=0,"Dentro das regras que a ficha confere",$FG23&amp;IF(AND($FH23&gt;0,$FJ23&gt;0)," · ","")&amp;$FI23))</f>
        <v/>
      </c>
      <c r="FM23" s="141">
        <f>IF($DG23=0,"",IF($CV23=1,CEILING(4.5*$CX23,1),3*$CX23)&amp;" PE")</f>
        <v/>
      </c>
      <c r="FN23" s="141">
        <f>IF($DG23=0,"",IF($CV23=1,"Rodada inteira",IF(COUNTIF($DY23:$DZ23,"Atrasar")&gt;0,IF(COUNTIF($DY23:$DZ23,"Carregar")&gt;0,"Rodada +1 turno","Rodada inteira"),IF(COUNTIF($DA23:$DD23,"Rápido")&gt;0,"Bônus",IF(COUNTIF($DA23:$DD23,"Reação")&gt;0,"Reação","Padrão"))&amp;IF(COUNTIF($DY23:$DZ23,"Carregar")&gt;0," +1 turno",""))))</f>
        <v/>
      </c>
      <c r="FO23" s="141">
        <f>IF(OR($DG23=0,$DH23=0),"",IF(COUNTIF($DA23:$DD23,"Inescapável")&gt;0,"Automático",IF(COUNTIF($DA23:$DD23,"Certeiro")&gt;0,"TR para metade",INDEX($X$2:$X$11,$DH23))))</f>
        <v/>
      </c>
      <c r="FP23" s="141">
        <f>IF(OR($DG23=0,$DH23=0),"",IF(OR($DU23&gt;=2,$EQ23=0),UPPER(LEFT(INDEX($EZ23:$FF23,1,$CX23),1))&amp;MID(INDEX($EZ23:$FF23,1,$CX23),2,99),UPPER(LEFT(INDEX($EZ23:$FF23,1,$CX23),1))&amp;MID(INDEX($EZ23:$FF23,1,$CX23),2,99)&amp;" = "&amp;FLOOR($EQ23*4.5,1)&amp;IF($ER23&gt;0," · +"&amp;$ER23&amp;"d8","")))</f>
        <v/>
      </c>
      <c r="FQ23" s="141">
        <f>COUNTIF($DA23:$DD23,"Longe")+3*COUNTIF($DA23:$DD23,"Muito Longe")</f>
        <v/>
      </c>
      <c r="FR23" s="141">
        <f>COUNTIF($DA23:$DD23,"Maior")+3*COUNTIF($DA23:$DD23,"Muito Maior")</f>
        <v/>
      </c>
      <c r="FS23" s="141">
        <f>IF($DH23=0,0,CHOOSE(1+INDEX($Z$2:$Z$11,$DH23),0,$FQ23,$FR23,$FQ23+$FR23))</f>
        <v/>
      </c>
      <c r="FT23" s="141">
        <f>IF($DH23=0,0,CHOOSE(1+INDEX($AA$2:$AA$11,$DH23),0,$FQ23,$FR23,$FQ23+$FR23))</f>
        <v/>
      </c>
      <c r="FU23" s="141">
        <f>IF(OR($DG23=0,$DH23=0),"",INDEX($AH$2:$AM$31,($DH23-1)*3+IF($CX23&gt;=6,3,2),1+MIN(5,$FS23))&amp;INDEX($AN$2:$AS$31,($DH23-1)*3+IF($CX23&gt;=6,3,2),1+MIN(5,$FT23))&amp;IF(INDEX($AB$2:$AB$11,$DH23)=1,IF(COUNTIF($DA23:$DD23,"Mais Um")&gt;0," · +"&amp;COUNTIF($DA23:$DD23,"Mais Um")&amp;IF(COUNTIF($DA23:$DD23,"Mais Um")&gt;1," alvos"," alvo"),"")&amp;IF(COUNTIF($DA23:$DD23,"Rajada")&gt;0," · "&amp;($CX23+1)&amp;" tiros",""),""))</f>
        <v/>
      </c>
      <c r="FV23" s="141">
        <f>IF($DG23=0,"",3*$CX23&amp;" − "&amp;$EK23&amp;" + "&amp;$EN23&amp;IF($CV23=1," + "&amp;$CX23,"")&amp;" = "&amp;$EQ23&amp;"d8 · teto "&amp;4*$CX23&amp;IF($DT23=1," · a Forma devolve "&amp;$CX23,"")&amp;IF($EO23&gt;0," · perde "&amp;$EO23,""))</f>
        <v/>
      </c>
      <c r="FW23" s="141">
        <f>IF($DG23=0,"",IF($CX23&gt;=$GF$4,"Já está na maior Classe que o nível liberou",TEXTJOIN(" · ",TRUE,IF(AND(2&gt;$CX23,2&lt;=$GF$4),"2 → "&amp;$FA23&amp;", "&amp;IF($CV23=1,9,6)&amp;" PE",""),IF(AND(3&gt;$CX23,3&lt;=$GF$4),"3 → "&amp;$FB23&amp;", "&amp;IF($CV23=1,14,9)&amp;" PE",""),IF(AND(4&gt;$CX23,4&lt;=$GF$4),"4 → "&amp;$FC23&amp;", "&amp;IF($CV23=1,18,12)&amp;" PE",""),IF(AND(5&gt;$CX23,5&lt;=$GF$4),"5 → "&amp;$FD23&amp;", "&amp;IF($CV23=1,23,15)&amp;" PE",""),IF(AND(6&gt;$CX23,6&lt;=$GF$4),"6 → "&amp;$FE23&amp;", "&amp;IF($CV23=1,27,18)&amp;" PE",""),IF(AND(7&gt;$CX23,7&lt;=$GF$4),"7 → "&amp;$FF23&amp;", "&amp;IF($CV23=1,32,21)&amp;" PE",""))))</f>
        <v/>
      </c>
      <c r="FX23" s="141">
        <f>IF(OR($DG23=0,$DJ23=0),"","−"&amp;INDEX($I$2:$N$8,$CX23,$DJ23)&amp;" · "&amp;CHOOSE($DJ23,"Leve","Média","Pesada","Leve · Livre","Média · Livre","Pesada · Livre"))</f>
        <v/>
      </c>
      <c r="FY23" s="141">
        <f>IF(OR($DG23=0,$DK23=0),"","−"&amp;INDEX($I$2:$N$8,$CX23,$DK23)&amp;" · "&amp;CHOOSE($DK23,"Leve","Média","Pesada","Leve · Livre","Média · Livre","Pesada · Livre"))</f>
        <v/>
      </c>
      <c r="FZ23" s="141">
        <f>IF(OR($DG23=0,$DL23=0),"","−"&amp;INDEX($I$2:$N$8,$CX23,$DL23)&amp;" · "&amp;CHOOSE($DL23,"Leve","Média","Pesada","Leve · Livre","Média · Livre","Pesada · Livre"))</f>
        <v/>
      </c>
      <c r="GA23" s="141">
        <f>IF(OR($DG23=0,$DM23=0),"","−"&amp;INDEX($I$2:$N$8,$CX23,$DM23)&amp;" · "&amp;CHOOSE($DM23,"Leve","Média","Pesada","Leve · Livre","Média · Livre","Pesada · Livre"))</f>
        <v/>
      </c>
      <c r="GB23" s="141">
        <f>IF(OR($DG23=0,$DE23=""),"","+"&amp;IF($DW23=1,CEILING($CX23/2,1),$CX23))</f>
        <v/>
      </c>
      <c r="GC23" s="141">
        <f>IF(OR($DG23=0,$DF23=""),"","+"&amp;IF($DX23=1,CEILING($CX23/2,1),$CX23))</f>
        <v/>
      </c>
      <c r="GE23" s="114" t="inlineStr">
        <is>
          <t>passivas pagas</t>
        </is>
      </c>
      <c r="GF23" s="141">
        <f>IF('FICHA AMALDIÇOADA'!$D$373&lt;&gt;"",1,0)+IF('FICHA AMALDIÇOADA'!$J$373&lt;&gt;"",1,0)+IF('FICHA AMALDIÇOADA'!$P$373&lt;&gt;"",1,0)+IF('FICHA AMALDIÇOADA'!$D$381&lt;&gt;"",1,0)+IF('FICHA AMALDIÇOADA'!$J$381&lt;&gt;"",1,0)</f>
        <v/>
      </c>
      <c r="HJ23" s="114" t="inlineStr">
        <is>
          <t>F355</t>
        </is>
      </c>
      <c r="HK23" s="141">
        <f>6*DADOS_AM!$GF$4</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41" t="n">
        <v>1</v>
      </c>
      <c r="AX24" s="141">
        <f>$AW24+3*IFERROR(VLOOKUP($AV24,$A$2:$D$10,3,FALSE),0)</f>
        <v/>
      </c>
      <c r="AY24" s="141">
        <f>IFERROR(VLOOKUP($AV24,$A$2:$D$10,4,FALSE),0)</f>
        <v/>
      </c>
      <c r="AZ24" s="141" t="n">
        <v>0</v>
      </c>
      <c r="BA24" s="141">
        <f>IF($AY24=1,"",$AU24)</f>
        <v/>
      </c>
      <c r="BB24" s="141">
        <f>IF(AND($AW24=1,$AY24=0),$AU24,"")</f>
        <v/>
      </c>
      <c r="BD24" s="114" t="inlineStr">
        <is>
          <t>Restrição Própria (Média)</t>
        </is>
      </c>
      <c r="BE24" s="114" t="inlineStr">
        <is>
          <t>Restrição Própria</t>
        </is>
      </c>
      <c r="BF24" s="141" t="n">
        <v>2</v>
      </c>
      <c r="BG24" s="141" t="n">
        <v>0</v>
      </c>
      <c r="BH24" s="114" t="inlineStr"/>
      <c r="CU24" s="114" t="inlineStr">
        <is>
          <t>Feitiço 23</t>
        </is>
      </c>
      <c r="CV24" s="141" t="n">
        <v>0</v>
      </c>
      <c r="CW24" s="141" t="n">
        <v>23</v>
      </c>
      <c r="CX24" s="141">
        <f>MAX(1,MIN(7,N('FICHA AMALDIÇOADA'!$J$194)))</f>
        <v/>
      </c>
      <c r="CY24" s="141">
        <f>'FICHA AMALDIÇOADA'!$K$194&amp;""</f>
        <v/>
      </c>
      <c r="CZ24" s="141">
        <f>'FICHA AMALDIÇOADA'!$J$201&amp;""</f>
        <v/>
      </c>
      <c r="DA24" s="141">
        <f>'FICHA AMALDIÇOADA'!$K$203&amp;""</f>
        <v/>
      </c>
      <c r="DB24" s="141">
        <f>'FICHA AMALDIÇOADA'!$K$204&amp;""</f>
        <v/>
      </c>
      <c r="DC24" s="141">
        <f>'FICHA AMALDIÇOADA'!$K$205&amp;""</f>
        <v/>
      </c>
      <c r="DD24" s="141">
        <f>'FICHA AMALDIÇOADA'!$K$206&amp;""</f>
        <v/>
      </c>
      <c r="DE24" s="141">
        <f>'FICHA AMALDIÇOADA'!$K$207&amp;""</f>
        <v/>
      </c>
      <c r="DF24" s="141">
        <f>'FICHA AMALDIÇOADA'!$K$208&amp;""</f>
        <v/>
      </c>
      <c r="DG24" s="141">
        <f>IF($CY24&lt;&gt;"",1,0)</f>
        <v/>
      </c>
      <c r="DH24" s="141">
        <f>IFERROR(MATCH($CZ24,$Q$2:$Q$11,0),0)</f>
        <v/>
      </c>
      <c r="DI24" s="141">
        <f>IF($DH24=0,0,INDEX($T$2:$T$11,$DH24))</f>
        <v/>
      </c>
      <c r="DJ24" s="141">
        <f>IFERROR(VLOOKUP($DA24,$AU$2:$BB$84,4,FALSE),0)</f>
        <v/>
      </c>
      <c r="DK24" s="141">
        <f>IFERROR(VLOOKUP($DB24,$AU$2:$BB$84,4,FALSE),0)</f>
        <v/>
      </c>
      <c r="DL24" s="141">
        <f>IFERROR(VLOOKUP($DC24,$AU$2:$BB$84,4,FALSE),0)</f>
        <v/>
      </c>
      <c r="DM24" s="141">
        <f>IFERROR(VLOOKUP($DD24,$AU$2:$BB$84,4,FALSE),0)</f>
        <v/>
      </c>
      <c r="DN24" s="141">
        <f>IF($DH24=0,0,INDEX($U$2:$U$11,$DH24))</f>
        <v/>
      </c>
      <c r="DO24" s="141">
        <f>IFERROR(VLOOKUP($DA24,$AU$2:$BB$84,5,FALSE),0)</f>
        <v/>
      </c>
      <c r="DP24" s="141">
        <f>IFERROR(VLOOKUP($DB24,$AU$2:$BB$84,5,FALSE),0)</f>
        <v/>
      </c>
      <c r="DQ24" s="141">
        <f>IFERROR(VLOOKUP($DC24,$AU$2:$BB$84,5,FALSE),0)</f>
        <v/>
      </c>
      <c r="DR24" s="141">
        <f>IFERROR(VLOOKUP($DD24,$AU$2:$BB$84,5,FALSE),0)</f>
        <v/>
      </c>
      <c r="DS24" s="141">
        <f>IFERROR(VLOOKUP($DA24,$AU$2:$BB$84,6,FALSE),0)+IFERROR(VLOOKUP($DB24,$AU$2:$BB$84,6,FALSE),0)+IFERROR(VLOOKUP($DC24,$AU$2:$BB$84,6,FALSE),0)+IFERROR(VLOOKUP($DD24,$AU$2:$BB$84,6,FALSE),0)</f>
        <v/>
      </c>
      <c r="DT24" s="141">
        <f>IF($DH24=0,0,INDEX($V$2:$V$11,$DH24))</f>
        <v/>
      </c>
      <c r="DU24" s="141">
        <f>IF($DH24=0,0,INDEX($W$2:$W$11,$DH24))</f>
        <v/>
      </c>
      <c r="DV24" s="141">
        <f>IF($DH24=0,0,INDEX($Y$2:$Y$11,$DH24))</f>
        <v/>
      </c>
      <c r="DW24" s="141">
        <f>IFERROR(VLOOKUP($DE24,$BD$2:$BH$24,3,FALSE),0)</f>
        <v/>
      </c>
      <c r="DX24" s="141">
        <f>IFERROR(VLOOKUP($DF24,$BD$2:$BH$24,3,FALSE),0)</f>
        <v/>
      </c>
      <c r="DY24" s="141">
        <f>IFERROR(VLOOKUP($DE24,$BD$2:$BH$24,2,FALSE),"")</f>
        <v/>
      </c>
      <c r="DZ24" s="141">
        <f>IFERROR(VLOOKUP($DF24,$BD$2:$BH$24,2,FALSE),"")</f>
        <v/>
      </c>
      <c r="EA24" s="141">
        <f>COUNTIF($DI24:$DM24,1)</f>
        <v/>
      </c>
      <c r="EB24" s="141">
        <f>COUNTIF($DI24:$DM24,2)</f>
        <v/>
      </c>
      <c r="EC24" s="141">
        <f>COUNTIF($DI24:$DM24,3)</f>
        <v/>
      </c>
      <c r="ED24" s="141">
        <f>COUNTIF($DI24:$DM24,4)</f>
        <v/>
      </c>
      <c r="EE24" s="141">
        <f>COUNTIF($DI24:$DM24,5)</f>
        <v/>
      </c>
      <c r="EF24" s="141">
        <f>COUNTIF($DI24:$DM24,6)</f>
        <v/>
      </c>
      <c r="EG24" s="141">
        <f>COUNTIF($DW24:$DX24,1)</f>
        <v/>
      </c>
      <c r="EH24" s="141">
        <f>COUNTIF($DW24:$DX24,2)+$DT24</f>
        <v/>
      </c>
      <c r="EI24" s="141">
        <f>COUNTIF($DA24:$DD24,"?*")</f>
        <v/>
      </c>
      <c r="EJ24" s="141">
        <f>COUNTIF($DE24:$DF24,"?*")+$DT24</f>
        <v/>
      </c>
      <c r="EK24" s="141">
        <f>SUMPRODUCT($EA24:$EF24,INDEX($I$2:$N$8,$CX24,0))</f>
        <v/>
      </c>
      <c r="EL24" s="141">
        <f>$EG24*CEILING($CX24/2,1)+$EH24*$CX24</f>
        <v/>
      </c>
      <c r="EM24" s="141">
        <f>MIN(2*$CX24,$EL24)</f>
        <v/>
      </c>
      <c r="EN24" s="141">
        <f>MIN($EM24,$EK24)</f>
        <v/>
      </c>
      <c r="EO24" s="141">
        <f>$EM24-$EN24</f>
        <v/>
      </c>
      <c r="EP24" s="141">
        <f>3*$CX24-$EK24+$EN24</f>
        <v/>
      </c>
      <c r="EQ24" s="141">
        <f>MAX(0,$EP24)+$CV24*$CX24</f>
        <v/>
      </c>
      <c r="ER24" s="141">
        <f>(IF(COUNTIF($DA24:$DD24,"Salto")&gt;0,1,0)+IF(COUNTIF($DA24:$DD24,"Queima")&gt;0,1,0))*FLOOR($EQ24/2,1)</f>
        <v/>
      </c>
      <c r="ES24" s="141">
        <f>MAX(0,3-SUMPRODUCT($EA24:$EF24,$I$2:$N$2)+MIN(2,$EG24*1+$EH24*1,SUMPRODUCT($EA24:$EF24,$I$2:$N$2)))+$CV24*1</f>
        <v/>
      </c>
      <c r="ET24" s="141">
        <f>MAX(0,6-SUMPRODUCT($EA24:$EF24,$I$3:$N$3)+MIN(4,$EG24*1+$EH24*2,SUMPRODUCT($EA24:$EF24,$I$3:$N$3)))+$CV24*2</f>
        <v/>
      </c>
      <c r="EU24" s="141">
        <f>MAX(0,9-SUMPRODUCT($EA24:$EF24,$I$4:$N$4)+MIN(6,$EG24*2+$EH24*3,SUMPRODUCT($EA24:$EF24,$I$4:$N$4)))+$CV24*3</f>
        <v/>
      </c>
      <c r="EV24" s="141">
        <f>MAX(0,12-SUMPRODUCT($EA24:$EF24,$I$5:$N$5)+MIN(8,$EG24*2+$EH24*4,SUMPRODUCT($EA24:$EF24,$I$5:$N$5)))+$CV24*4</f>
        <v/>
      </c>
      <c r="EW24" s="141">
        <f>MAX(0,15-SUMPRODUCT($EA24:$EF24,$I$6:$N$6)+MIN(10,$EG24*3+$EH24*5,SUMPRODUCT($EA24:$EF24,$I$6:$N$6)))+$CV24*5</f>
        <v/>
      </c>
      <c r="EX24" s="141">
        <f>MAX(0,18-SUMPRODUCT($EA24:$EF24,$I$7:$N$7)+MIN(12,$EG24*3+$EH24*6,SUMPRODUCT($EA24:$EF24,$I$7:$N$7)))+$CV24*6</f>
        <v/>
      </c>
      <c r="EY24" s="141">
        <f>MAX(0,21-SUMPRODUCT($EA24:$EF24,$I$8:$N$8)+MIN(14,$EG24*4+$EH24*7,SUMPRODUCT($EA24:$EF24,$I$8:$N$8)))+$CV24*7</f>
        <v/>
      </c>
      <c r="EZ24" s="141">
        <f>IF($DU24=2,3*$ES24&amp;" de vida temp.",IF($DU24=3,"sem dano",IF($ES24=0,IF($DU24=1,"sem cura","sem dano"),IF($DU24=1,"cura ","")&amp;$ES24&amp;"d8")))</f>
        <v/>
      </c>
      <c r="FA24" s="141">
        <f>IF($DU24=2,3*$ET24&amp;" de vida temp.",IF($DU24=3,"sem dano",IF($ET24=0,IF($DU24=1,"sem cura","sem dano"),IF($DU24=1,"cura ","")&amp;$ET24&amp;"d8")))</f>
        <v/>
      </c>
      <c r="FB24" s="141">
        <f>IF($DU24=2,3*$EU24&amp;" de vida temp.",IF($DU24=3,"sem dano",IF($EU24=0,IF($DU24=1,"sem cura","sem dano"),IF($DU24=1,"cura ","")&amp;$EU24&amp;"d8")))</f>
        <v/>
      </c>
      <c r="FC24" s="141">
        <f>IF($DU24=2,3*$EV24&amp;" de vida temp.",IF($DU24=3,"sem dano",IF($EV24=0,IF($DU24=1,"sem cura","sem dano"),IF($DU24=1,"cura ","")&amp;$EV24&amp;"d8")))</f>
        <v/>
      </c>
      <c r="FD24" s="141">
        <f>IF($DU24=2,3*$EW24&amp;" de vida temp.",IF($DU24=3,"sem dano",IF($EW24=0,IF($DU24=1,"sem cura","sem dano"),IF($DU24=1,"cura ","")&amp;$EW24&amp;"d8")))</f>
        <v/>
      </c>
      <c r="FE24" s="141">
        <f>IF($DU24=2,3*$EX24&amp;" de vida temp.",IF($DU24=3,"sem dano",IF($EX24=0,IF($DU24=1,"sem cura","sem dano"),IF($DU24=1,"cura ","")&amp;$EX24&amp;"d8")))</f>
        <v/>
      </c>
      <c r="FF24" s="141">
        <f>IF($DU24=2,3*$EY24&amp;" de vida temp.",IF($DU24=3,"sem dano",IF($EY24=0,IF($DU24=1,"sem cura","sem dano"),IF($DU24=1,"cura ","")&amp;$EY24&amp;"d8")))</f>
        <v/>
      </c>
      <c r="FG24" s="141">
        <f>IF($DG24=0,"",TEXTJOIN(" · ",TRUE,IF(AND($CV24=1,$CW24&gt;$GF$9),"O nível "&amp;$GF$2&amp;" dá "&amp;$GF$9&amp;" Liberação Máxima",""),IF($CX24&gt;$GF$4,"Classe "&amp;$CX24&amp;": o nível "&amp;$GF$2&amp;" libera até a "&amp;$GF$4,""),IF($DN24=1,"Família Fechada: a Forma "&amp;$CZ24,""),IF($DO24=1,"Família Fechada: "&amp;$DA24,""),IF($DP24=1,"Família Fechada: "&amp;$DB24,""),IF($DQ24=1,"Família Fechada: "&amp;$DC24,""),IF($DR24=1,"Família Fechada: "&amp;$DD24,""),IF($EI24&gt;INDEX($O$2:$O$8,$CX24),$EI24&amp;" Melhorias: a Classe "&amp;$CX24&amp;" aceita "&amp;INDEX($O$2:$O$8,$CX24),""),IF($EJ24&gt;2,$EJ24&amp;" Restrições"&amp;IF($DT24=1,", contando a que a Forma "&amp;$CZ24&amp;" já traz","")&amp;": o limite é 2",""),IF($EP24&lt;0,"Orçamento estourado: faltam "&amp;(-$EP24)&amp;IF($EP24&lt;-1," pontos"," ponto"),""),IF(IFERROR(VLOOKUP($DE24,$BD$2:$BH$24,4,FALSE),0)+IFERROR(VLOOKUP($DF24,$BD$2:$BH$24,4,FALSE),0)&gt;1,$DY24&amp;" e "&amp;$DZ24&amp;" são as duas de frequência",""),IF(AND((COUNTIF($DA24:$DD24,"Rápido")+COUNTIF($DY24:$DZ24,"Rápido"))&gt;0,(COUNTIF($DA24:$DD24,"Reação")+COUNTIF($DY24:$DZ24,"Reação"))&gt;0),"Rápido não entra com Reação",""),IF(AND((COUNTIF($DA24:$DD24,"Rápido")+COUNTIF($DY24:$DZ24,"Rápido"))&gt;0,(COUNTIF($DA24:$DD24,"Atrasar")+COUNTIF($DY24:$DZ24,"Atrasar"))&gt;0),"Rápido não entra com Atrasar",""),IF(AND((COUNTIF($DA24:$DD24,"Reação")+COUNTIF($DY24:$DZ24,"Reação"))&gt;0,(COUNTIF($DA24:$DD24,"Atrasar")+COUNTIF($DY24:$DZ24,"Atrasar"))&gt;0),"Reação não entra com Atrasar",""),IF(AND((COUNTIF($DA24:$DD24,"Reação")+COUNTIF($DY24:$DZ24,"Reação"))&gt;0,(COUNTIF($DA24:$DD24,"Parado")+COUNTIF($DY24:$DZ24,"Parado"))&gt;0),"Reação não entra com Parado",""),IF(AND(COUNTIF($DY24:$DZ24,"Corpo a Corpo")&gt;0,$DT24=0,OR($CZ24="Cone",$CZ24="Linha")),"Corpo a Corpo não entra em "&amp;$CZ24,""),IF(AND(COUNTIF($DY24:$DZ24,"Corpo a Corpo")&gt;0,$DT24=1),"A Forma "&amp;$CZ24&amp;" já traz o Corpo a Corpo",""),IF(AND(COUNTIF($DY24:$DZ24,"Tudo ou Nada")&gt;0,$DV24=0),"Tudo ou Nada só entra em feitiço de Teste de Resistência",""),IF(AND(COUNTIF($DA24:$DD24,"Inescapável")&gt;0,OR($EI24&gt;1,$EJ24&gt;0)),"Inescapável não aceita outra peça",""),IF(AND($CV24=1,$CX24&lt;3),"Liberação Máxima é de Classe 3 ou mais",""),IF(AND($CV24=1,OR($DU24=1,$DU24=2)),"Liberação Máxima não serve para cura",""),IF(AND($CV24=1,COUNTIF($DA24:$DD24,"Inescapável")+COUNTIF($DA24:$DD24,"Toca a Alma")&gt;0),"Esta peça não entra numa Liberação Máxima",""),IF($EQ24+$ER24&gt;4*$CX24,($EQ24+$ER24)&amp;" dados somando alvos e repetições: o teto da Classe "&amp;$CX24&amp;" é "&amp;4*$CX24,"")))</f>
        <v/>
      </c>
      <c r="FH24" s="141">
        <f>IF($FG24="",0,(LEN($FG24)-LEN(SUBSTITUTE($FG24," · ","")))/3+1)</f>
        <v/>
      </c>
      <c r="FI24" s="141">
        <f>IF($DG24=0,"",TEXTJOIN(" · ",TRUE,IF($EL24&gt;2*$CX24,"A devolução parou no teto de "&amp;2*$CX24,""),IF($EO24&gt;0,"Devolução perdida: "&amp;$EO24&amp;IF($EO24&gt;1," pontos"," ponto")&amp;" sem peça para pagar",""),IF(AND($DS24&gt;0,$EQ24=0),"Controle sem dano: uma rodada a mais e CD +2",""),IF(AND($DS24&gt;0,$EQ24&gt;0,$EQ24&lt;=$CX24),"Controle com um quarto do teto: uma rodada a mais","")))</f>
        <v/>
      </c>
      <c r="FJ24" s="141">
        <f>IF($FI24="",0,(LEN($FI24)-LEN(SUBSTITUTE($FI24," · ","")))/3+1)</f>
        <v/>
      </c>
      <c r="FK24" s="141">
        <f>IF($DG24=0,IF($EI24+$EJ24-$DT24&gt;0,"Dê um nome",""),IF($FH24&gt;0,"⚠ "&amp;$FH24&amp;IF($FH24&gt;1," erros"," erro"),IF($FJ24&gt;0,"! "&amp;$FJ24&amp;IF($FJ24&gt;1," avisos"," aviso"),"Na regra")))</f>
        <v/>
      </c>
      <c r="FL24" s="141">
        <f>IF($DG24=0,"",IF($FH24+$FJ24=0,"Dentro das regras que a ficha confere",$FG24&amp;IF(AND($FH24&gt;0,$FJ24&gt;0)," · ","")&amp;$FI24))</f>
        <v/>
      </c>
      <c r="FM24" s="141">
        <f>IF($DG24=0,"",IF($CV24=1,CEILING(4.5*$CX24,1),3*$CX24)&amp;" PE")</f>
        <v/>
      </c>
      <c r="FN24" s="141">
        <f>IF($DG24=0,"",IF($CV24=1,"Rodada inteira",IF(COUNTIF($DY24:$DZ24,"Atrasar")&gt;0,IF(COUNTIF($DY24:$DZ24,"Carregar")&gt;0,"Rodada +1 turno","Rodada inteira"),IF(COUNTIF($DA24:$DD24,"Rápido")&gt;0,"Bônus",IF(COUNTIF($DA24:$DD24,"Reação")&gt;0,"Reação","Padrão"))&amp;IF(COUNTIF($DY24:$DZ24,"Carregar")&gt;0," +1 turno",""))))</f>
        <v/>
      </c>
      <c r="FO24" s="141">
        <f>IF(OR($DG24=0,$DH24=0),"",IF(COUNTIF($DA24:$DD24,"Inescapável")&gt;0,"Automático",IF(COUNTIF($DA24:$DD24,"Certeiro")&gt;0,"TR para metade",INDEX($X$2:$X$11,$DH24))))</f>
        <v/>
      </c>
      <c r="FP24" s="141">
        <f>IF(OR($DG24=0,$DH24=0),"",IF(OR($DU24&gt;=2,$EQ24=0),UPPER(LEFT(INDEX($EZ24:$FF24,1,$CX24),1))&amp;MID(INDEX($EZ24:$FF24,1,$CX24),2,99),UPPER(LEFT(INDEX($EZ24:$FF24,1,$CX24),1))&amp;MID(INDEX($EZ24:$FF24,1,$CX24),2,99)&amp;" = "&amp;FLOOR($EQ24*4.5,1)&amp;IF($ER24&gt;0," · +"&amp;$ER24&amp;"d8","")))</f>
        <v/>
      </c>
      <c r="FQ24" s="141">
        <f>COUNTIF($DA24:$DD24,"Longe")+3*COUNTIF($DA24:$DD24,"Muito Longe")</f>
        <v/>
      </c>
      <c r="FR24" s="141">
        <f>COUNTIF($DA24:$DD24,"Maior")+3*COUNTIF($DA24:$DD24,"Muito Maior")</f>
        <v/>
      </c>
      <c r="FS24" s="141">
        <f>IF($DH24=0,0,CHOOSE(1+INDEX($Z$2:$Z$11,$DH24),0,$FQ24,$FR24,$FQ24+$FR24))</f>
        <v/>
      </c>
      <c r="FT24" s="141">
        <f>IF($DH24=0,0,CHOOSE(1+INDEX($AA$2:$AA$11,$DH24),0,$FQ24,$FR24,$FQ24+$FR24))</f>
        <v/>
      </c>
      <c r="FU24" s="141">
        <f>IF(OR($DG24=0,$DH24=0),"",INDEX($AH$2:$AM$31,($DH24-1)*3+IF($CX24&gt;=6,3,2),1+MIN(5,$FS24))&amp;INDEX($AN$2:$AS$31,($DH24-1)*3+IF($CX24&gt;=6,3,2),1+MIN(5,$FT24))&amp;IF(INDEX($AB$2:$AB$11,$DH24)=1,IF(COUNTIF($DA24:$DD24,"Mais Um")&gt;0," · +"&amp;COUNTIF($DA24:$DD24,"Mais Um")&amp;IF(COUNTIF($DA24:$DD24,"Mais Um")&gt;1," alvos"," alvo"),"")&amp;IF(COUNTIF($DA24:$DD24,"Rajada")&gt;0," · "&amp;($CX24+1)&amp;" tiros",""),""))</f>
        <v/>
      </c>
      <c r="FV24" s="141">
        <f>IF($DG24=0,"",3*$CX24&amp;" − "&amp;$EK24&amp;" + "&amp;$EN24&amp;IF($CV24=1," + "&amp;$CX24,"")&amp;" = "&amp;$EQ24&amp;"d8 · teto "&amp;4*$CX24&amp;IF($DT24=1," · a Forma devolve "&amp;$CX24,"")&amp;IF($EO24&gt;0," · perde "&amp;$EO24,""))</f>
        <v/>
      </c>
      <c r="FW24" s="141">
        <f>IF($DG24=0,"",IF($CX24&gt;=$GF$4,"Já está na maior Classe que o nível liberou",TEXTJOIN(" · ",TRUE,IF(AND(2&gt;$CX24,2&lt;=$GF$4),"2 → "&amp;$FA24&amp;", "&amp;IF($CV24=1,9,6)&amp;" PE",""),IF(AND(3&gt;$CX24,3&lt;=$GF$4),"3 → "&amp;$FB24&amp;", "&amp;IF($CV24=1,14,9)&amp;" PE",""),IF(AND(4&gt;$CX24,4&lt;=$GF$4),"4 → "&amp;$FC24&amp;", "&amp;IF($CV24=1,18,12)&amp;" PE",""),IF(AND(5&gt;$CX24,5&lt;=$GF$4),"5 → "&amp;$FD24&amp;", "&amp;IF($CV24=1,23,15)&amp;" PE",""),IF(AND(6&gt;$CX24,6&lt;=$GF$4),"6 → "&amp;$FE24&amp;", "&amp;IF($CV24=1,27,18)&amp;" PE",""),IF(AND(7&gt;$CX24,7&lt;=$GF$4),"7 → "&amp;$FF24&amp;", "&amp;IF($CV24=1,32,21)&amp;" PE",""))))</f>
        <v/>
      </c>
      <c r="FX24" s="141">
        <f>IF(OR($DG24=0,$DJ24=0),"","−"&amp;INDEX($I$2:$N$8,$CX24,$DJ24)&amp;" · "&amp;CHOOSE($DJ24,"Leve","Média","Pesada","Leve · Livre","Média · Livre","Pesada · Livre"))</f>
        <v/>
      </c>
      <c r="FY24" s="141">
        <f>IF(OR($DG24=0,$DK24=0),"","−"&amp;INDEX($I$2:$N$8,$CX24,$DK24)&amp;" · "&amp;CHOOSE($DK24,"Leve","Média","Pesada","Leve · Livre","Média · Livre","Pesada · Livre"))</f>
        <v/>
      </c>
      <c r="FZ24" s="141">
        <f>IF(OR($DG24=0,$DL24=0),"","−"&amp;INDEX($I$2:$N$8,$CX24,$DL24)&amp;" · "&amp;CHOOSE($DL24,"Leve","Média","Pesada","Leve · Livre","Média · Livre","Pesada · Livre"))</f>
        <v/>
      </c>
      <c r="GA24" s="141">
        <f>IF(OR($DG24=0,$DM24=0),"","−"&amp;INDEX($I$2:$N$8,$CX24,$DM24)&amp;" · "&amp;CHOOSE($DM24,"Leve","Média","Pesada","Leve · Livre","Média · Livre","Pesada · Livre"))</f>
        <v/>
      </c>
      <c r="GB24" s="141">
        <f>IF(OR($DG24=0,$DE24=""),"","+"&amp;IF($DW24=1,CEILING($CX24/2,1),$CX24))</f>
        <v/>
      </c>
      <c r="GC24" s="141">
        <f>IF(OR($DG24=0,$DF24=""),"","+"&amp;IF($DX24=1,CEILING($CX24/2,1),$CX24))</f>
        <v/>
      </c>
      <c r="GE24" s="114" t="inlineStr">
        <is>
          <t>passivas do Leque</t>
        </is>
      </c>
      <c r="GF24" s="141">
        <f>IF('FICHA AMALDIÇOADA'!$D$391&lt;&gt;"",1,0)+IF('FICHA AMALDIÇOADA'!$J$391&lt;&gt;"",1,0)+IF('FICHA AMALDIÇOADA'!$P$391&lt;&gt;"",1,0)+IF('FICHA AMALDIÇOADA'!$D$399&lt;&gt;"",1,0)+IF('FICHA AMALDIÇOADA'!$J$399&lt;&gt;"",1,0)+IF('FICHA AMALDIÇOADA'!$P$399&lt;&gt;"",1,0)+IF('FICHA AMALDIÇOADA'!$D$407&lt;&gt;"",1,0)</f>
        <v/>
      </c>
      <c r="HJ24" s="114" t="inlineStr">
        <is>
          <t>G355</t>
        </is>
      </c>
      <c r="HK24" s="141">
        <f>DADOS_AM!$GF$32&amp;IF(DADOS_AM!$GF$32&gt;1," rodadas"," rodada")</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41" t="n">
        <v>1</v>
      </c>
      <c r="AX25" s="141">
        <f>$AW25+3*IFERROR(VLOOKUP($AV25,$A$2:$D$10,3,FALSE),0)</f>
        <v/>
      </c>
      <c r="AY25" s="141">
        <f>IFERROR(VLOOKUP($AV25,$A$2:$D$10,4,FALSE),0)</f>
        <v/>
      </c>
      <c r="AZ25" s="141" t="n">
        <v>1</v>
      </c>
      <c r="BA25" s="141">
        <f>IF($AY25=1,"",$AU25)</f>
        <v/>
      </c>
      <c r="BB25" s="141">
        <f>IF(AND($AW25=1,$AY25=0),$AU25,"")</f>
        <v/>
      </c>
      <c r="CU25" s="114" t="inlineStr">
        <is>
          <t>Feitiço 24</t>
        </is>
      </c>
      <c r="CV25" s="141" t="n">
        <v>0</v>
      </c>
      <c r="CW25" s="141" t="n">
        <v>24</v>
      </c>
      <c r="CX25" s="141">
        <f>MAX(1,MIN(7,N('FICHA AMALDIÇOADA'!$P$194)))</f>
        <v/>
      </c>
      <c r="CY25" s="141">
        <f>'FICHA AMALDIÇOADA'!$Q$194&amp;""</f>
        <v/>
      </c>
      <c r="CZ25" s="141">
        <f>'FICHA AMALDIÇOADA'!$P$201&amp;""</f>
        <v/>
      </c>
      <c r="DA25" s="141">
        <f>'FICHA AMALDIÇOADA'!$Q$203&amp;""</f>
        <v/>
      </c>
      <c r="DB25" s="141">
        <f>'FICHA AMALDIÇOADA'!$Q$204&amp;""</f>
        <v/>
      </c>
      <c r="DC25" s="141">
        <f>'FICHA AMALDIÇOADA'!$Q$205&amp;""</f>
        <v/>
      </c>
      <c r="DD25" s="141">
        <f>'FICHA AMALDIÇOADA'!$Q$206&amp;""</f>
        <v/>
      </c>
      <c r="DE25" s="141">
        <f>'FICHA AMALDIÇOADA'!$Q$207&amp;""</f>
        <v/>
      </c>
      <c r="DF25" s="141">
        <f>'FICHA AMALDIÇOADA'!$Q$208&amp;""</f>
        <v/>
      </c>
      <c r="DG25" s="141">
        <f>IF($CY25&lt;&gt;"",1,0)</f>
        <v/>
      </c>
      <c r="DH25" s="141">
        <f>IFERROR(MATCH($CZ25,$Q$2:$Q$11,0),0)</f>
        <v/>
      </c>
      <c r="DI25" s="141">
        <f>IF($DH25=0,0,INDEX($T$2:$T$11,$DH25))</f>
        <v/>
      </c>
      <c r="DJ25" s="141">
        <f>IFERROR(VLOOKUP($DA25,$AU$2:$BB$84,4,FALSE),0)</f>
        <v/>
      </c>
      <c r="DK25" s="141">
        <f>IFERROR(VLOOKUP($DB25,$AU$2:$BB$84,4,FALSE),0)</f>
        <v/>
      </c>
      <c r="DL25" s="141">
        <f>IFERROR(VLOOKUP($DC25,$AU$2:$BB$84,4,FALSE),0)</f>
        <v/>
      </c>
      <c r="DM25" s="141">
        <f>IFERROR(VLOOKUP($DD25,$AU$2:$BB$84,4,FALSE),0)</f>
        <v/>
      </c>
      <c r="DN25" s="141">
        <f>IF($DH25=0,0,INDEX($U$2:$U$11,$DH25))</f>
        <v/>
      </c>
      <c r="DO25" s="141">
        <f>IFERROR(VLOOKUP($DA25,$AU$2:$BB$84,5,FALSE),0)</f>
        <v/>
      </c>
      <c r="DP25" s="141">
        <f>IFERROR(VLOOKUP($DB25,$AU$2:$BB$84,5,FALSE),0)</f>
        <v/>
      </c>
      <c r="DQ25" s="141">
        <f>IFERROR(VLOOKUP($DC25,$AU$2:$BB$84,5,FALSE),0)</f>
        <v/>
      </c>
      <c r="DR25" s="141">
        <f>IFERROR(VLOOKUP($DD25,$AU$2:$BB$84,5,FALSE),0)</f>
        <v/>
      </c>
      <c r="DS25" s="141">
        <f>IFERROR(VLOOKUP($DA25,$AU$2:$BB$84,6,FALSE),0)+IFERROR(VLOOKUP($DB25,$AU$2:$BB$84,6,FALSE),0)+IFERROR(VLOOKUP($DC25,$AU$2:$BB$84,6,FALSE),0)+IFERROR(VLOOKUP($DD25,$AU$2:$BB$84,6,FALSE),0)</f>
        <v/>
      </c>
      <c r="DT25" s="141">
        <f>IF($DH25=0,0,INDEX($V$2:$V$11,$DH25))</f>
        <v/>
      </c>
      <c r="DU25" s="141">
        <f>IF($DH25=0,0,INDEX($W$2:$W$11,$DH25))</f>
        <v/>
      </c>
      <c r="DV25" s="141">
        <f>IF($DH25=0,0,INDEX($Y$2:$Y$11,$DH25))</f>
        <v/>
      </c>
      <c r="DW25" s="141">
        <f>IFERROR(VLOOKUP($DE25,$BD$2:$BH$24,3,FALSE),0)</f>
        <v/>
      </c>
      <c r="DX25" s="141">
        <f>IFERROR(VLOOKUP($DF25,$BD$2:$BH$24,3,FALSE),0)</f>
        <v/>
      </c>
      <c r="DY25" s="141">
        <f>IFERROR(VLOOKUP($DE25,$BD$2:$BH$24,2,FALSE),"")</f>
        <v/>
      </c>
      <c r="DZ25" s="141">
        <f>IFERROR(VLOOKUP($DF25,$BD$2:$BH$24,2,FALSE),"")</f>
        <v/>
      </c>
      <c r="EA25" s="141">
        <f>COUNTIF($DI25:$DM25,1)</f>
        <v/>
      </c>
      <c r="EB25" s="141">
        <f>COUNTIF($DI25:$DM25,2)</f>
        <v/>
      </c>
      <c r="EC25" s="141">
        <f>COUNTIF($DI25:$DM25,3)</f>
        <v/>
      </c>
      <c r="ED25" s="141">
        <f>COUNTIF($DI25:$DM25,4)</f>
        <v/>
      </c>
      <c r="EE25" s="141">
        <f>COUNTIF($DI25:$DM25,5)</f>
        <v/>
      </c>
      <c r="EF25" s="141">
        <f>COUNTIF($DI25:$DM25,6)</f>
        <v/>
      </c>
      <c r="EG25" s="141">
        <f>COUNTIF($DW25:$DX25,1)</f>
        <v/>
      </c>
      <c r="EH25" s="141">
        <f>COUNTIF($DW25:$DX25,2)+$DT25</f>
        <v/>
      </c>
      <c r="EI25" s="141">
        <f>COUNTIF($DA25:$DD25,"?*")</f>
        <v/>
      </c>
      <c r="EJ25" s="141">
        <f>COUNTIF($DE25:$DF25,"?*")+$DT25</f>
        <v/>
      </c>
      <c r="EK25" s="141">
        <f>SUMPRODUCT($EA25:$EF25,INDEX($I$2:$N$8,$CX25,0))</f>
        <v/>
      </c>
      <c r="EL25" s="141">
        <f>$EG25*CEILING($CX25/2,1)+$EH25*$CX25</f>
        <v/>
      </c>
      <c r="EM25" s="141">
        <f>MIN(2*$CX25,$EL25)</f>
        <v/>
      </c>
      <c r="EN25" s="141">
        <f>MIN($EM25,$EK25)</f>
        <v/>
      </c>
      <c r="EO25" s="141">
        <f>$EM25-$EN25</f>
        <v/>
      </c>
      <c r="EP25" s="141">
        <f>3*$CX25-$EK25+$EN25</f>
        <v/>
      </c>
      <c r="EQ25" s="141">
        <f>MAX(0,$EP25)+$CV25*$CX25</f>
        <v/>
      </c>
      <c r="ER25" s="141">
        <f>(IF(COUNTIF($DA25:$DD25,"Salto")&gt;0,1,0)+IF(COUNTIF($DA25:$DD25,"Queima")&gt;0,1,0))*FLOOR($EQ25/2,1)</f>
        <v/>
      </c>
      <c r="ES25" s="141">
        <f>MAX(0,3-SUMPRODUCT($EA25:$EF25,$I$2:$N$2)+MIN(2,$EG25*1+$EH25*1,SUMPRODUCT($EA25:$EF25,$I$2:$N$2)))+$CV25*1</f>
        <v/>
      </c>
      <c r="ET25" s="141">
        <f>MAX(0,6-SUMPRODUCT($EA25:$EF25,$I$3:$N$3)+MIN(4,$EG25*1+$EH25*2,SUMPRODUCT($EA25:$EF25,$I$3:$N$3)))+$CV25*2</f>
        <v/>
      </c>
      <c r="EU25" s="141">
        <f>MAX(0,9-SUMPRODUCT($EA25:$EF25,$I$4:$N$4)+MIN(6,$EG25*2+$EH25*3,SUMPRODUCT($EA25:$EF25,$I$4:$N$4)))+$CV25*3</f>
        <v/>
      </c>
      <c r="EV25" s="141">
        <f>MAX(0,12-SUMPRODUCT($EA25:$EF25,$I$5:$N$5)+MIN(8,$EG25*2+$EH25*4,SUMPRODUCT($EA25:$EF25,$I$5:$N$5)))+$CV25*4</f>
        <v/>
      </c>
      <c r="EW25" s="141">
        <f>MAX(0,15-SUMPRODUCT($EA25:$EF25,$I$6:$N$6)+MIN(10,$EG25*3+$EH25*5,SUMPRODUCT($EA25:$EF25,$I$6:$N$6)))+$CV25*5</f>
        <v/>
      </c>
      <c r="EX25" s="141">
        <f>MAX(0,18-SUMPRODUCT($EA25:$EF25,$I$7:$N$7)+MIN(12,$EG25*3+$EH25*6,SUMPRODUCT($EA25:$EF25,$I$7:$N$7)))+$CV25*6</f>
        <v/>
      </c>
      <c r="EY25" s="141">
        <f>MAX(0,21-SUMPRODUCT($EA25:$EF25,$I$8:$N$8)+MIN(14,$EG25*4+$EH25*7,SUMPRODUCT($EA25:$EF25,$I$8:$N$8)))+$CV25*7</f>
        <v/>
      </c>
      <c r="EZ25" s="141">
        <f>IF($DU25=2,3*$ES25&amp;" de vida temp.",IF($DU25=3,"sem dano",IF($ES25=0,IF($DU25=1,"sem cura","sem dano"),IF($DU25=1,"cura ","")&amp;$ES25&amp;"d8")))</f>
        <v/>
      </c>
      <c r="FA25" s="141">
        <f>IF($DU25=2,3*$ET25&amp;" de vida temp.",IF($DU25=3,"sem dano",IF($ET25=0,IF($DU25=1,"sem cura","sem dano"),IF($DU25=1,"cura ","")&amp;$ET25&amp;"d8")))</f>
        <v/>
      </c>
      <c r="FB25" s="141">
        <f>IF($DU25=2,3*$EU25&amp;" de vida temp.",IF($DU25=3,"sem dano",IF($EU25=0,IF($DU25=1,"sem cura","sem dano"),IF($DU25=1,"cura ","")&amp;$EU25&amp;"d8")))</f>
        <v/>
      </c>
      <c r="FC25" s="141">
        <f>IF($DU25=2,3*$EV25&amp;" de vida temp.",IF($DU25=3,"sem dano",IF($EV25=0,IF($DU25=1,"sem cura","sem dano"),IF($DU25=1,"cura ","")&amp;$EV25&amp;"d8")))</f>
        <v/>
      </c>
      <c r="FD25" s="141">
        <f>IF($DU25=2,3*$EW25&amp;" de vida temp.",IF($DU25=3,"sem dano",IF($EW25=0,IF($DU25=1,"sem cura","sem dano"),IF($DU25=1,"cura ","")&amp;$EW25&amp;"d8")))</f>
        <v/>
      </c>
      <c r="FE25" s="141">
        <f>IF($DU25=2,3*$EX25&amp;" de vida temp.",IF($DU25=3,"sem dano",IF($EX25=0,IF($DU25=1,"sem cura","sem dano"),IF($DU25=1,"cura ","")&amp;$EX25&amp;"d8")))</f>
        <v/>
      </c>
      <c r="FF25" s="141">
        <f>IF($DU25=2,3*$EY25&amp;" de vida temp.",IF($DU25=3,"sem dano",IF($EY25=0,IF($DU25=1,"sem cura","sem dano"),IF($DU25=1,"cura ","")&amp;$EY25&amp;"d8")))</f>
        <v/>
      </c>
      <c r="FG25" s="141">
        <f>IF($DG25=0,"",TEXTJOIN(" · ",TRUE,IF(AND($CV25=1,$CW25&gt;$GF$9),"O nível "&amp;$GF$2&amp;" dá "&amp;$GF$9&amp;" Liberação Máxima",""),IF($CX25&gt;$GF$4,"Classe "&amp;$CX25&amp;": o nível "&amp;$GF$2&amp;" libera até a "&amp;$GF$4,""),IF($DN25=1,"Família Fechada: a Forma "&amp;$CZ25,""),IF($DO25=1,"Família Fechada: "&amp;$DA25,""),IF($DP25=1,"Família Fechada: "&amp;$DB25,""),IF($DQ25=1,"Família Fechada: "&amp;$DC25,""),IF($DR25=1,"Família Fechada: "&amp;$DD25,""),IF($EI25&gt;INDEX($O$2:$O$8,$CX25),$EI25&amp;" Melhorias: a Classe "&amp;$CX25&amp;" aceita "&amp;INDEX($O$2:$O$8,$CX25),""),IF($EJ25&gt;2,$EJ25&amp;" Restrições"&amp;IF($DT25=1,", contando a que a Forma "&amp;$CZ25&amp;" já traz","")&amp;": o limite é 2",""),IF($EP25&lt;0,"Orçamento estourado: faltam "&amp;(-$EP25)&amp;IF($EP25&lt;-1," pontos"," ponto"),""),IF(IFERROR(VLOOKUP($DE25,$BD$2:$BH$24,4,FALSE),0)+IFERROR(VLOOKUP($DF25,$BD$2:$BH$24,4,FALSE),0)&gt;1,$DY25&amp;" e "&amp;$DZ25&amp;" são as duas de frequência",""),IF(AND((COUNTIF($DA25:$DD25,"Rápido")+COUNTIF($DY25:$DZ25,"Rápido"))&gt;0,(COUNTIF($DA25:$DD25,"Reação")+COUNTIF($DY25:$DZ25,"Reação"))&gt;0),"Rápido não entra com Reação",""),IF(AND((COUNTIF($DA25:$DD25,"Rápido")+COUNTIF($DY25:$DZ25,"Rápido"))&gt;0,(COUNTIF($DA25:$DD25,"Atrasar")+COUNTIF($DY25:$DZ25,"Atrasar"))&gt;0),"Rápido não entra com Atrasar",""),IF(AND((COUNTIF($DA25:$DD25,"Reação")+COUNTIF($DY25:$DZ25,"Reação"))&gt;0,(COUNTIF($DA25:$DD25,"Atrasar")+COUNTIF($DY25:$DZ25,"Atrasar"))&gt;0),"Reação não entra com Atrasar",""),IF(AND((COUNTIF($DA25:$DD25,"Reação")+COUNTIF($DY25:$DZ25,"Reação"))&gt;0,(COUNTIF($DA25:$DD25,"Parado")+COUNTIF($DY25:$DZ25,"Parado"))&gt;0),"Reação não entra com Parado",""),IF(AND(COUNTIF($DY25:$DZ25,"Corpo a Corpo")&gt;0,$DT25=0,OR($CZ25="Cone",$CZ25="Linha")),"Corpo a Corpo não entra em "&amp;$CZ25,""),IF(AND(COUNTIF($DY25:$DZ25,"Corpo a Corpo")&gt;0,$DT25=1),"A Forma "&amp;$CZ25&amp;" já traz o Corpo a Corpo",""),IF(AND(COUNTIF($DY25:$DZ25,"Tudo ou Nada")&gt;0,$DV25=0),"Tudo ou Nada só entra em feitiço de Teste de Resistência",""),IF(AND(COUNTIF($DA25:$DD25,"Inescapável")&gt;0,OR($EI25&gt;1,$EJ25&gt;0)),"Inescapável não aceita outra peça",""),IF(AND($CV25=1,$CX25&lt;3),"Liberação Máxima é de Classe 3 ou mais",""),IF(AND($CV25=1,OR($DU25=1,$DU25=2)),"Liberação Máxima não serve para cura",""),IF(AND($CV25=1,COUNTIF($DA25:$DD25,"Inescapável")+COUNTIF($DA25:$DD25,"Toca a Alma")&gt;0),"Esta peça não entra numa Liberação Máxima",""),IF($EQ25+$ER25&gt;4*$CX25,($EQ25+$ER25)&amp;" dados somando alvos e repetições: o teto da Classe "&amp;$CX25&amp;" é "&amp;4*$CX25,"")))</f>
        <v/>
      </c>
      <c r="FH25" s="141">
        <f>IF($FG25="",0,(LEN($FG25)-LEN(SUBSTITUTE($FG25," · ","")))/3+1)</f>
        <v/>
      </c>
      <c r="FI25" s="141">
        <f>IF($DG25=0,"",TEXTJOIN(" · ",TRUE,IF($EL25&gt;2*$CX25,"A devolução parou no teto de "&amp;2*$CX25,""),IF($EO25&gt;0,"Devolução perdida: "&amp;$EO25&amp;IF($EO25&gt;1," pontos"," ponto")&amp;" sem peça para pagar",""),IF(AND($DS25&gt;0,$EQ25=0),"Controle sem dano: uma rodada a mais e CD +2",""),IF(AND($DS25&gt;0,$EQ25&gt;0,$EQ25&lt;=$CX25),"Controle com um quarto do teto: uma rodada a mais","")))</f>
        <v/>
      </c>
      <c r="FJ25" s="141">
        <f>IF($FI25="",0,(LEN($FI25)-LEN(SUBSTITUTE($FI25," · ","")))/3+1)</f>
        <v/>
      </c>
      <c r="FK25" s="141">
        <f>IF($DG25=0,IF($EI25+$EJ25-$DT25&gt;0,"Dê um nome",""),IF($FH25&gt;0,"⚠ "&amp;$FH25&amp;IF($FH25&gt;1," erros"," erro"),IF($FJ25&gt;0,"! "&amp;$FJ25&amp;IF($FJ25&gt;1," avisos"," aviso"),"Na regra")))</f>
        <v/>
      </c>
      <c r="FL25" s="141">
        <f>IF($DG25=0,"",IF($FH25+$FJ25=0,"Dentro das regras que a ficha confere",$FG25&amp;IF(AND($FH25&gt;0,$FJ25&gt;0)," · ","")&amp;$FI25))</f>
        <v/>
      </c>
      <c r="FM25" s="141">
        <f>IF($DG25=0,"",IF($CV25=1,CEILING(4.5*$CX25,1),3*$CX25)&amp;" PE")</f>
        <v/>
      </c>
      <c r="FN25" s="141">
        <f>IF($DG25=0,"",IF($CV25=1,"Rodada inteira",IF(COUNTIF($DY25:$DZ25,"Atrasar")&gt;0,IF(COUNTIF($DY25:$DZ25,"Carregar")&gt;0,"Rodada +1 turno","Rodada inteira"),IF(COUNTIF($DA25:$DD25,"Rápido")&gt;0,"Bônus",IF(COUNTIF($DA25:$DD25,"Reação")&gt;0,"Reação","Padrão"))&amp;IF(COUNTIF($DY25:$DZ25,"Carregar")&gt;0," +1 turno",""))))</f>
        <v/>
      </c>
      <c r="FO25" s="141">
        <f>IF(OR($DG25=0,$DH25=0),"",IF(COUNTIF($DA25:$DD25,"Inescapável")&gt;0,"Automático",IF(COUNTIF($DA25:$DD25,"Certeiro")&gt;0,"TR para metade",INDEX($X$2:$X$11,$DH25))))</f>
        <v/>
      </c>
      <c r="FP25" s="141">
        <f>IF(OR($DG25=0,$DH25=0),"",IF(OR($DU25&gt;=2,$EQ25=0),UPPER(LEFT(INDEX($EZ25:$FF25,1,$CX25),1))&amp;MID(INDEX($EZ25:$FF25,1,$CX25),2,99),UPPER(LEFT(INDEX($EZ25:$FF25,1,$CX25),1))&amp;MID(INDEX($EZ25:$FF25,1,$CX25),2,99)&amp;" = "&amp;FLOOR($EQ25*4.5,1)&amp;IF($ER25&gt;0," · +"&amp;$ER25&amp;"d8","")))</f>
        <v/>
      </c>
      <c r="FQ25" s="141">
        <f>COUNTIF($DA25:$DD25,"Longe")+3*COUNTIF($DA25:$DD25,"Muito Longe")</f>
        <v/>
      </c>
      <c r="FR25" s="141">
        <f>COUNTIF($DA25:$DD25,"Maior")+3*COUNTIF($DA25:$DD25,"Muito Maior")</f>
        <v/>
      </c>
      <c r="FS25" s="141">
        <f>IF($DH25=0,0,CHOOSE(1+INDEX($Z$2:$Z$11,$DH25),0,$FQ25,$FR25,$FQ25+$FR25))</f>
        <v/>
      </c>
      <c r="FT25" s="141">
        <f>IF($DH25=0,0,CHOOSE(1+INDEX($AA$2:$AA$11,$DH25),0,$FQ25,$FR25,$FQ25+$FR25))</f>
        <v/>
      </c>
      <c r="FU25" s="141">
        <f>IF(OR($DG25=0,$DH25=0),"",INDEX($AH$2:$AM$31,($DH25-1)*3+IF($CX25&gt;=6,3,2),1+MIN(5,$FS25))&amp;INDEX($AN$2:$AS$31,($DH25-1)*3+IF($CX25&gt;=6,3,2),1+MIN(5,$FT25))&amp;IF(INDEX($AB$2:$AB$11,$DH25)=1,IF(COUNTIF($DA25:$DD25,"Mais Um")&gt;0," · +"&amp;COUNTIF($DA25:$DD25,"Mais Um")&amp;IF(COUNTIF($DA25:$DD25,"Mais Um")&gt;1," alvos"," alvo"),"")&amp;IF(COUNTIF($DA25:$DD25,"Rajada")&gt;0," · "&amp;($CX25+1)&amp;" tiros",""),""))</f>
        <v/>
      </c>
      <c r="FV25" s="141">
        <f>IF($DG25=0,"",3*$CX25&amp;" − "&amp;$EK25&amp;" + "&amp;$EN25&amp;IF($CV25=1," + "&amp;$CX25,"")&amp;" = "&amp;$EQ25&amp;"d8 · teto "&amp;4*$CX25&amp;IF($DT25=1," · a Forma devolve "&amp;$CX25,"")&amp;IF($EO25&gt;0," · perde "&amp;$EO25,""))</f>
        <v/>
      </c>
      <c r="FW25" s="141">
        <f>IF($DG25=0,"",IF($CX25&gt;=$GF$4,"Já está na maior Classe que o nível liberou",TEXTJOIN(" · ",TRUE,IF(AND(2&gt;$CX25,2&lt;=$GF$4),"2 → "&amp;$FA25&amp;", "&amp;IF($CV25=1,9,6)&amp;" PE",""),IF(AND(3&gt;$CX25,3&lt;=$GF$4),"3 → "&amp;$FB25&amp;", "&amp;IF($CV25=1,14,9)&amp;" PE",""),IF(AND(4&gt;$CX25,4&lt;=$GF$4),"4 → "&amp;$FC25&amp;", "&amp;IF($CV25=1,18,12)&amp;" PE",""),IF(AND(5&gt;$CX25,5&lt;=$GF$4),"5 → "&amp;$FD25&amp;", "&amp;IF($CV25=1,23,15)&amp;" PE",""),IF(AND(6&gt;$CX25,6&lt;=$GF$4),"6 → "&amp;$FE25&amp;", "&amp;IF($CV25=1,27,18)&amp;" PE",""),IF(AND(7&gt;$CX25,7&lt;=$GF$4),"7 → "&amp;$FF25&amp;", "&amp;IF($CV25=1,32,21)&amp;" PE",""))))</f>
        <v/>
      </c>
      <c r="FX25" s="141">
        <f>IF(OR($DG25=0,$DJ25=0),"","−"&amp;INDEX($I$2:$N$8,$CX25,$DJ25)&amp;" · "&amp;CHOOSE($DJ25,"Leve","Média","Pesada","Leve · Livre","Média · Livre","Pesada · Livre"))</f>
        <v/>
      </c>
      <c r="FY25" s="141">
        <f>IF(OR($DG25=0,$DK25=0),"","−"&amp;INDEX($I$2:$N$8,$CX25,$DK25)&amp;" · "&amp;CHOOSE($DK25,"Leve","Média","Pesada","Leve · Livre","Média · Livre","Pesada · Livre"))</f>
        <v/>
      </c>
      <c r="FZ25" s="141">
        <f>IF(OR($DG25=0,$DL25=0),"","−"&amp;INDEX($I$2:$N$8,$CX25,$DL25)&amp;" · "&amp;CHOOSE($DL25,"Leve","Média","Pesada","Leve · Livre","Média · Livre","Pesada · Livre"))</f>
        <v/>
      </c>
      <c r="GA25" s="141">
        <f>IF(OR($DG25=0,$DM25=0),"","−"&amp;INDEX($I$2:$N$8,$CX25,$DM25)&amp;" · "&amp;CHOOSE($DM25,"Leve","Média","Pesada","Leve · Livre","Média · Livre","Pesada · Livre"))</f>
        <v/>
      </c>
      <c r="GB25" s="141">
        <f>IF(OR($DG25=0,$DE25=""),"","+"&amp;IF($DW25=1,CEILING($CX25/2,1),$CX25))</f>
        <v/>
      </c>
      <c r="GC25" s="141">
        <f>IF(OR($DG25=0,$DF25=""),"","+"&amp;IF($DX25=1,CEILING($CX25/2,1),$CX25))</f>
        <v/>
      </c>
      <c r="GE25" s="114" t="inlineStr">
        <is>
          <t>aptidões anotadas</t>
        </is>
      </c>
      <c r="GF25" s="141">
        <f>IF('FICHA AMALDIÇOADA'!$D$421&lt;&gt;"",1,0)+IF('FICHA AMALDIÇOADA'!$J$421&lt;&gt;"",1,0)+IF('FICHA AMALDIÇOADA'!$P$421&lt;&gt;"",1,0)+IF('FICHA AMALDIÇOADA'!$D$441&lt;&gt;"",1,0)+IF('FICHA AMALDIÇOADA'!$J$441&lt;&gt;"",1,0)+IF('FICHA AMALDIÇOADA'!$P$441&lt;&gt;"",1,0)+IF('FICHA AMALDIÇOADA'!$D$463&lt;&gt;"",1,0)+IF('FICHA AMALDIÇOADA'!$J$463&lt;&gt;"",1,0)+IF('FICHA AMALDIÇOADA'!$P$463&lt;&gt;"",1,0)+IF('FICHA AMALDIÇOADA'!$D$483&lt;&gt;"",1,0)+IF('FICHA AMALDIÇOADA'!$J$483&lt;&gt;"",1,0)+IF('FICHA AMALDIÇOADA'!$P$483&lt;&gt;"",1,0)</f>
        <v/>
      </c>
      <c r="HJ25" s="114" t="inlineStr">
        <is>
          <t>J355</t>
        </is>
      </c>
      <c r="HK25" s="141">
        <f>SUBSTITUTE(MIN(7.5,1.5*DADOS_AM!$GF$6)&amp;" m",".",",")</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41" t="n">
        <v>2</v>
      </c>
      <c r="AX26" s="141">
        <f>$AW26+3*IFERROR(VLOOKUP($AV26,$A$2:$D$10,3,FALSE),0)</f>
        <v/>
      </c>
      <c r="AY26" s="141">
        <f>IFERROR(VLOOKUP($AV26,$A$2:$D$10,4,FALSE),0)</f>
        <v/>
      </c>
      <c r="AZ26" s="141" t="n">
        <v>1</v>
      </c>
      <c r="BA26" s="141">
        <f>IF($AY26=1,"",$AU26)</f>
        <v/>
      </c>
      <c r="BB26" s="141">
        <f>IF(AND($AW26=1,$AY26=0),$AU26,"")</f>
        <v/>
      </c>
      <c r="CU26" s="114" t="inlineStr">
        <is>
          <t>Feitiço 25</t>
        </is>
      </c>
      <c r="CV26" s="141" t="n">
        <v>0</v>
      </c>
      <c r="CW26" s="141" t="n">
        <v>25</v>
      </c>
      <c r="CX26" s="141">
        <f>MAX(1,MIN(7,N('FICHA AMALDIÇOADA'!$D$217)))</f>
        <v/>
      </c>
      <c r="CY26" s="141">
        <f>'FICHA AMALDIÇOADA'!$E$217&amp;""</f>
        <v/>
      </c>
      <c r="CZ26" s="141">
        <f>'FICHA AMALDIÇOADA'!$D$224&amp;""</f>
        <v/>
      </c>
      <c r="DA26" s="141">
        <f>'FICHA AMALDIÇOADA'!$E$226&amp;""</f>
        <v/>
      </c>
      <c r="DB26" s="141">
        <f>'FICHA AMALDIÇOADA'!$E$227&amp;""</f>
        <v/>
      </c>
      <c r="DC26" s="141">
        <f>'FICHA AMALDIÇOADA'!$E$228&amp;""</f>
        <v/>
      </c>
      <c r="DD26" s="141">
        <f>'FICHA AMALDIÇOADA'!$E$229&amp;""</f>
        <v/>
      </c>
      <c r="DE26" s="141">
        <f>'FICHA AMALDIÇOADA'!$E$230&amp;""</f>
        <v/>
      </c>
      <c r="DF26" s="141">
        <f>'FICHA AMALDIÇOADA'!$E$231&amp;""</f>
        <v/>
      </c>
      <c r="DG26" s="141">
        <f>IF($CY26&lt;&gt;"",1,0)</f>
        <v/>
      </c>
      <c r="DH26" s="141">
        <f>IFERROR(MATCH($CZ26,$Q$2:$Q$11,0),0)</f>
        <v/>
      </c>
      <c r="DI26" s="141">
        <f>IF($DH26=0,0,INDEX($T$2:$T$11,$DH26))</f>
        <v/>
      </c>
      <c r="DJ26" s="141">
        <f>IFERROR(VLOOKUP($DA26,$AU$2:$BB$84,4,FALSE),0)</f>
        <v/>
      </c>
      <c r="DK26" s="141">
        <f>IFERROR(VLOOKUP($DB26,$AU$2:$BB$84,4,FALSE),0)</f>
        <v/>
      </c>
      <c r="DL26" s="141">
        <f>IFERROR(VLOOKUP($DC26,$AU$2:$BB$84,4,FALSE),0)</f>
        <v/>
      </c>
      <c r="DM26" s="141">
        <f>IFERROR(VLOOKUP($DD26,$AU$2:$BB$84,4,FALSE),0)</f>
        <v/>
      </c>
      <c r="DN26" s="141">
        <f>IF($DH26=0,0,INDEX($U$2:$U$11,$DH26))</f>
        <v/>
      </c>
      <c r="DO26" s="141">
        <f>IFERROR(VLOOKUP($DA26,$AU$2:$BB$84,5,FALSE),0)</f>
        <v/>
      </c>
      <c r="DP26" s="141">
        <f>IFERROR(VLOOKUP($DB26,$AU$2:$BB$84,5,FALSE),0)</f>
        <v/>
      </c>
      <c r="DQ26" s="141">
        <f>IFERROR(VLOOKUP($DC26,$AU$2:$BB$84,5,FALSE),0)</f>
        <v/>
      </c>
      <c r="DR26" s="141">
        <f>IFERROR(VLOOKUP($DD26,$AU$2:$BB$84,5,FALSE),0)</f>
        <v/>
      </c>
      <c r="DS26" s="141">
        <f>IFERROR(VLOOKUP($DA26,$AU$2:$BB$84,6,FALSE),0)+IFERROR(VLOOKUP($DB26,$AU$2:$BB$84,6,FALSE),0)+IFERROR(VLOOKUP($DC26,$AU$2:$BB$84,6,FALSE),0)+IFERROR(VLOOKUP($DD26,$AU$2:$BB$84,6,FALSE),0)</f>
        <v/>
      </c>
      <c r="DT26" s="141">
        <f>IF($DH26=0,0,INDEX($V$2:$V$11,$DH26))</f>
        <v/>
      </c>
      <c r="DU26" s="141">
        <f>IF($DH26=0,0,INDEX($W$2:$W$11,$DH26))</f>
        <v/>
      </c>
      <c r="DV26" s="141">
        <f>IF($DH26=0,0,INDEX($Y$2:$Y$11,$DH26))</f>
        <v/>
      </c>
      <c r="DW26" s="141">
        <f>IFERROR(VLOOKUP($DE26,$BD$2:$BH$24,3,FALSE),0)</f>
        <v/>
      </c>
      <c r="DX26" s="141">
        <f>IFERROR(VLOOKUP($DF26,$BD$2:$BH$24,3,FALSE),0)</f>
        <v/>
      </c>
      <c r="DY26" s="141">
        <f>IFERROR(VLOOKUP($DE26,$BD$2:$BH$24,2,FALSE),"")</f>
        <v/>
      </c>
      <c r="DZ26" s="141">
        <f>IFERROR(VLOOKUP($DF26,$BD$2:$BH$24,2,FALSE),"")</f>
        <v/>
      </c>
      <c r="EA26" s="141">
        <f>COUNTIF($DI26:$DM26,1)</f>
        <v/>
      </c>
      <c r="EB26" s="141">
        <f>COUNTIF($DI26:$DM26,2)</f>
        <v/>
      </c>
      <c r="EC26" s="141">
        <f>COUNTIF($DI26:$DM26,3)</f>
        <v/>
      </c>
      <c r="ED26" s="141">
        <f>COUNTIF($DI26:$DM26,4)</f>
        <v/>
      </c>
      <c r="EE26" s="141">
        <f>COUNTIF($DI26:$DM26,5)</f>
        <v/>
      </c>
      <c r="EF26" s="141">
        <f>COUNTIF($DI26:$DM26,6)</f>
        <v/>
      </c>
      <c r="EG26" s="141">
        <f>COUNTIF($DW26:$DX26,1)</f>
        <v/>
      </c>
      <c r="EH26" s="141">
        <f>COUNTIF($DW26:$DX26,2)+$DT26</f>
        <v/>
      </c>
      <c r="EI26" s="141">
        <f>COUNTIF($DA26:$DD26,"?*")</f>
        <v/>
      </c>
      <c r="EJ26" s="141">
        <f>COUNTIF($DE26:$DF26,"?*")+$DT26</f>
        <v/>
      </c>
      <c r="EK26" s="141">
        <f>SUMPRODUCT($EA26:$EF26,INDEX($I$2:$N$8,$CX26,0))</f>
        <v/>
      </c>
      <c r="EL26" s="141">
        <f>$EG26*CEILING($CX26/2,1)+$EH26*$CX26</f>
        <v/>
      </c>
      <c r="EM26" s="141">
        <f>MIN(2*$CX26,$EL26)</f>
        <v/>
      </c>
      <c r="EN26" s="141">
        <f>MIN($EM26,$EK26)</f>
        <v/>
      </c>
      <c r="EO26" s="141">
        <f>$EM26-$EN26</f>
        <v/>
      </c>
      <c r="EP26" s="141">
        <f>3*$CX26-$EK26+$EN26</f>
        <v/>
      </c>
      <c r="EQ26" s="141">
        <f>MAX(0,$EP26)+$CV26*$CX26</f>
        <v/>
      </c>
      <c r="ER26" s="141">
        <f>(IF(COUNTIF($DA26:$DD26,"Salto")&gt;0,1,0)+IF(COUNTIF($DA26:$DD26,"Queima")&gt;0,1,0))*FLOOR($EQ26/2,1)</f>
        <v/>
      </c>
      <c r="ES26" s="141">
        <f>MAX(0,3-SUMPRODUCT($EA26:$EF26,$I$2:$N$2)+MIN(2,$EG26*1+$EH26*1,SUMPRODUCT($EA26:$EF26,$I$2:$N$2)))+$CV26*1</f>
        <v/>
      </c>
      <c r="ET26" s="141">
        <f>MAX(0,6-SUMPRODUCT($EA26:$EF26,$I$3:$N$3)+MIN(4,$EG26*1+$EH26*2,SUMPRODUCT($EA26:$EF26,$I$3:$N$3)))+$CV26*2</f>
        <v/>
      </c>
      <c r="EU26" s="141">
        <f>MAX(0,9-SUMPRODUCT($EA26:$EF26,$I$4:$N$4)+MIN(6,$EG26*2+$EH26*3,SUMPRODUCT($EA26:$EF26,$I$4:$N$4)))+$CV26*3</f>
        <v/>
      </c>
      <c r="EV26" s="141">
        <f>MAX(0,12-SUMPRODUCT($EA26:$EF26,$I$5:$N$5)+MIN(8,$EG26*2+$EH26*4,SUMPRODUCT($EA26:$EF26,$I$5:$N$5)))+$CV26*4</f>
        <v/>
      </c>
      <c r="EW26" s="141">
        <f>MAX(0,15-SUMPRODUCT($EA26:$EF26,$I$6:$N$6)+MIN(10,$EG26*3+$EH26*5,SUMPRODUCT($EA26:$EF26,$I$6:$N$6)))+$CV26*5</f>
        <v/>
      </c>
      <c r="EX26" s="141">
        <f>MAX(0,18-SUMPRODUCT($EA26:$EF26,$I$7:$N$7)+MIN(12,$EG26*3+$EH26*6,SUMPRODUCT($EA26:$EF26,$I$7:$N$7)))+$CV26*6</f>
        <v/>
      </c>
      <c r="EY26" s="141">
        <f>MAX(0,21-SUMPRODUCT($EA26:$EF26,$I$8:$N$8)+MIN(14,$EG26*4+$EH26*7,SUMPRODUCT($EA26:$EF26,$I$8:$N$8)))+$CV26*7</f>
        <v/>
      </c>
      <c r="EZ26" s="141">
        <f>IF($DU26=2,3*$ES26&amp;" de vida temp.",IF($DU26=3,"sem dano",IF($ES26=0,IF($DU26=1,"sem cura","sem dano"),IF($DU26=1,"cura ","")&amp;$ES26&amp;"d8")))</f>
        <v/>
      </c>
      <c r="FA26" s="141">
        <f>IF($DU26=2,3*$ET26&amp;" de vida temp.",IF($DU26=3,"sem dano",IF($ET26=0,IF($DU26=1,"sem cura","sem dano"),IF($DU26=1,"cura ","")&amp;$ET26&amp;"d8")))</f>
        <v/>
      </c>
      <c r="FB26" s="141">
        <f>IF($DU26=2,3*$EU26&amp;" de vida temp.",IF($DU26=3,"sem dano",IF($EU26=0,IF($DU26=1,"sem cura","sem dano"),IF($DU26=1,"cura ","")&amp;$EU26&amp;"d8")))</f>
        <v/>
      </c>
      <c r="FC26" s="141">
        <f>IF($DU26=2,3*$EV26&amp;" de vida temp.",IF($DU26=3,"sem dano",IF($EV26=0,IF($DU26=1,"sem cura","sem dano"),IF($DU26=1,"cura ","")&amp;$EV26&amp;"d8")))</f>
        <v/>
      </c>
      <c r="FD26" s="141">
        <f>IF($DU26=2,3*$EW26&amp;" de vida temp.",IF($DU26=3,"sem dano",IF($EW26=0,IF($DU26=1,"sem cura","sem dano"),IF($DU26=1,"cura ","")&amp;$EW26&amp;"d8")))</f>
        <v/>
      </c>
      <c r="FE26" s="141">
        <f>IF($DU26=2,3*$EX26&amp;" de vida temp.",IF($DU26=3,"sem dano",IF($EX26=0,IF($DU26=1,"sem cura","sem dano"),IF($DU26=1,"cura ","")&amp;$EX26&amp;"d8")))</f>
        <v/>
      </c>
      <c r="FF26" s="141">
        <f>IF($DU26=2,3*$EY26&amp;" de vida temp.",IF($DU26=3,"sem dano",IF($EY26=0,IF($DU26=1,"sem cura","sem dano"),IF($DU26=1,"cura ","")&amp;$EY26&amp;"d8")))</f>
        <v/>
      </c>
      <c r="FG26" s="141">
        <f>IF($DG26=0,"",TEXTJOIN(" · ",TRUE,IF(AND($CV26=1,$CW26&gt;$GF$9),"O nível "&amp;$GF$2&amp;" dá "&amp;$GF$9&amp;" Liberação Máxima",""),IF($CX26&gt;$GF$4,"Classe "&amp;$CX26&amp;": o nível "&amp;$GF$2&amp;" libera até a "&amp;$GF$4,""),IF($DN26=1,"Família Fechada: a Forma "&amp;$CZ26,""),IF($DO26=1,"Família Fechada: "&amp;$DA26,""),IF($DP26=1,"Família Fechada: "&amp;$DB26,""),IF($DQ26=1,"Família Fechada: "&amp;$DC26,""),IF($DR26=1,"Família Fechada: "&amp;$DD26,""),IF($EI26&gt;INDEX($O$2:$O$8,$CX26),$EI26&amp;" Melhorias: a Classe "&amp;$CX26&amp;" aceita "&amp;INDEX($O$2:$O$8,$CX26),""),IF($EJ26&gt;2,$EJ26&amp;" Restrições"&amp;IF($DT26=1,", contando a que a Forma "&amp;$CZ26&amp;" já traz","")&amp;": o limite é 2",""),IF($EP26&lt;0,"Orçamento estourado: faltam "&amp;(-$EP26)&amp;IF($EP26&lt;-1," pontos"," ponto"),""),IF(IFERROR(VLOOKUP($DE26,$BD$2:$BH$24,4,FALSE),0)+IFERROR(VLOOKUP($DF26,$BD$2:$BH$24,4,FALSE),0)&gt;1,$DY26&amp;" e "&amp;$DZ26&amp;" são as duas de frequência",""),IF(AND((COUNTIF($DA26:$DD26,"Rápido")+COUNTIF($DY26:$DZ26,"Rápido"))&gt;0,(COUNTIF($DA26:$DD26,"Reação")+COUNTIF($DY26:$DZ26,"Reação"))&gt;0),"Rápido não entra com Reação",""),IF(AND((COUNTIF($DA26:$DD26,"Rápido")+COUNTIF($DY26:$DZ26,"Rápido"))&gt;0,(COUNTIF($DA26:$DD26,"Atrasar")+COUNTIF($DY26:$DZ26,"Atrasar"))&gt;0),"Rápido não entra com Atrasar",""),IF(AND((COUNTIF($DA26:$DD26,"Reação")+COUNTIF($DY26:$DZ26,"Reação"))&gt;0,(COUNTIF($DA26:$DD26,"Atrasar")+COUNTIF($DY26:$DZ26,"Atrasar"))&gt;0),"Reação não entra com Atrasar",""),IF(AND((COUNTIF($DA26:$DD26,"Reação")+COUNTIF($DY26:$DZ26,"Reação"))&gt;0,(COUNTIF($DA26:$DD26,"Parado")+COUNTIF($DY26:$DZ26,"Parado"))&gt;0),"Reação não entra com Parado",""),IF(AND(COUNTIF($DY26:$DZ26,"Corpo a Corpo")&gt;0,$DT26=0,OR($CZ26="Cone",$CZ26="Linha")),"Corpo a Corpo não entra em "&amp;$CZ26,""),IF(AND(COUNTIF($DY26:$DZ26,"Corpo a Corpo")&gt;0,$DT26=1),"A Forma "&amp;$CZ26&amp;" já traz o Corpo a Corpo",""),IF(AND(COUNTIF($DY26:$DZ26,"Tudo ou Nada")&gt;0,$DV26=0),"Tudo ou Nada só entra em feitiço de Teste de Resistência",""),IF(AND(COUNTIF($DA26:$DD26,"Inescapável")&gt;0,OR($EI26&gt;1,$EJ26&gt;0)),"Inescapável não aceita outra peça",""),IF(AND($CV26=1,$CX26&lt;3),"Liberação Máxima é de Classe 3 ou mais",""),IF(AND($CV26=1,OR($DU26=1,$DU26=2)),"Liberação Máxima não serve para cura",""),IF(AND($CV26=1,COUNTIF($DA26:$DD26,"Inescapável")+COUNTIF($DA26:$DD26,"Toca a Alma")&gt;0),"Esta peça não entra numa Liberação Máxima",""),IF($EQ26+$ER26&gt;4*$CX26,($EQ26+$ER26)&amp;" dados somando alvos e repetições: o teto da Classe "&amp;$CX26&amp;" é "&amp;4*$CX26,"")))</f>
        <v/>
      </c>
      <c r="FH26" s="141">
        <f>IF($FG26="",0,(LEN($FG26)-LEN(SUBSTITUTE($FG26," · ","")))/3+1)</f>
        <v/>
      </c>
      <c r="FI26" s="141">
        <f>IF($DG26=0,"",TEXTJOIN(" · ",TRUE,IF($EL26&gt;2*$CX26,"A devolução parou no teto de "&amp;2*$CX26,""),IF($EO26&gt;0,"Devolução perdida: "&amp;$EO26&amp;IF($EO26&gt;1," pontos"," ponto")&amp;" sem peça para pagar",""),IF(AND($DS26&gt;0,$EQ26=0),"Controle sem dano: uma rodada a mais e CD +2",""),IF(AND($DS26&gt;0,$EQ26&gt;0,$EQ26&lt;=$CX26),"Controle com um quarto do teto: uma rodada a mais","")))</f>
        <v/>
      </c>
      <c r="FJ26" s="141">
        <f>IF($FI26="",0,(LEN($FI26)-LEN(SUBSTITUTE($FI26," · ","")))/3+1)</f>
        <v/>
      </c>
      <c r="FK26" s="141">
        <f>IF($DG26=0,IF($EI26+$EJ26-$DT26&gt;0,"Dê um nome",""),IF($FH26&gt;0,"⚠ "&amp;$FH26&amp;IF($FH26&gt;1," erros"," erro"),IF($FJ26&gt;0,"! "&amp;$FJ26&amp;IF($FJ26&gt;1," avisos"," aviso"),"Na regra")))</f>
        <v/>
      </c>
      <c r="FL26" s="141">
        <f>IF($DG26=0,"",IF($FH26+$FJ26=0,"Dentro das regras que a ficha confere",$FG26&amp;IF(AND($FH26&gt;0,$FJ26&gt;0)," · ","")&amp;$FI26))</f>
        <v/>
      </c>
      <c r="FM26" s="141">
        <f>IF($DG26=0,"",IF($CV26=1,CEILING(4.5*$CX26,1),3*$CX26)&amp;" PE")</f>
        <v/>
      </c>
      <c r="FN26" s="141">
        <f>IF($DG26=0,"",IF($CV26=1,"Rodada inteira",IF(COUNTIF($DY26:$DZ26,"Atrasar")&gt;0,IF(COUNTIF($DY26:$DZ26,"Carregar")&gt;0,"Rodada +1 turno","Rodada inteira"),IF(COUNTIF($DA26:$DD26,"Rápido")&gt;0,"Bônus",IF(COUNTIF($DA26:$DD26,"Reação")&gt;0,"Reação","Padrão"))&amp;IF(COUNTIF($DY26:$DZ26,"Carregar")&gt;0," +1 turno",""))))</f>
        <v/>
      </c>
      <c r="FO26" s="141">
        <f>IF(OR($DG26=0,$DH26=0),"",IF(COUNTIF($DA26:$DD26,"Inescapável")&gt;0,"Automático",IF(COUNTIF($DA26:$DD26,"Certeiro")&gt;0,"TR para metade",INDEX($X$2:$X$11,$DH26))))</f>
        <v/>
      </c>
      <c r="FP26" s="141">
        <f>IF(OR($DG26=0,$DH26=0),"",IF(OR($DU26&gt;=2,$EQ26=0),UPPER(LEFT(INDEX($EZ26:$FF26,1,$CX26),1))&amp;MID(INDEX($EZ26:$FF26,1,$CX26),2,99),UPPER(LEFT(INDEX($EZ26:$FF26,1,$CX26),1))&amp;MID(INDEX($EZ26:$FF26,1,$CX26),2,99)&amp;" = "&amp;FLOOR($EQ26*4.5,1)&amp;IF($ER26&gt;0," · +"&amp;$ER26&amp;"d8","")))</f>
        <v/>
      </c>
      <c r="FQ26" s="141">
        <f>COUNTIF($DA26:$DD26,"Longe")+3*COUNTIF($DA26:$DD26,"Muito Longe")</f>
        <v/>
      </c>
      <c r="FR26" s="141">
        <f>COUNTIF($DA26:$DD26,"Maior")+3*COUNTIF($DA26:$DD26,"Muito Maior")</f>
        <v/>
      </c>
      <c r="FS26" s="141">
        <f>IF($DH26=0,0,CHOOSE(1+INDEX($Z$2:$Z$11,$DH26),0,$FQ26,$FR26,$FQ26+$FR26))</f>
        <v/>
      </c>
      <c r="FT26" s="141">
        <f>IF($DH26=0,0,CHOOSE(1+INDEX($AA$2:$AA$11,$DH26),0,$FQ26,$FR26,$FQ26+$FR26))</f>
        <v/>
      </c>
      <c r="FU26" s="141">
        <f>IF(OR($DG26=0,$DH26=0),"",INDEX($AH$2:$AM$31,($DH26-1)*3+IF($CX26&gt;=6,3,2),1+MIN(5,$FS26))&amp;INDEX($AN$2:$AS$31,($DH26-1)*3+IF($CX26&gt;=6,3,2),1+MIN(5,$FT26))&amp;IF(INDEX($AB$2:$AB$11,$DH26)=1,IF(COUNTIF($DA26:$DD26,"Mais Um")&gt;0," · +"&amp;COUNTIF($DA26:$DD26,"Mais Um")&amp;IF(COUNTIF($DA26:$DD26,"Mais Um")&gt;1," alvos"," alvo"),"")&amp;IF(COUNTIF($DA26:$DD26,"Rajada")&gt;0," · "&amp;($CX26+1)&amp;" tiros",""),""))</f>
        <v/>
      </c>
      <c r="FV26" s="141">
        <f>IF($DG26=0,"",3*$CX26&amp;" − "&amp;$EK26&amp;" + "&amp;$EN26&amp;IF($CV26=1," + "&amp;$CX26,"")&amp;" = "&amp;$EQ26&amp;"d8 · teto "&amp;4*$CX26&amp;IF($DT26=1," · a Forma devolve "&amp;$CX26,"")&amp;IF($EO26&gt;0," · perde "&amp;$EO26,""))</f>
        <v/>
      </c>
      <c r="FW26" s="141">
        <f>IF($DG26=0,"",IF($CX26&gt;=$GF$4,"Já está na maior Classe que o nível liberou",TEXTJOIN(" · ",TRUE,IF(AND(2&gt;$CX26,2&lt;=$GF$4),"2 → "&amp;$FA26&amp;", "&amp;IF($CV26=1,9,6)&amp;" PE",""),IF(AND(3&gt;$CX26,3&lt;=$GF$4),"3 → "&amp;$FB26&amp;", "&amp;IF($CV26=1,14,9)&amp;" PE",""),IF(AND(4&gt;$CX26,4&lt;=$GF$4),"4 → "&amp;$FC26&amp;", "&amp;IF($CV26=1,18,12)&amp;" PE",""),IF(AND(5&gt;$CX26,5&lt;=$GF$4),"5 → "&amp;$FD26&amp;", "&amp;IF($CV26=1,23,15)&amp;" PE",""),IF(AND(6&gt;$CX26,6&lt;=$GF$4),"6 → "&amp;$FE26&amp;", "&amp;IF($CV26=1,27,18)&amp;" PE",""),IF(AND(7&gt;$CX26,7&lt;=$GF$4),"7 → "&amp;$FF26&amp;", "&amp;IF($CV26=1,32,21)&amp;" PE",""))))</f>
        <v/>
      </c>
      <c r="FX26" s="141">
        <f>IF(OR($DG26=0,$DJ26=0),"","−"&amp;INDEX($I$2:$N$8,$CX26,$DJ26)&amp;" · "&amp;CHOOSE($DJ26,"Leve","Média","Pesada","Leve · Livre","Média · Livre","Pesada · Livre"))</f>
        <v/>
      </c>
      <c r="FY26" s="141">
        <f>IF(OR($DG26=0,$DK26=0),"","−"&amp;INDEX($I$2:$N$8,$CX26,$DK26)&amp;" · "&amp;CHOOSE($DK26,"Leve","Média","Pesada","Leve · Livre","Média · Livre","Pesada · Livre"))</f>
        <v/>
      </c>
      <c r="FZ26" s="141">
        <f>IF(OR($DG26=0,$DL26=0),"","−"&amp;INDEX($I$2:$N$8,$CX26,$DL26)&amp;" · "&amp;CHOOSE($DL26,"Leve","Média","Pesada","Leve · Livre","Média · Livre","Pesada · Livre"))</f>
        <v/>
      </c>
      <c r="GA26" s="141">
        <f>IF(OR($DG26=0,$DM26=0),"","−"&amp;INDEX($I$2:$N$8,$CX26,$DM26)&amp;" · "&amp;CHOOSE($DM26,"Leve","Média","Pesada","Leve · Livre","Média · Livre","Pesada · Livre"))</f>
        <v/>
      </c>
      <c r="GB26" s="141">
        <f>IF(OR($DG26=0,$DE26=""),"","+"&amp;IF($DW26=1,CEILING($CX26/2,1),$CX26))</f>
        <v/>
      </c>
      <c r="GC26" s="141">
        <f>IF(OR($DG26=0,$DF26=""),"","+"&amp;IF($DX26=1,CEILING($CX26/2,1),$CX26))</f>
        <v/>
      </c>
      <c r="GE26" s="114" t="inlineStr">
        <is>
          <t>aptidões compráveis</t>
        </is>
      </c>
      <c r="GF26" s="141">
        <f>MAX(0,N(DADOS!$AK$36)-2)</f>
        <v/>
      </c>
      <c r="HJ26" s="114" t="inlineStr">
        <is>
          <t>K355</t>
        </is>
      </c>
      <c r="HK26" s="141">
        <f>"−"&amp;DADOS_AM!$GF$33&amp;" PE"</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41" t="n">
        <v>2</v>
      </c>
      <c r="AX27" s="141">
        <f>$AW27+3*IFERROR(VLOOKUP($AV27,$A$2:$D$10,3,FALSE),0)</f>
        <v/>
      </c>
      <c r="AY27" s="141">
        <f>IFERROR(VLOOKUP($AV27,$A$2:$D$10,4,FALSE),0)</f>
        <v/>
      </c>
      <c r="AZ27" s="141" t="n">
        <v>1</v>
      </c>
      <c r="BA27" s="141">
        <f>IF($AY27=1,"",$AU27)</f>
        <v/>
      </c>
      <c r="BB27" s="141">
        <f>IF(AND($AW27=1,$AY27=0),$AU27,"")</f>
        <v/>
      </c>
      <c r="CU27" s="114" t="inlineStr">
        <is>
          <t>Feitiço 26</t>
        </is>
      </c>
      <c r="CV27" s="141" t="n">
        <v>0</v>
      </c>
      <c r="CW27" s="141" t="n">
        <v>26</v>
      </c>
      <c r="CX27" s="141">
        <f>MAX(1,MIN(7,N('FICHA AMALDIÇOADA'!$J$217)))</f>
        <v/>
      </c>
      <c r="CY27" s="141">
        <f>'FICHA AMALDIÇOADA'!$K$217&amp;""</f>
        <v/>
      </c>
      <c r="CZ27" s="141">
        <f>'FICHA AMALDIÇOADA'!$J$224&amp;""</f>
        <v/>
      </c>
      <c r="DA27" s="141">
        <f>'FICHA AMALDIÇOADA'!$K$226&amp;""</f>
        <v/>
      </c>
      <c r="DB27" s="141">
        <f>'FICHA AMALDIÇOADA'!$K$227&amp;""</f>
        <v/>
      </c>
      <c r="DC27" s="141">
        <f>'FICHA AMALDIÇOADA'!$K$228&amp;""</f>
        <v/>
      </c>
      <c r="DD27" s="141">
        <f>'FICHA AMALDIÇOADA'!$K$229&amp;""</f>
        <v/>
      </c>
      <c r="DE27" s="141">
        <f>'FICHA AMALDIÇOADA'!$K$230&amp;""</f>
        <v/>
      </c>
      <c r="DF27" s="141">
        <f>'FICHA AMALDIÇOADA'!$K$231&amp;""</f>
        <v/>
      </c>
      <c r="DG27" s="141">
        <f>IF($CY27&lt;&gt;"",1,0)</f>
        <v/>
      </c>
      <c r="DH27" s="141">
        <f>IFERROR(MATCH($CZ27,$Q$2:$Q$11,0),0)</f>
        <v/>
      </c>
      <c r="DI27" s="141">
        <f>IF($DH27=0,0,INDEX($T$2:$T$11,$DH27))</f>
        <v/>
      </c>
      <c r="DJ27" s="141">
        <f>IFERROR(VLOOKUP($DA27,$AU$2:$BB$84,4,FALSE),0)</f>
        <v/>
      </c>
      <c r="DK27" s="141">
        <f>IFERROR(VLOOKUP($DB27,$AU$2:$BB$84,4,FALSE),0)</f>
        <v/>
      </c>
      <c r="DL27" s="141">
        <f>IFERROR(VLOOKUP($DC27,$AU$2:$BB$84,4,FALSE),0)</f>
        <v/>
      </c>
      <c r="DM27" s="141">
        <f>IFERROR(VLOOKUP($DD27,$AU$2:$BB$84,4,FALSE),0)</f>
        <v/>
      </c>
      <c r="DN27" s="141">
        <f>IF($DH27=0,0,INDEX($U$2:$U$11,$DH27))</f>
        <v/>
      </c>
      <c r="DO27" s="141">
        <f>IFERROR(VLOOKUP($DA27,$AU$2:$BB$84,5,FALSE),0)</f>
        <v/>
      </c>
      <c r="DP27" s="141">
        <f>IFERROR(VLOOKUP($DB27,$AU$2:$BB$84,5,FALSE),0)</f>
        <v/>
      </c>
      <c r="DQ27" s="141">
        <f>IFERROR(VLOOKUP($DC27,$AU$2:$BB$84,5,FALSE),0)</f>
        <v/>
      </c>
      <c r="DR27" s="141">
        <f>IFERROR(VLOOKUP($DD27,$AU$2:$BB$84,5,FALSE),0)</f>
        <v/>
      </c>
      <c r="DS27" s="141">
        <f>IFERROR(VLOOKUP($DA27,$AU$2:$BB$84,6,FALSE),0)+IFERROR(VLOOKUP($DB27,$AU$2:$BB$84,6,FALSE),0)+IFERROR(VLOOKUP($DC27,$AU$2:$BB$84,6,FALSE),0)+IFERROR(VLOOKUP($DD27,$AU$2:$BB$84,6,FALSE),0)</f>
        <v/>
      </c>
      <c r="DT27" s="141">
        <f>IF($DH27=0,0,INDEX($V$2:$V$11,$DH27))</f>
        <v/>
      </c>
      <c r="DU27" s="141">
        <f>IF($DH27=0,0,INDEX($W$2:$W$11,$DH27))</f>
        <v/>
      </c>
      <c r="DV27" s="141">
        <f>IF($DH27=0,0,INDEX($Y$2:$Y$11,$DH27))</f>
        <v/>
      </c>
      <c r="DW27" s="141">
        <f>IFERROR(VLOOKUP($DE27,$BD$2:$BH$24,3,FALSE),0)</f>
        <v/>
      </c>
      <c r="DX27" s="141">
        <f>IFERROR(VLOOKUP($DF27,$BD$2:$BH$24,3,FALSE),0)</f>
        <v/>
      </c>
      <c r="DY27" s="141">
        <f>IFERROR(VLOOKUP($DE27,$BD$2:$BH$24,2,FALSE),"")</f>
        <v/>
      </c>
      <c r="DZ27" s="141">
        <f>IFERROR(VLOOKUP($DF27,$BD$2:$BH$24,2,FALSE),"")</f>
        <v/>
      </c>
      <c r="EA27" s="141">
        <f>COUNTIF($DI27:$DM27,1)</f>
        <v/>
      </c>
      <c r="EB27" s="141">
        <f>COUNTIF($DI27:$DM27,2)</f>
        <v/>
      </c>
      <c r="EC27" s="141">
        <f>COUNTIF($DI27:$DM27,3)</f>
        <v/>
      </c>
      <c r="ED27" s="141">
        <f>COUNTIF($DI27:$DM27,4)</f>
        <v/>
      </c>
      <c r="EE27" s="141">
        <f>COUNTIF($DI27:$DM27,5)</f>
        <v/>
      </c>
      <c r="EF27" s="141">
        <f>COUNTIF($DI27:$DM27,6)</f>
        <v/>
      </c>
      <c r="EG27" s="141">
        <f>COUNTIF($DW27:$DX27,1)</f>
        <v/>
      </c>
      <c r="EH27" s="141">
        <f>COUNTIF($DW27:$DX27,2)+$DT27</f>
        <v/>
      </c>
      <c r="EI27" s="141">
        <f>COUNTIF($DA27:$DD27,"?*")</f>
        <v/>
      </c>
      <c r="EJ27" s="141">
        <f>COUNTIF($DE27:$DF27,"?*")+$DT27</f>
        <v/>
      </c>
      <c r="EK27" s="141">
        <f>SUMPRODUCT($EA27:$EF27,INDEX($I$2:$N$8,$CX27,0))</f>
        <v/>
      </c>
      <c r="EL27" s="141">
        <f>$EG27*CEILING($CX27/2,1)+$EH27*$CX27</f>
        <v/>
      </c>
      <c r="EM27" s="141">
        <f>MIN(2*$CX27,$EL27)</f>
        <v/>
      </c>
      <c r="EN27" s="141">
        <f>MIN($EM27,$EK27)</f>
        <v/>
      </c>
      <c r="EO27" s="141">
        <f>$EM27-$EN27</f>
        <v/>
      </c>
      <c r="EP27" s="141">
        <f>3*$CX27-$EK27+$EN27</f>
        <v/>
      </c>
      <c r="EQ27" s="141">
        <f>MAX(0,$EP27)+$CV27*$CX27</f>
        <v/>
      </c>
      <c r="ER27" s="141">
        <f>(IF(COUNTIF($DA27:$DD27,"Salto")&gt;0,1,0)+IF(COUNTIF($DA27:$DD27,"Queima")&gt;0,1,0))*FLOOR($EQ27/2,1)</f>
        <v/>
      </c>
      <c r="ES27" s="141">
        <f>MAX(0,3-SUMPRODUCT($EA27:$EF27,$I$2:$N$2)+MIN(2,$EG27*1+$EH27*1,SUMPRODUCT($EA27:$EF27,$I$2:$N$2)))+$CV27*1</f>
        <v/>
      </c>
      <c r="ET27" s="141">
        <f>MAX(0,6-SUMPRODUCT($EA27:$EF27,$I$3:$N$3)+MIN(4,$EG27*1+$EH27*2,SUMPRODUCT($EA27:$EF27,$I$3:$N$3)))+$CV27*2</f>
        <v/>
      </c>
      <c r="EU27" s="141">
        <f>MAX(0,9-SUMPRODUCT($EA27:$EF27,$I$4:$N$4)+MIN(6,$EG27*2+$EH27*3,SUMPRODUCT($EA27:$EF27,$I$4:$N$4)))+$CV27*3</f>
        <v/>
      </c>
      <c r="EV27" s="141">
        <f>MAX(0,12-SUMPRODUCT($EA27:$EF27,$I$5:$N$5)+MIN(8,$EG27*2+$EH27*4,SUMPRODUCT($EA27:$EF27,$I$5:$N$5)))+$CV27*4</f>
        <v/>
      </c>
      <c r="EW27" s="141">
        <f>MAX(0,15-SUMPRODUCT($EA27:$EF27,$I$6:$N$6)+MIN(10,$EG27*3+$EH27*5,SUMPRODUCT($EA27:$EF27,$I$6:$N$6)))+$CV27*5</f>
        <v/>
      </c>
      <c r="EX27" s="141">
        <f>MAX(0,18-SUMPRODUCT($EA27:$EF27,$I$7:$N$7)+MIN(12,$EG27*3+$EH27*6,SUMPRODUCT($EA27:$EF27,$I$7:$N$7)))+$CV27*6</f>
        <v/>
      </c>
      <c r="EY27" s="141">
        <f>MAX(0,21-SUMPRODUCT($EA27:$EF27,$I$8:$N$8)+MIN(14,$EG27*4+$EH27*7,SUMPRODUCT($EA27:$EF27,$I$8:$N$8)))+$CV27*7</f>
        <v/>
      </c>
      <c r="EZ27" s="141">
        <f>IF($DU27=2,3*$ES27&amp;" de vida temp.",IF($DU27=3,"sem dano",IF($ES27=0,IF($DU27=1,"sem cura","sem dano"),IF($DU27=1,"cura ","")&amp;$ES27&amp;"d8")))</f>
        <v/>
      </c>
      <c r="FA27" s="141">
        <f>IF($DU27=2,3*$ET27&amp;" de vida temp.",IF($DU27=3,"sem dano",IF($ET27=0,IF($DU27=1,"sem cura","sem dano"),IF($DU27=1,"cura ","")&amp;$ET27&amp;"d8")))</f>
        <v/>
      </c>
      <c r="FB27" s="141">
        <f>IF($DU27=2,3*$EU27&amp;" de vida temp.",IF($DU27=3,"sem dano",IF($EU27=0,IF($DU27=1,"sem cura","sem dano"),IF($DU27=1,"cura ","")&amp;$EU27&amp;"d8")))</f>
        <v/>
      </c>
      <c r="FC27" s="141">
        <f>IF($DU27=2,3*$EV27&amp;" de vida temp.",IF($DU27=3,"sem dano",IF($EV27=0,IF($DU27=1,"sem cura","sem dano"),IF($DU27=1,"cura ","")&amp;$EV27&amp;"d8")))</f>
        <v/>
      </c>
      <c r="FD27" s="141">
        <f>IF($DU27=2,3*$EW27&amp;" de vida temp.",IF($DU27=3,"sem dano",IF($EW27=0,IF($DU27=1,"sem cura","sem dano"),IF($DU27=1,"cura ","")&amp;$EW27&amp;"d8")))</f>
        <v/>
      </c>
      <c r="FE27" s="141">
        <f>IF($DU27=2,3*$EX27&amp;" de vida temp.",IF($DU27=3,"sem dano",IF($EX27=0,IF($DU27=1,"sem cura","sem dano"),IF($DU27=1,"cura ","")&amp;$EX27&amp;"d8")))</f>
        <v/>
      </c>
      <c r="FF27" s="141">
        <f>IF($DU27=2,3*$EY27&amp;" de vida temp.",IF($DU27=3,"sem dano",IF($EY27=0,IF($DU27=1,"sem cura","sem dano"),IF($DU27=1,"cura ","")&amp;$EY27&amp;"d8")))</f>
        <v/>
      </c>
      <c r="FG27" s="141">
        <f>IF($DG27=0,"",TEXTJOIN(" · ",TRUE,IF(AND($CV27=1,$CW27&gt;$GF$9),"O nível "&amp;$GF$2&amp;" dá "&amp;$GF$9&amp;" Liberação Máxima",""),IF($CX27&gt;$GF$4,"Classe "&amp;$CX27&amp;": o nível "&amp;$GF$2&amp;" libera até a "&amp;$GF$4,""),IF($DN27=1,"Família Fechada: a Forma "&amp;$CZ27,""),IF($DO27=1,"Família Fechada: "&amp;$DA27,""),IF($DP27=1,"Família Fechada: "&amp;$DB27,""),IF($DQ27=1,"Família Fechada: "&amp;$DC27,""),IF($DR27=1,"Família Fechada: "&amp;$DD27,""),IF($EI27&gt;INDEX($O$2:$O$8,$CX27),$EI27&amp;" Melhorias: a Classe "&amp;$CX27&amp;" aceita "&amp;INDEX($O$2:$O$8,$CX27),""),IF($EJ27&gt;2,$EJ27&amp;" Restrições"&amp;IF($DT27=1,", contando a que a Forma "&amp;$CZ27&amp;" já traz","")&amp;": o limite é 2",""),IF($EP27&lt;0,"Orçamento estourado: faltam "&amp;(-$EP27)&amp;IF($EP27&lt;-1," pontos"," ponto"),""),IF(IFERROR(VLOOKUP($DE27,$BD$2:$BH$24,4,FALSE),0)+IFERROR(VLOOKUP($DF27,$BD$2:$BH$24,4,FALSE),0)&gt;1,$DY27&amp;" e "&amp;$DZ27&amp;" são as duas de frequência",""),IF(AND((COUNTIF($DA27:$DD27,"Rápido")+COUNTIF($DY27:$DZ27,"Rápido"))&gt;0,(COUNTIF($DA27:$DD27,"Reação")+COUNTIF($DY27:$DZ27,"Reação"))&gt;0),"Rápido não entra com Reação",""),IF(AND((COUNTIF($DA27:$DD27,"Rápido")+COUNTIF($DY27:$DZ27,"Rápido"))&gt;0,(COUNTIF($DA27:$DD27,"Atrasar")+COUNTIF($DY27:$DZ27,"Atrasar"))&gt;0),"Rápido não entra com Atrasar",""),IF(AND((COUNTIF($DA27:$DD27,"Reação")+COUNTIF($DY27:$DZ27,"Reação"))&gt;0,(COUNTIF($DA27:$DD27,"Atrasar")+COUNTIF($DY27:$DZ27,"Atrasar"))&gt;0),"Reação não entra com Atrasar",""),IF(AND((COUNTIF($DA27:$DD27,"Reação")+COUNTIF($DY27:$DZ27,"Reação"))&gt;0,(COUNTIF($DA27:$DD27,"Parado")+COUNTIF($DY27:$DZ27,"Parado"))&gt;0),"Reação não entra com Parado",""),IF(AND(COUNTIF($DY27:$DZ27,"Corpo a Corpo")&gt;0,$DT27=0,OR($CZ27="Cone",$CZ27="Linha")),"Corpo a Corpo não entra em "&amp;$CZ27,""),IF(AND(COUNTIF($DY27:$DZ27,"Corpo a Corpo")&gt;0,$DT27=1),"A Forma "&amp;$CZ27&amp;" já traz o Corpo a Corpo",""),IF(AND(COUNTIF($DY27:$DZ27,"Tudo ou Nada")&gt;0,$DV27=0),"Tudo ou Nada só entra em feitiço de Teste de Resistência",""),IF(AND(COUNTIF($DA27:$DD27,"Inescapável")&gt;0,OR($EI27&gt;1,$EJ27&gt;0)),"Inescapável não aceita outra peça",""),IF(AND($CV27=1,$CX27&lt;3),"Liberação Máxima é de Classe 3 ou mais",""),IF(AND($CV27=1,OR($DU27=1,$DU27=2)),"Liberação Máxima não serve para cura",""),IF(AND($CV27=1,COUNTIF($DA27:$DD27,"Inescapável")+COUNTIF($DA27:$DD27,"Toca a Alma")&gt;0),"Esta peça não entra numa Liberação Máxima",""),IF($EQ27+$ER27&gt;4*$CX27,($EQ27+$ER27)&amp;" dados somando alvos e repetições: o teto da Classe "&amp;$CX27&amp;" é "&amp;4*$CX27,"")))</f>
        <v/>
      </c>
      <c r="FH27" s="141">
        <f>IF($FG27="",0,(LEN($FG27)-LEN(SUBSTITUTE($FG27," · ","")))/3+1)</f>
        <v/>
      </c>
      <c r="FI27" s="141">
        <f>IF($DG27=0,"",TEXTJOIN(" · ",TRUE,IF($EL27&gt;2*$CX27,"A devolução parou no teto de "&amp;2*$CX27,""),IF($EO27&gt;0,"Devolução perdida: "&amp;$EO27&amp;IF($EO27&gt;1," pontos"," ponto")&amp;" sem peça para pagar",""),IF(AND($DS27&gt;0,$EQ27=0),"Controle sem dano: uma rodada a mais e CD +2",""),IF(AND($DS27&gt;0,$EQ27&gt;0,$EQ27&lt;=$CX27),"Controle com um quarto do teto: uma rodada a mais","")))</f>
        <v/>
      </c>
      <c r="FJ27" s="141">
        <f>IF($FI27="",0,(LEN($FI27)-LEN(SUBSTITUTE($FI27," · ","")))/3+1)</f>
        <v/>
      </c>
      <c r="FK27" s="141">
        <f>IF($DG27=0,IF($EI27+$EJ27-$DT27&gt;0,"Dê um nome",""),IF($FH27&gt;0,"⚠ "&amp;$FH27&amp;IF($FH27&gt;1," erros"," erro"),IF($FJ27&gt;0,"! "&amp;$FJ27&amp;IF($FJ27&gt;1," avisos"," aviso"),"Na regra")))</f>
        <v/>
      </c>
      <c r="FL27" s="141">
        <f>IF($DG27=0,"",IF($FH27+$FJ27=0,"Dentro das regras que a ficha confere",$FG27&amp;IF(AND($FH27&gt;0,$FJ27&gt;0)," · ","")&amp;$FI27))</f>
        <v/>
      </c>
      <c r="FM27" s="141">
        <f>IF($DG27=0,"",IF($CV27=1,CEILING(4.5*$CX27,1),3*$CX27)&amp;" PE")</f>
        <v/>
      </c>
      <c r="FN27" s="141">
        <f>IF($DG27=0,"",IF($CV27=1,"Rodada inteira",IF(COUNTIF($DY27:$DZ27,"Atrasar")&gt;0,IF(COUNTIF($DY27:$DZ27,"Carregar")&gt;0,"Rodada +1 turno","Rodada inteira"),IF(COUNTIF($DA27:$DD27,"Rápido")&gt;0,"Bônus",IF(COUNTIF($DA27:$DD27,"Reação")&gt;0,"Reação","Padrão"))&amp;IF(COUNTIF($DY27:$DZ27,"Carregar")&gt;0," +1 turno",""))))</f>
        <v/>
      </c>
      <c r="FO27" s="141">
        <f>IF(OR($DG27=0,$DH27=0),"",IF(COUNTIF($DA27:$DD27,"Inescapável")&gt;0,"Automático",IF(COUNTIF($DA27:$DD27,"Certeiro")&gt;0,"TR para metade",INDEX($X$2:$X$11,$DH27))))</f>
        <v/>
      </c>
      <c r="FP27" s="141">
        <f>IF(OR($DG27=0,$DH27=0),"",IF(OR($DU27&gt;=2,$EQ27=0),UPPER(LEFT(INDEX($EZ27:$FF27,1,$CX27),1))&amp;MID(INDEX($EZ27:$FF27,1,$CX27),2,99),UPPER(LEFT(INDEX($EZ27:$FF27,1,$CX27),1))&amp;MID(INDEX($EZ27:$FF27,1,$CX27),2,99)&amp;" = "&amp;FLOOR($EQ27*4.5,1)&amp;IF($ER27&gt;0," · +"&amp;$ER27&amp;"d8","")))</f>
        <v/>
      </c>
      <c r="FQ27" s="141">
        <f>COUNTIF($DA27:$DD27,"Longe")+3*COUNTIF($DA27:$DD27,"Muito Longe")</f>
        <v/>
      </c>
      <c r="FR27" s="141">
        <f>COUNTIF($DA27:$DD27,"Maior")+3*COUNTIF($DA27:$DD27,"Muito Maior")</f>
        <v/>
      </c>
      <c r="FS27" s="141">
        <f>IF($DH27=0,0,CHOOSE(1+INDEX($Z$2:$Z$11,$DH27),0,$FQ27,$FR27,$FQ27+$FR27))</f>
        <v/>
      </c>
      <c r="FT27" s="141">
        <f>IF($DH27=0,0,CHOOSE(1+INDEX($AA$2:$AA$11,$DH27),0,$FQ27,$FR27,$FQ27+$FR27))</f>
        <v/>
      </c>
      <c r="FU27" s="141">
        <f>IF(OR($DG27=0,$DH27=0),"",INDEX($AH$2:$AM$31,($DH27-1)*3+IF($CX27&gt;=6,3,2),1+MIN(5,$FS27))&amp;INDEX($AN$2:$AS$31,($DH27-1)*3+IF($CX27&gt;=6,3,2),1+MIN(5,$FT27))&amp;IF(INDEX($AB$2:$AB$11,$DH27)=1,IF(COUNTIF($DA27:$DD27,"Mais Um")&gt;0," · +"&amp;COUNTIF($DA27:$DD27,"Mais Um")&amp;IF(COUNTIF($DA27:$DD27,"Mais Um")&gt;1," alvos"," alvo"),"")&amp;IF(COUNTIF($DA27:$DD27,"Rajada")&gt;0," · "&amp;($CX27+1)&amp;" tiros",""),""))</f>
        <v/>
      </c>
      <c r="FV27" s="141">
        <f>IF($DG27=0,"",3*$CX27&amp;" − "&amp;$EK27&amp;" + "&amp;$EN27&amp;IF($CV27=1," + "&amp;$CX27,"")&amp;" = "&amp;$EQ27&amp;"d8 · teto "&amp;4*$CX27&amp;IF($DT27=1," · a Forma devolve "&amp;$CX27,"")&amp;IF($EO27&gt;0," · perde "&amp;$EO27,""))</f>
        <v/>
      </c>
      <c r="FW27" s="141">
        <f>IF($DG27=0,"",IF($CX27&gt;=$GF$4,"Já está na maior Classe que o nível liberou",TEXTJOIN(" · ",TRUE,IF(AND(2&gt;$CX27,2&lt;=$GF$4),"2 → "&amp;$FA27&amp;", "&amp;IF($CV27=1,9,6)&amp;" PE",""),IF(AND(3&gt;$CX27,3&lt;=$GF$4),"3 → "&amp;$FB27&amp;", "&amp;IF($CV27=1,14,9)&amp;" PE",""),IF(AND(4&gt;$CX27,4&lt;=$GF$4),"4 → "&amp;$FC27&amp;", "&amp;IF($CV27=1,18,12)&amp;" PE",""),IF(AND(5&gt;$CX27,5&lt;=$GF$4),"5 → "&amp;$FD27&amp;", "&amp;IF($CV27=1,23,15)&amp;" PE",""),IF(AND(6&gt;$CX27,6&lt;=$GF$4),"6 → "&amp;$FE27&amp;", "&amp;IF($CV27=1,27,18)&amp;" PE",""),IF(AND(7&gt;$CX27,7&lt;=$GF$4),"7 → "&amp;$FF27&amp;", "&amp;IF($CV27=1,32,21)&amp;" PE",""))))</f>
        <v/>
      </c>
      <c r="FX27" s="141">
        <f>IF(OR($DG27=0,$DJ27=0),"","−"&amp;INDEX($I$2:$N$8,$CX27,$DJ27)&amp;" · "&amp;CHOOSE($DJ27,"Leve","Média","Pesada","Leve · Livre","Média · Livre","Pesada · Livre"))</f>
        <v/>
      </c>
      <c r="FY27" s="141">
        <f>IF(OR($DG27=0,$DK27=0),"","−"&amp;INDEX($I$2:$N$8,$CX27,$DK27)&amp;" · "&amp;CHOOSE($DK27,"Leve","Média","Pesada","Leve · Livre","Média · Livre","Pesada · Livre"))</f>
        <v/>
      </c>
      <c r="FZ27" s="141">
        <f>IF(OR($DG27=0,$DL27=0),"","−"&amp;INDEX($I$2:$N$8,$CX27,$DL27)&amp;" · "&amp;CHOOSE($DL27,"Leve","Média","Pesada","Leve · Livre","Média · Livre","Pesada · Livre"))</f>
        <v/>
      </c>
      <c r="GA27" s="141">
        <f>IF(OR($DG27=0,$DM27=0),"","−"&amp;INDEX($I$2:$N$8,$CX27,$DM27)&amp;" · "&amp;CHOOSE($DM27,"Leve","Média","Pesada","Leve · Livre","Média · Livre","Pesada · Livre"))</f>
        <v/>
      </c>
      <c r="GB27" s="141">
        <f>IF(OR($DG27=0,$DE27=""),"","+"&amp;IF($DW27=1,CEILING($CX27/2,1),$CX27))</f>
        <v/>
      </c>
      <c r="GC27" s="141">
        <f>IF(OR($DG27=0,$DF27=""),"","+"&amp;IF($DX27=1,CEILING($CX27/2,1),$CX27))</f>
        <v/>
      </c>
      <c r="GE27" s="114" t="inlineStr">
        <is>
          <t>pactos permanentes</t>
        </is>
      </c>
      <c r="GF27" s="141">
        <f>IF('FICHA AMALDIÇOADA'!$L$509="Permanente",1,0)+IF('FICHA AMALDIÇOADA'!$L$519="Permanente",1,0)+IF('FICHA AMALDIÇOADA'!$L$529="Permanente",1,0)</f>
        <v/>
      </c>
      <c r="HJ27" s="114" t="inlineStr">
        <is>
          <t>D356</t>
        </is>
      </c>
      <c r="HK27" s="141">
        <f>"Completa"&amp;IF(OR(DADOS_AM!$GF$34="Completa",DADOS_AM!$GF$34="Sem Barreiras")," · a sua","")</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41" t="n">
        <v>1</v>
      </c>
      <c r="AX28" s="141">
        <f>$AW28+3*IFERROR(VLOOKUP($AV28,$A$2:$D$10,3,FALSE),0)</f>
        <v/>
      </c>
      <c r="AY28" s="141">
        <f>IFERROR(VLOOKUP($AV28,$A$2:$D$10,4,FALSE),0)</f>
        <v/>
      </c>
      <c r="AZ28" s="141" t="n">
        <v>1</v>
      </c>
      <c r="BA28" s="141">
        <f>IF($AY28=1,"",$AU28)</f>
        <v/>
      </c>
      <c r="BB28" s="141">
        <f>IF(AND($AW28=1,$AY28=0),$AU28,"")</f>
        <v/>
      </c>
      <c r="CU28" s="114" t="inlineStr">
        <is>
          <t>Feitiço 27</t>
        </is>
      </c>
      <c r="CV28" s="141" t="n">
        <v>0</v>
      </c>
      <c r="CW28" s="141" t="n">
        <v>27</v>
      </c>
      <c r="CX28" s="141">
        <f>MAX(1,MIN(7,N('FICHA AMALDIÇOADA'!$P$217)))</f>
        <v/>
      </c>
      <c r="CY28" s="141">
        <f>'FICHA AMALDIÇOADA'!$Q$217&amp;""</f>
        <v/>
      </c>
      <c r="CZ28" s="141">
        <f>'FICHA AMALDIÇOADA'!$P$224&amp;""</f>
        <v/>
      </c>
      <c r="DA28" s="141">
        <f>'FICHA AMALDIÇOADA'!$Q$226&amp;""</f>
        <v/>
      </c>
      <c r="DB28" s="141">
        <f>'FICHA AMALDIÇOADA'!$Q$227&amp;""</f>
        <v/>
      </c>
      <c r="DC28" s="141">
        <f>'FICHA AMALDIÇOADA'!$Q$228&amp;""</f>
        <v/>
      </c>
      <c r="DD28" s="141">
        <f>'FICHA AMALDIÇOADA'!$Q$229&amp;""</f>
        <v/>
      </c>
      <c r="DE28" s="141">
        <f>'FICHA AMALDIÇOADA'!$Q$230&amp;""</f>
        <v/>
      </c>
      <c r="DF28" s="141">
        <f>'FICHA AMALDIÇOADA'!$Q$231&amp;""</f>
        <v/>
      </c>
      <c r="DG28" s="141">
        <f>IF($CY28&lt;&gt;"",1,0)</f>
        <v/>
      </c>
      <c r="DH28" s="141">
        <f>IFERROR(MATCH($CZ28,$Q$2:$Q$11,0),0)</f>
        <v/>
      </c>
      <c r="DI28" s="141">
        <f>IF($DH28=0,0,INDEX($T$2:$T$11,$DH28))</f>
        <v/>
      </c>
      <c r="DJ28" s="141">
        <f>IFERROR(VLOOKUP($DA28,$AU$2:$BB$84,4,FALSE),0)</f>
        <v/>
      </c>
      <c r="DK28" s="141">
        <f>IFERROR(VLOOKUP($DB28,$AU$2:$BB$84,4,FALSE),0)</f>
        <v/>
      </c>
      <c r="DL28" s="141">
        <f>IFERROR(VLOOKUP($DC28,$AU$2:$BB$84,4,FALSE),0)</f>
        <v/>
      </c>
      <c r="DM28" s="141">
        <f>IFERROR(VLOOKUP($DD28,$AU$2:$BB$84,4,FALSE),0)</f>
        <v/>
      </c>
      <c r="DN28" s="141">
        <f>IF($DH28=0,0,INDEX($U$2:$U$11,$DH28))</f>
        <v/>
      </c>
      <c r="DO28" s="141">
        <f>IFERROR(VLOOKUP($DA28,$AU$2:$BB$84,5,FALSE),0)</f>
        <v/>
      </c>
      <c r="DP28" s="141">
        <f>IFERROR(VLOOKUP($DB28,$AU$2:$BB$84,5,FALSE),0)</f>
        <v/>
      </c>
      <c r="DQ28" s="141">
        <f>IFERROR(VLOOKUP($DC28,$AU$2:$BB$84,5,FALSE),0)</f>
        <v/>
      </c>
      <c r="DR28" s="141">
        <f>IFERROR(VLOOKUP($DD28,$AU$2:$BB$84,5,FALSE),0)</f>
        <v/>
      </c>
      <c r="DS28" s="141">
        <f>IFERROR(VLOOKUP($DA28,$AU$2:$BB$84,6,FALSE),0)+IFERROR(VLOOKUP($DB28,$AU$2:$BB$84,6,FALSE),0)+IFERROR(VLOOKUP($DC28,$AU$2:$BB$84,6,FALSE),0)+IFERROR(VLOOKUP($DD28,$AU$2:$BB$84,6,FALSE),0)</f>
        <v/>
      </c>
      <c r="DT28" s="141">
        <f>IF($DH28=0,0,INDEX($V$2:$V$11,$DH28))</f>
        <v/>
      </c>
      <c r="DU28" s="141">
        <f>IF($DH28=0,0,INDEX($W$2:$W$11,$DH28))</f>
        <v/>
      </c>
      <c r="DV28" s="141">
        <f>IF($DH28=0,0,INDEX($Y$2:$Y$11,$DH28))</f>
        <v/>
      </c>
      <c r="DW28" s="141">
        <f>IFERROR(VLOOKUP($DE28,$BD$2:$BH$24,3,FALSE),0)</f>
        <v/>
      </c>
      <c r="DX28" s="141">
        <f>IFERROR(VLOOKUP($DF28,$BD$2:$BH$24,3,FALSE),0)</f>
        <v/>
      </c>
      <c r="DY28" s="141">
        <f>IFERROR(VLOOKUP($DE28,$BD$2:$BH$24,2,FALSE),"")</f>
        <v/>
      </c>
      <c r="DZ28" s="141">
        <f>IFERROR(VLOOKUP($DF28,$BD$2:$BH$24,2,FALSE),"")</f>
        <v/>
      </c>
      <c r="EA28" s="141">
        <f>COUNTIF($DI28:$DM28,1)</f>
        <v/>
      </c>
      <c r="EB28" s="141">
        <f>COUNTIF($DI28:$DM28,2)</f>
        <v/>
      </c>
      <c r="EC28" s="141">
        <f>COUNTIF($DI28:$DM28,3)</f>
        <v/>
      </c>
      <c r="ED28" s="141">
        <f>COUNTIF($DI28:$DM28,4)</f>
        <v/>
      </c>
      <c r="EE28" s="141">
        <f>COUNTIF($DI28:$DM28,5)</f>
        <v/>
      </c>
      <c r="EF28" s="141">
        <f>COUNTIF($DI28:$DM28,6)</f>
        <v/>
      </c>
      <c r="EG28" s="141">
        <f>COUNTIF($DW28:$DX28,1)</f>
        <v/>
      </c>
      <c r="EH28" s="141">
        <f>COUNTIF($DW28:$DX28,2)+$DT28</f>
        <v/>
      </c>
      <c r="EI28" s="141">
        <f>COUNTIF($DA28:$DD28,"?*")</f>
        <v/>
      </c>
      <c r="EJ28" s="141">
        <f>COUNTIF($DE28:$DF28,"?*")+$DT28</f>
        <v/>
      </c>
      <c r="EK28" s="141">
        <f>SUMPRODUCT($EA28:$EF28,INDEX($I$2:$N$8,$CX28,0))</f>
        <v/>
      </c>
      <c r="EL28" s="141">
        <f>$EG28*CEILING($CX28/2,1)+$EH28*$CX28</f>
        <v/>
      </c>
      <c r="EM28" s="141">
        <f>MIN(2*$CX28,$EL28)</f>
        <v/>
      </c>
      <c r="EN28" s="141">
        <f>MIN($EM28,$EK28)</f>
        <v/>
      </c>
      <c r="EO28" s="141">
        <f>$EM28-$EN28</f>
        <v/>
      </c>
      <c r="EP28" s="141">
        <f>3*$CX28-$EK28+$EN28</f>
        <v/>
      </c>
      <c r="EQ28" s="141">
        <f>MAX(0,$EP28)+$CV28*$CX28</f>
        <v/>
      </c>
      <c r="ER28" s="141">
        <f>(IF(COUNTIF($DA28:$DD28,"Salto")&gt;0,1,0)+IF(COUNTIF($DA28:$DD28,"Queima")&gt;0,1,0))*FLOOR($EQ28/2,1)</f>
        <v/>
      </c>
      <c r="ES28" s="141">
        <f>MAX(0,3-SUMPRODUCT($EA28:$EF28,$I$2:$N$2)+MIN(2,$EG28*1+$EH28*1,SUMPRODUCT($EA28:$EF28,$I$2:$N$2)))+$CV28*1</f>
        <v/>
      </c>
      <c r="ET28" s="141">
        <f>MAX(0,6-SUMPRODUCT($EA28:$EF28,$I$3:$N$3)+MIN(4,$EG28*1+$EH28*2,SUMPRODUCT($EA28:$EF28,$I$3:$N$3)))+$CV28*2</f>
        <v/>
      </c>
      <c r="EU28" s="141">
        <f>MAX(0,9-SUMPRODUCT($EA28:$EF28,$I$4:$N$4)+MIN(6,$EG28*2+$EH28*3,SUMPRODUCT($EA28:$EF28,$I$4:$N$4)))+$CV28*3</f>
        <v/>
      </c>
      <c r="EV28" s="141">
        <f>MAX(0,12-SUMPRODUCT($EA28:$EF28,$I$5:$N$5)+MIN(8,$EG28*2+$EH28*4,SUMPRODUCT($EA28:$EF28,$I$5:$N$5)))+$CV28*4</f>
        <v/>
      </c>
      <c r="EW28" s="141">
        <f>MAX(0,15-SUMPRODUCT($EA28:$EF28,$I$6:$N$6)+MIN(10,$EG28*3+$EH28*5,SUMPRODUCT($EA28:$EF28,$I$6:$N$6)))+$CV28*5</f>
        <v/>
      </c>
      <c r="EX28" s="141">
        <f>MAX(0,18-SUMPRODUCT($EA28:$EF28,$I$7:$N$7)+MIN(12,$EG28*3+$EH28*6,SUMPRODUCT($EA28:$EF28,$I$7:$N$7)))+$CV28*6</f>
        <v/>
      </c>
      <c r="EY28" s="141">
        <f>MAX(0,21-SUMPRODUCT($EA28:$EF28,$I$8:$N$8)+MIN(14,$EG28*4+$EH28*7,SUMPRODUCT($EA28:$EF28,$I$8:$N$8)))+$CV28*7</f>
        <v/>
      </c>
      <c r="EZ28" s="141">
        <f>IF($DU28=2,3*$ES28&amp;" de vida temp.",IF($DU28=3,"sem dano",IF($ES28=0,IF($DU28=1,"sem cura","sem dano"),IF($DU28=1,"cura ","")&amp;$ES28&amp;"d8")))</f>
        <v/>
      </c>
      <c r="FA28" s="141">
        <f>IF($DU28=2,3*$ET28&amp;" de vida temp.",IF($DU28=3,"sem dano",IF($ET28=0,IF($DU28=1,"sem cura","sem dano"),IF($DU28=1,"cura ","")&amp;$ET28&amp;"d8")))</f>
        <v/>
      </c>
      <c r="FB28" s="141">
        <f>IF($DU28=2,3*$EU28&amp;" de vida temp.",IF($DU28=3,"sem dano",IF($EU28=0,IF($DU28=1,"sem cura","sem dano"),IF($DU28=1,"cura ","")&amp;$EU28&amp;"d8")))</f>
        <v/>
      </c>
      <c r="FC28" s="141">
        <f>IF($DU28=2,3*$EV28&amp;" de vida temp.",IF($DU28=3,"sem dano",IF($EV28=0,IF($DU28=1,"sem cura","sem dano"),IF($DU28=1,"cura ","")&amp;$EV28&amp;"d8")))</f>
        <v/>
      </c>
      <c r="FD28" s="141">
        <f>IF($DU28=2,3*$EW28&amp;" de vida temp.",IF($DU28=3,"sem dano",IF($EW28=0,IF($DU28=1,"sem cura","sem dano"),IF($DU28=1,"cura ","")&amp;$EW28&amp;"d8")))</f>
        <v/>
      </c>
      <c r="FE28" s="141">
        <f>IF($DU28=2,3*$EX28&amp;" de vida temp.",IF($DU28=3,"sem dano",IF($EX28=0,IF($DU28=1,"sem cura","sem dano"),IF($DU28=1,"cura ","")&amp;$EX28&amp;"d8")))</f>
        <v/>
      </c>
      <c r="FF28" s="141">
        <f>IF($DU28=2,3*$EY28&amp;" de vida temp.",IF($DU28=3,"sem dano",IF($EY28=0,IF($DU28=1,"sem cura","sem dano"),IF($DU28=1,"cura ","")&amp;$EY28&amp;"d8")))</f>
        <v/>
      </c>
      <c r="FG28" s="141">
        <f>IF($DG28=0,"",TEXTJOIN(" · ",TRUE,IF(AND($CV28=1,$CW28&gt;$GF$9),"O nível "&amp;$GF$2&amp;" dá "&amp;$GF$9&amp;" Liberação Máxima",""),IF($CX28&gt;$GF$4,"Classe "&amp;$CX28&amp;": o nível "&amp;$GF$2&amp;" libera até a "&amp;$GF$4,""),IF($DN28=1,"Família Fechada: a Forma "&amp;$CZ28,""),IF($DO28=1,"Família Fechada: "&amp;$DA28,""),IF($DP28=1,"Família Fechada: "&amp;$DB28,""),IF($DQ28=1,"Família Fechada: "&amp;$DC28,""),IF($DR28=1,"Família Fechada: "&amp;$DD28,""),IF($EI28&gt;INDEX($O$2:$O$8,$CX28),$EI28&amp;" Melhorias: a Classe "&amp;$CX28&amp;" aceita "&amp;INDEX($O$2:$O$8,$CX28),""),IF($EJ28&gt;2,$EJ28&amp;" Restrições"&amp;IF($DT28=1,", contando a que a Forma "&amp;$CZ28&amp;" já traz","")&amp;": o limite é 2",""),IF($EP28&lt;0,"Orçamento estourado: faltam "&amp;(-$EP28)&amp;IF($EP28&lt;-1," pontos"," ponto"),""),IF(IFERROR(VLOOKUP($DE28,$BD$2:$BH$24,4,FALSE),0)+IFERROR(VLOOKUP($DF28,$BD$2:$BH$24,4,FALSE),0)&gt;1,$DY28&amp;" e "&amp;$DZ28&amp;" são as duas de frequência",""),IF(AND((COUNTIF($DA28:$DD28,"Rápido")+COUNTIF($DY28:$DZ28,"Rápido"))&gt;0,(COUNTIF($DA28:$DD28,"Reação")+COUNTIF($DY28:$DZ28,"Reação"))&gt;0),"Rápido não entra com Reação",""),IF(AND((COUNTIF($DA28:$DD28,"Rápido")+COUNTIF($DY28:$DZ28,"Rápido"))&gt;0,(COUNTIF($DA28:$DD28,"Atrasar")+COUNTIF($DY28:$DZ28,"Atrasar"))&gt;0),"Rápido não entra com Atrasar",""),IF(AND((COUNTIF($DA28:$DD28,"Reação")+COUNTIF($DY28:$DZ28,"Reação"))&gt;0,(COUNTIF($DA28:$DD28,"Atrasar")+COUNTIF($DY28:$DZ28,"Atrasar"))&gt;0),"Reação não entra com Atrasar",""),IF(AND((COUNTIF($DA28:$DD28,"Reação")+COUNTIF($DY28:$DZ28,"Reação"))&gt;0,(COUNTIF($DA28:$DD28,"Parado")+COUNTIF($DY28:$DZ28,"Parado"))&gt;0),"Reação não entra com Parado",""),IF(AND(COUNTIF($DY28:$DZ28,"Corpo a Corpo")&gt;0,$DT28=0,OR($CZ28="Cone",$CZ28="Linha")),"Corpo a Corpo não entra em "&amp;$CZ28,""),IF(AND(COUNTIF($DY28:$DZ28,"Corpo a Corpo")&gt;0,$DT28=1),"A Forma "&amp;$CZ28&amp;" já traz o Corpo a Corpo",""),IF(AND(COUNTIF($DY28:$DZ28,"Tudo ou Nada")&gt;0,$DV28=0),"Tudo ou Nada só entra em feitiço de Teste de Resistência",""),IF(AND(COUNTIF($DA28:$DD28,"Inescapável")&gt;0,OR($EI28&gt;1,$EJ28&gt;0)),"Inescapável não aceita outra peça",""),IF(AND($CV28=1,$CX28&lt;3),"Liberação Máxima é de Classe 3 ou mais",""),IF(AND($CV28=1,OR($DU28=1,$DU28=2)),"Liberação Máxima não serve para cura",""),IF(AND($CV28=1,COUNTIF($DA28:$DD28,"Inescapável")+COUNTIF($DA28:$DD28,"Toca a Alma")&gt;0),"Esta peça não entra numa Liberação Máxima",""),IF($EQ28+$ER28&gt;4*$CX28,($EQ28+$ER28)&amp;" dados somando alvos e repetições: o teto da Classe "&amp;$CX28&amp;" é "&amp;4*$CX28,"")))</f>
        <v/>
      </c>
      <c r="FH28" s="141">
        <f>IF($FG28="",0,(LEN($FG28)-LEN(SUBSTITUTE($FG28," · ","")))/3+1)</f>
        <v/>
      </c>
      <c r="FI28" s="141">
        <f>IF($DG28=0,"",TEXTJOIN(" · ",TRUE,IF($EL28&gt;2*$CX28,"A devolução parou no teto de "&amp;2*$CX28,""),IF($EO28&gt;0,"Devolução perdida: "&amp;$EO28&amp;IF($EO28&gt;1," pontos"," ponto")&amp;" sem peça para pagar",""),IF(AND($DS28&gt;0,$EQ28=0),"Controle sem dano: uma rodada a mais e CD +2",""),IF(AND($DS28&gt;0,$EQ28&gt;0,$EQ28&lt;=$CX28),"Controle com um quarto do teto: uma rodada a mais","")))</f>
        <v/>
      </c>
      <c r="FJ28" s="141">
        <f>IF($FI28="",0,(LEN($FI28)-LEN(SUBSTITUTE($FI28," · ","")))/3+1)</f>
        <v/>
      </c>
      <c r="FK28" s="141">
        <f>IF($DG28=0,IF($EI28+$EJ28-$DT28&gt;0,"Dê um nome",""),IF($FH28&gt;0,"⚠ "&amp;$FH28&amp;IF($FH28&gt;1," erros"," erro"),IF($FJ28&gt;0,"! "&amp;$FJ28&amp;IF($FJ28&gt;1," avisos"," aviso"),"Na regra")))</f>
        <v/>
      </c>
      <c r="FL28" s="141">
        <f>IF($DG28=0,"",IF($FH28+$FJ28=0,"Dentro das regras que a ficha confere",$FG28&amp;IF(AND($FH28&gt;0,$FJ28&gt;0)," · ","")&amp;$FI28))</f>
        <v/>
      </c>
      <c r="FM28" s="141">
        <f>IF($DG28=0,"",IF($CV28=1,CEILING(4.5*$CX28,1),3*$CX28)&amp;" PE")</f>
        <v/>
      </c>
      <c r="FN28" s="141">
        <f>IF($DG28=0,"",IF($CV28=1,"Rodada inteira",IF(COUNTIF($DY28:$DZ28,"Atrasar")&gt;0,IF(COUNTIF($DY28:$DZ28,"Carregar")&gt;0,"Rodada +1 turno","Rodada inteira"),IF(COUNTIF($DA28:$DD28,"Rápido")&gt;0,"Bônus",IF(COUNTIF($DA28:$DD28,"Reação")&gt;0,"Reação","Padrão"))&amp;IF(COUNTIF($DY28:$DZ28,"Carregar")&gt;0," +1 turno",""))))</f>
        <v/>
      </c>
      <c r="FO28" s="141">
        <f>IF(OR($DG28=0,$DH28=0),"",IF(COUNTIF($DA28:$DD28,"Inescapável")&gt;0,"Automático",IF(COUNTIF($DA28:$DD28,"Certeiro")&gt;0,"TR para metade",INDEX($X$2:$X$11,$DH28))))</f>
        <v/>
      </c>
      <c r="FP28" s="141">
        <f>IF(OR($DG28=0,$DH28=0),"",IF(OR($DU28&gt;=2,$EQ28=0),UPPER(LEFT(INDEX($EZ28:$FF28,1,$CX28),1))&amp;MID(INDEX($EZ28:$FF28,1,$CX28),2,99),UPPER(LEFT(INDEX($EZ28:$FF28,1,$CX28),1))&amp;MID(INDEX($EZ28:$FF28,1,$CX28),2,99)&amp;" = "&amp;FLOOR($EQ28*4.5,1)&amp;IF($ER28&gt;0," · +"&amp;$ER28&amp;"d8","")))</f>
        <v/>
      </c>
      <c r="FQ28" s="141">
        <f>COUNTIF($DA28:$DD28,"Longe")+3*COUNTIF($DA28:$DD28,"Muito Longe")</f>
        <v/>
      </c>
      <c r="FR28" s="141">
        <f>COUNTIF($DA28:$DD28,"Maior")+3*COUNTIF($DA28:$DD28,"Muito Maior")</f>
        <v/>
      </c>
      <c r="FS28" s="141">
        <f>IF($DH28=0,0,CHOOSE(1+INDEX($Z$2:$Z$11,$DH28),0,$FQ28,$FR28,$FQ28+$FR28))</f>
        <v/>
      </c>
      <c r="FT28" s="141">
        <f>IF($DH28=0,0,CHOOSE(1+INDEX($AA$2:$AA$11,$DH28),0,$FQ28,$FR28,$FQ28+$FR28))</f>
        <v/>
      </c>
      <c r="FU28" s="141">
        <f>IF(OR($DG28=0,$DH28=0),"",INDEX($AH$2:$AM$31,($DH28-1)*3+IF($CX28&gt;=6,3,2),1+MIN(5,$FS28))&amp;INDEX($AN$2:$AS$31,($DH28-1)*3+IF($CX28&gt;=6,3,2),1+MIN(5,$FT28))&amp;IF(INDEX($AB$2:$AB$11,$DH28)=1,IF(COUNTIF($DA28:$DD28,"Mais Um")&gt;0," · +"&amp;COUNTIF($DA28:$DD28,"Mais Um")&amp;IF(COUNTIF($DA28:$DD28,"Mais Um")&gt;1," alvos"," alvo"),"")&amp;IF(COUNTIF($DA28:$DD28,"Rajada")&gt;0," · "&amp;($CX28+1)&amp;" tiros",""),""))</f>
        <v/>
      </c>
      <c r="FV28" s="141">
        <f>IF($DG28=0,"",3*$CX28&amp;" − "&amp;$EK28&amp;" + "&amp;$EN28&amp;IF($CV28=1," + "&amp;$CX28,"")&amp;" = "&amp;$EQ28&amp;"d8 · teto "&amp;4*$CX28&amp;IF($DT28=1," · a Forma devolve "&amp;$CX28,"")&amp;IF($EO28&gt;0," · perde "&amp;$EO28,""))</f>
        <v/>
      </c>
      <c r="FW28" s="141">
        <f>IF($DG28=0,"",IF($CX28&gt;=$GF$4,"Já está na maior Classe que o nível liberou",TEXTJOIN(" · ",TRUE,IF(AND(2&gt;$CX28,2&lt;=$GF$4),"2 → "&amp;$FA28&amp;", "&amp;IF($CV28=1,9,6)&amp;" PE",""),IF(AND(3&gt;$CX28,3&lt;=$GF$4),"3 → "&amp;$FB28&amp;", "&amp;IF($CV28=1,14,9)&amp;" PE",""),IF(AND(4&gt;$CX28,4&lt;=$GF$4),"4 → "&amp;$FC28&amp;", "&amp;IF($CV28=1,18,12)&amp;" PE",""),IF(AND(5&gt;$CX28,5&lt;=$GF$4),"5 → "&amp;$FD28&amp;", "&amp;IF($CV28=1,23,15)&amp;" PE",""),IF(AND(6&gt;$CX28,6&lt;=$GF$4),"6 → "&amp;$FE28&amp;", "&amp;IF($CV28=1,27,18)&amp;" PE",""),IF(AND(7&gt;$CX28,7&lt;=$GF$4),"7 → "&amp;$FF28&amp;", "&amp;IF($CV28=1,32,21)&amp;" PE",""))))</f>
        <v/>
      </c>
      <c r="FX28" s="141">
        <f>IF(OR($DG28=0,$DJ28=0),"","−"&amp;INDEX($I$2:$N$8,$CX28,$DJ28)&amp;" · "&amp;CHOOSE($DJ28,"Leve","Média","Pesada","Leve · Livre","Média · Livre","Pesada · Livre"))</f>
        <v/>
      </c>
      <c r="FY28" s="141">
        <f>IF(OR($DG28=0,$DK28=0),"","−"&amp;INDEX($I$2:$N$8,$CX28,$DK28)&amp;" · "&amp;CHOOSE($DK28,"Leve","Média","Pesada","Leve · Livre","Média · Livre","Pesada · Livre"))</f>
        <v/>
      </c>
      <c r="FZ28" s="141">
        <f>IF(OR($DG28=0,$DL28=0),"","−"&amp;INDEX($I$2:$N$8,$CX28,$DL28)&amp;" · "&amp;CHOOSE($DL28,"Leve","Média","Pesada","Leve · Livre","Média · Livre","Pesada · Livre"))</f>
        <v/>
      </c>
      <c r="GA28" s="141">
        <f>IF(OR($DG28=0,$DM28=0),"","−"&amp;INDEX($I$2:$N$8,$CX28,$DM28)&amp;" · "&amp;CHOOSE($DM28,"Leve","Média","Pesada","Leve · Livre","Média · Livre","Pesada · Livre"))</f>
        <v/>
      </c>
      <c r="GB28" s="141">
        <f>IF(OR($DG28=0,$DE28=""),"","+"&amp;IF($DW28=1,CEILING($CX28/2,1),$CX28))</f>
        <v/>
      </c>
      <c r="GC28" s="141">
        <f>IF(OR($DG28=0,$DF28=""),"","+"&amp;IF($DX28=1,CEILING($CX28/2,1),$CX28))</f>
        <v/>
      </c>
      <c r="GE28" s="114" t="inlineStr">
        <is>
          <t>teto de pactos</t>
        </is>
      </c>
      <c r="GF28" s="141">
        <f>FLOOR($GF$7/2,1)</f>
        <v/>
      </c>
      <c r="HJ28" s="114" t="inlineStr">
        <is>
          <t>F356</t>
        </is>
      </c>
      <c r="HK28" s="141">
        <f>6*DADOS_AM!$GF$4</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41" t="n">
        <v>2</v>
      </c>
      <c r="AX29" s="141">
        <f>$AW29+3*IFERROR(VLOOKUP($AV29,$A$2:$D$10,3,FALSE),0)</f>
        <v/>
      </c>
      <c r="AY29" s="141">
        <f>IFERROR(VLOOKUP($AV29,$A$2:$D$10,4,FALSE),0)</f>
        <v/>
      </c>
      <c r="AZ29" s="141" t="n">
        <v>1</v>
      </c>
      <c r="BA29" s="141">
        <f>IF($AY29=1,"",$AU29)</f>
        <v/>
      </c>
      <c r="BB29" s="141">
        <f>IF(AND($AW29=1,$AY29=0),$AU29,"")</f>
        <v/>
      </c>
      <c r="CU29" s="114" t="inlineStr">
        <is>
          <t>Feitiço 28</t>
        </is>
      </c>
      <c r="CV29" s="141" t="n">
        <v>0</v>
      </c>
      <c r="CW29" s="141" t="n">
        <v>28</v>
      </c>
      <c r="CX29" s="141">
        <f>MAX(1,MIN(7,N('FICHA AMALDIÇOADA'!$D$238)))</f>
        <v/>
      </c>
      <c r="CY29" s="141">
        <f>'FICHA AMALDIÇOADA'!$E$238&amp;""</f>
        <v/>
      </c>
      <c r="CZ29" s="141">
        <f>'FICHA AMALDIÇOADA'!$D$245&amp;""</f>
        <v/>
      </c>
      <c r="DA29" s="141">
        <f>'FICHA AMALDIÇOADA'!$E$247&amp;""</f>
        <v/>
      </c>
      <c r="DB29" s="141">
        <f>'FICHA AMALDIÇOADA'!$E$248&amp;""</f>
        <v/>
      </c>
      <c r="DC29" s="141">
        <f>'FICHA AMALDIÇOADA'!$E$249&amp;""</f>
        <v/>
      </c>
      <c r="DD29" s="141">
        <f>'FICHA AMALDIÇOADA'!$E$250&amp;""</f>
        <v/>
      </c>
      <c r="DE29" s="141">
        <f>'FICHA AMALDIÇOADA'!$E$251&amp;""</f>
        <v/>
      </c>
      <c r="DF29" s="141">
        <f>'FICHA AMALDIÇOADA'!$E$252&amp;""</f>
        <v/>
      </c>
      <c r="DG29" s="141">
        <f>IF($CY29&lt;&gt;"",1,0)</f>
        <v/>
      </c>
      <c r="DH29" s="141">
        <f>IFERROR(MATCH($CZ29,$Q$2:$Q$11,0),0)</f>
        <v/>
      </c>
      <c r="DI29" s="141">
        <f>IF($DH29=0,0,INDEX($T$2:$T$11,$DH29))</f>
        <v/>
      </c>
      <c r="DJ29" s="141">
        <f>IFERROR(VLOOKUP($DA29,$AU$2:$BB$84,4,FALSE),0)</f>
        <v/>
      </c>
      <c r="DK29" s="141">
        <f>IFERROR(VLOOKUP($DB29,$AU$2:$BB$84,4,FALSE),0)</f>
        <v/>
      </c>
      <c r="DL29" s="141">
        <f>IFERROR(VLOOKUP($DC29,$AU$2:$BB$84,4,FALSE),0)</f>
        <v/>
      </c>
      <c r="DM29" s="141">
        <f>IFERROR(VLOOKUP($DD29,$AU$2:$BB$84,4,FALSE),0)</f>
        <v/>
      </c>
      <c r="DN29" s="141">
        <f>IF($DH29=0,0,INDEX($U$2:$U$11,$DH29))</f>
        <v/>
      </c>
      <c r="DO29" s="141">
        <f>IFERROR(VLOOKUP($DA29,$AU$2:$BB$84,5,FALSE),0)</f>
        <v/>
      </c>
      <c r="DP29" s="141">
        <f>IFERROR(VLOOKUP($DB29,$AU$2:$BB$84,5,FALSE),0)</f>
        <v/>
      </c>
      <c r="DQ29" s="141">
        <f>IFERROR(VLOOKUP($DC29,$AU$2:$BB$84,5,FALSE),0)</f>
        <v/>
      </c>
      <c r="DR29" s="141">
        <f>IFERROR(VLOOKUP($DD29,$AU$2:$BB$84,5,FALSE),0)</f>
        <v/>
      </c>
      <c r="DS29" s="141">
        <f>IFERROR(VLOOKUP($DA29,$AU$2:$BB$84,6,FALSE),0)+IFERROR(VLOOKUP($DB29,$AU$2:$BB$84,6,FALSE),0)+IFERROR(VLOOKUP($DC29,$AU$2:$BB$84,6,FALSE),0)+IFERROR(VLOOKUP($DD29,$AU$2:$BB$84,6,FALSE),0)</f>
        <v/>
      </c>
      <c r="DT29" s="141">
        <f>IF($DH29=0,0,INDEX($V$2:$V$11,$DH29))</f>
        <v/>
      </c>
      <c r="DU29" s="141">
        <f>IF($DH29=0,0,INDEX($W$2:$W$11,$DH29))</f>
        <v/>
      </c>
      <c r="DV29" s="141">
        <f>IF($DH29=0,0,INDEX($Y$2:$Y$11,$DH29))</f>
        <v/>
      </c>
      <c r="DW29" s="141">
        <f>IFERROR(VLOOKUP($DE29,$BD$2:$BH$24,3,FALSE),0)</f>
        <v/>
      </c>
      <c r="DX29" s="141">
        <f>IFERROR(VLOOKUP($DF29,$BD$2:$BH$24,3,FALSE),0)</f>
        <v/>
      </c>
      <c r="DY29" s="141">
        <f>IFERROR(VLOOKUP($DE29,$BD$2:$BH$24,2,FALSE),"")</f>
        <v/>
      </c>
      <c r="DZ29" s="141">
        <f>IFERROR(VLOOKUP($DF29,$BD$2:$BH$24,2,FALSE),"")</f>
        <v/>
      </c>
      <c r="EA29" s="141">
        <f>COUNTIF($DI29:$DM29,1)</f>
        <v/>
      </c>
      <c r="EB29" s="141">
        <f>COUNTIF($DI29:$DM29,2)</f>
        <v/>
      </c>
      <c r="EC29" s="141">
        <f>COUNTIF($DI29:$DM29,3)</f>
        <v/>
      </c>
      <c r="ED29" s="141">
        <f>COUNTIF($DI29:$DM29,4)</f>
        <v/>
      </c>
      <c r="EE29" s="141">
        <f>COUNTIF($DI29:$DM29,5)</f>
        <v/>
      </c>
      <c r="EF29" s="141">
        <f>COUNTIF($DI29:$DM29,6)</f>
        <v/>
      </c>
      <c r="EG29" s="141">
        <f>COUNTIF($DW29:$DX29,1)</f>
        <v/>
      </c>
      <c r="EH29" s="141">
        <f>COUNTIF($DW29:$DX29,2)+$DT29</f>
        <v/>
      </c>
      <c r="EI29" s="141">
        <f>COUNTIF($DA29:$DD29,"?*")</f>
        <v/>
      </c>
      <c r="EJ29" s="141">
        <f>COUNTIF($DE29:$DF29,"?*")+$DT29</f>
        <v/>
      </c>
      <c r="EK29" s="141">
        <f>SUMPRODUCT($EA29:$EF29,INDEX($I$2:$N$8,$CX29,0))</f>
        <v/>
      </c>
      <c r="EL29" s="141">
        <f>$EG29*CEILING($CX29/2,1)+$EH29*$CX29</f>
        <v/>
      </c>
      <c r="EM29" s="141">
        <f>MIN(2*$CX29,$EL29)</f>
        <v/>
      </c>
      <c r="EN29" s="141">
        <f>MIN($EM29,$EK29)</f>
        <v/>
      </c>
      <c r="EO29" s="141">
        <f>$EM29-$EN29</f>
        <v/>
      </c>
      <c r="EP29" s="141">
        <f>3*$CX29-$EK29+$EN29</f>
        <v/>
      </c>
      <c r="EQ29" s="141">
        <f>MAX(0,$EP29)+$CV29*$CX29</f>
        <v/>
      </c>
      <c r="ER29" s="141">
        <f>(IF(COUNTIF($DA29:$DD29,"Salto")&gt;0,1,0)+IF(COUNTIF($DA29:$DD29,"Queima")&gt;0,1,0))*FLOOR($EQ29/2,1)</f>
        <v/>
      </c>
      <c r="ES29" s="141">
        <f>MAX(0,3-SUMPRODUCT($EA29:$EF29,$I$2:$N$2)+MIN(2,$EG29*1+$EH29*1,SUMPRODUCT($EA29:$EF29,$I$2:$N$2)))+$CV29*1</f>
        <v/>
      </c>
      <c r="ET29" s="141">
        <f>MAX(0,6-SUMPRODUCT($EA29:$EF29,$I$3:$N$3)+MIN(4,$EG29*1+$EH29*2,SUMPRODUCT($EA29:$EF29,$I$3:$N$3)))+$CV29*2</f>
        <v/>
      </c>
      <c r="EU29" s="141">
        <f>MAX(0,9-SUMPRODUCT($EA29:$EF29,$I$4:$N$4)+MIN(6,$EG29*2+$EH29*3,SUMPRODUCT($EA29:$EF29,$I$4:$N$4)))+$CV29*3</f>
        <v/>
      </c>
      <c r="EV29" s="141">
        <f>MAX(0,12-SUMPRODUCT($EA29:$EF29,$I$5:$N$5)+MIN(8,$EG29*2+$EH29*4,SUMPRODUCT($EA29:$EF29,$I$5:$N$5)))+$CV29*4</f>
        <v/>
      </c>
      <c r="EW29" s="141">
        <f>MAX(0,15-SUMPRODUCT($EA29:$EF29,$I$6:$N$6)+MIN(10,$EG29*3+$EH29*5,SUMPRODUCT($EA29:$EF29,$I$6:$N$6)))+$CV29*5</f>
        <v/>
      </c>
      <c r="EX29" s="141">
        <f>MAX(0,18-SUMPRODUCT($EA29:$EF29,$I$7:$N$7)+MIN(12,$EG29*3+$EH29*6,SUMPRODUCT($EA29:$EF29,$I$7:$N$7)))+$CV29*6</f>
        <v/>
      </c>
      <c r="EY29" s="141">
        <f>MAX(0,21-SUMPRODUCT($EA29:$EF29,$I$8:$N$8)+MIN(14,$EG29*4+$EH29*7,SUMPRODUCT($EA29:$EF29,$I$8:$N$8)))+$CV29*7</f>
        <v/>
      </c>
      <c r="EZ29" s="141">
        <f>IF($DU29=2,3*$ES29&amp;" de vida temp.",IF($DU29=3,"sem dano",IF($ES29=0,IF($DU29=1,"sem cura","sem dano"),IF($DU29=1,"cura ","")&amp;$ES29&amp;"d8")))</f>
        <v/>
      </c>
      <c r="FA29" s="141">
        <f>IF($DU29=2,3*$ET29&amp;" de vida temp.",IF($DU29=3,"sem dano",IF($ET29=0,IF($DU29=1,"sem cura","sem dano"),IF($DU29=1,"cura ","")&amp;$ET29&amp;"d8")))</f>
        <v/>
      </c>
      <c r="FB29" s="141">
        <f>IF($DU29=2,3*$EU29&amp;" de vida temp.",IF($DU29=3,"sem dano",IF($EU29=0,IF($DU29=1,"sem cura","sem dano"),IF($DU29=1,"cura ","")&amp;$EU29&amp;"d8")))</f>
        <v/>
      </c>
      <c r="FC29" s="141">
        <f>IF($DU29=2,3*$EV29&amp;" de vida temp.",IF($DU29=3,"sem dano",IF($EV29=0,IF($DU29=1,"sem cura","sem dano"),IF($DU29=1,"cura ","")&amp;$EV29&amp;"d8")))</f>
        <v/>
      </c>
      <c r="FD29" s="141">
        <f>IF($DU29=2,3*$EW29&amp;" de vida temp.",IF($DU29=3,"sem dano",IF($EW29=0,IF($DU29=1,"sem cura","sem dano"),IF($DU29=1,"cura ","")&amp;$EW29&amp;"d8")))</f>
        <v/>
      </c>
      <c r="FE29" s="141">
        <f>IF($DU29=2,3*$EX29&amp;" de vida temp.",IF($DU29=3,"sem dano",IF($EX29=0,IF($DU29=1,"sem cura","sem dano"),IF($DU29=1,"cura ","")&amp;$EX29&amp;"d8")))</f>
        <v/>
      </c>
      <c r="FF29" s="141">
        <f>IF($DU29=2,3*$EY29&amp;" de vida temp.",IF($DU29=3,"sem dano",IF($EY29=0,IF($DU29=1,"sem cura","sem dano"),IF($DU29=1,"cura ","")&amp;$EY29&amp;"d8")))</f>
        <v/>
      </c>
      <c r="FG29" s="141">
        <f>IF($DG29=0,"",TEXTJOIN(" · ",TRUE,IF(AND($CV29=1,$CW29&gt;$GF$9),"O nível "&amp;$GF$2&amp;" dá "&amp;$GF$9&amp;" Liberação Máxima",""),IF($CX29&gt;$GF$4,"Classe "&amp;$CX29&amp;": o nível "&amp;$GF$2&amp;" libera até a "&amp;$GF$4,""),IF($DN29=1,"Família Fechada: a Forma "&amp;$CZ29,""),IF($DO29=1,"Família Fechada: "&amp;$DA29,""),IF($DP29=1,"Família Fechada: "&amp;$DB29,""),IF($DQ29=1,"Família Fechada: "&amp;$DC29,""),IF($DR29=1,"Família Fechada: "&amp;$DD29,""),IF($EI29&gt;INDEX($O$2:$O$8,$CX29),$EI29&amp;" Melhorias: a Classe "&amp;$CX29&amp;" aceita "&amp;INDEX($O$2:$O$8,$CX29),""),IF($EJ29&gt;2,$EJ29&amp;" Restrições"&amp;IF($DT29=1,", contando a que a Forma "&amp;$CZ29&amp;" já traz","")&amp;": o limite é 2",""),IF($EP29&lt;0,"Orçamento estourado: faltam "&amp;(-$EP29)&amp;IF($EP29&lt;-1," pontos"," ponto"),""),IF(IFERROR(VLOOKUP($DE29,$BD$2:$BH$24,4,FALSE),0)+IFERROR(VLOOKUP($DF29,$BD$2:$BH$24,4,FALSE),0)&gt;1,$DY29&amp;" e "&amp;$DZ29&amp;" são as duas de frequência",""),IF(AND((COUNTIF($DA29:$DD29,"Rápido")+COUNTIF($DY29:$DZ29,"Rápido"))&gt;0,(COUNTIF($DA29:$DD29,"Reação")+COUNTIF($DY29:$DZ29,"Reação"))&gt;0),"Rápido não entra com Reação",""),IF(AND((COUNTIF($DA29:$DD29,"Rápido")+COUNTIF($DY29:$DZ29,"Rápido"))&gt;0,(COUNTIF($DA29:$DD29,"Atrasar")+COUNTIF($DY29:$DZ29,"Atrasar"))&gt;0),"Rápido não entra com Atrasar",""),IF(AND((COUNTIF($DA29:$DD29,"Reação")+COUNTIF($DY29:$DZ29,"Reação"))&gt;0,(COUNTIF($DA29:$DD29,"Atrasar")+COUNTIF($DY29:$DZ29,"Atrasar"))&gt;0),"Reação não entra com Atrasar",""),IF(AND((COUNTIF($DA29:$DD29,"Reação")+COUNTIF($DY29:$DZ29,"Reação"))&gt;0,(COUNTIF($DA29:$DD29,"Parado")+COUNTIF($DY29:$DZ29,"Parado"))&gt;0),"Reação não entra com Parado",""),IF(AND(COUNTIF($DY29:$DZ29,"Corpo a Corpo")&gt;0,$DT29=0,OR($CZ29="Cone",$CZ29="Linha")),"Corpo a Corpo não entra em "&amp;$CZ29,""),IF(AND(COUNTIF($DY29:$DZ29,"Corpo a Corpo")&gt;0,$DT29=1),"A Forma "&amp;$CZ29&amp;" já traz o Corpo a Corpo",""),IF(AND(COUNTIF($DY29:$DZ29,"Tudo ou Nada")&gt;0,$DV29=0),"Tudo ou Nada só entra em feitiço de Teste de Resistência",""),IF(AND(COUNTIF($DA29:$DD29,"Inescapável")&gt;0,OR($EI29&gt;1,$EJ29&gt;0)),"Inescapável não aceita outra peça",""),IF(AND($CV29=1,$CX29&lt;3),"Liberação Máxima é de Classe 3 ou mais",""),IF(AND($CV29=1,OR($DU29=1,$DU29=2)),"Liberação Máxima não serve para cura",""),IF(AND($CV29=1,COUNTIF($DA29:$DD29,"Inescapável")+COUNTIF($DA29:$DD29,"Toca a Alma")&gt;0),"Esta peça não entra numa Liberação Máxima",""),IF($EQ29+$ER29&gt;4*$CX29,($EQ29+$ER29)&amp;" dados somando alvos e repetições: o teto da Classe "&amp;$CX29&amp;" é "&amp;4*$CX29,"")))</f>
        <v/>
      </c>
      <c r="FH29" s="141">
        <f>IF($FG29="",0,(LEN($FG29)-LEN(SUBSTITUTE($FG29," · ","")))/3+1)</f>
        <v/>
      </c>
      <c r="FI29" s="141">
        <f>IF($DG29=0,"",TEXTJOIN(" · ",TRUE,IF($EL29&gt;2*$CX29,"A devolução parou no teto de "&amp;2*$CX29,""),IF($EO29&gt;0,"Devolução perdida: "&amp;$EO29&amp;IF($EO29&gt;1," pontos"," ponto")&amp;" sem peça para pagar",""),IF(AND($DS29&gt;0,$EQ29=0),"Controle sem dano: uma rodada a mais e CD +2",""),IF(AND($DS29&gt;0,$EQ29&gt;0,$EQ29&lt;=$CX29),"Controle com um quarto do teto: uma rodada a mais","")))</f>
        <v/>
      </c>
      <c r="FJ29" s="141">
        <f>IF($FI29="",0,(LEN($FI29)-LEN(SUBSTITUTE($FI29," · ","")))/3+1)</f>
        <v/>
      </c>
      <c r="FK29" s="141">
        <f>IF($DG29=0,IF($EI29+$EJ29-$DT29&gt;0,"Dê um nome",""),IF($FH29&gt;0,"⚠ "&amp;$FH29&amp;IF($FH29&gt;1," erros"," erro"),IF($FJ29&gt;0,"! "&amp;$FJ29&amp;IF($FJ29&gt;1," avisos"," aviso"),"Na regra")))</f>
        <v/>
      </c>
      <c r="FL29" s="141">
        <f>IF($DG29=0,"",IF($FH29+$FJ29=0,"Dentro das regras que a ficha confere",$FG29&amp;IF(AND($FH29&gt;0,$FJ29&gt;0)," · ","")&amp;$FI29))</f>
        <v/>
      </c>
      <c r="FM29" s="141">
        <f>IF($DG29=0,"",IF($CV29=1,CEILING(4.5*$CX29,1),3*$CX29)&amp;" PE")</f>
        <v/>
      </c>
      <c r="FN29" s="141">
        <f>IF($DG29=0,"",IF($CV29=1,"Rodada inteira",IF(COUNTIF($DY29:$DZ29,"Atrasar")&gt;0,IF(COUNTIF($DY29:$DZ29,"Carregar")&gt;0,"Rodada +1 turno","Rodada inteira"),IF(COUNTIF($DA29:$DD29,"Rápido")&gt;0,"Bônus",IF(COUNTIF($DA29:$DD29,"Reação")&gt;0,"Reação","Padrão"))&amp;IF(COUNTIF($DY29:$DZ29,"Carregar")&gt;0," +1 turno",""))))</f>
        <v/>
      </c>
      <c r="FO29" s="141">
        <f>IF(OR($DG29=0,$DH29=0),"",IF(COUNTIF($DA29:$DD29,"Inescapável")&gt;0,"Automático",IF(COUNTIF($DA29:$DD29,"Certeiro")&gt;0,"TR para metade",INDEX($X$2:$X$11,$DH29))))</f>
        <v/>
      </c>
      <c r="FP29" s="141">
        <f>IF(OR($DG29=0,$DH29=0),"",IF(OR($DU29&gt;=2,$EQ29=0),UPPER(LEFT(INDEX($EZ29:$FF29,1,$CX29),1))&amp;MID(INDEX($EZ29:$FF29,1,$CX29),2,99),UPPER(LEFT(INDEX($EZ29:$FF29,1,$CX29),1))&amp;MID(INDEX($EZ29:$FF29,1,$CX29),2,99)&amp;" = "&amp;FLOOR($EQ29*4.5,1)&amp;IF($ER29&gt;0," · +"&amp;$ER29&amp;"d8","")))</f>
        <v/>
      </c>
      <c r="FQ29" s="141">
        <f>COUNTIF($DA29:$DD29,"Longe")+3*COUNTIF($DA29:$DD29,"Muito Longe")</f>
        <v/>
      </c>
      <c r="FR29" s="141">
        <f>COUNTIF($DA29:$DD29,"Maior")+3*COUNTIF($DA29:$DD29,"Muito Maior")</f>
        <v/>
      </c>
      <c r="FS29" s="141">
        <f>IF($DH29=0,0,CHOOSE(1+INDEX($Z$2:$Z$11,$DH29),0,$FQ29,$FR29,$FQ29+$FR29))</f>
        <v/>
      </c>
      <c r="FT29" s="141">
        <f>IF($DH29=0,0,CHOOSE(1+INDEX($AA$2:$AA$11,$DH29),0,$FQ29,$FR29,$FQ29+$FR29))</f>
        <v/>
      </c>
      <c r="FU29" s="141">
        <f>IF(OR($DG29=0,$DH29=0),"",INDEX($AH$2:$AM$31,($DH29-1)*3+IF($CX29&gt;=6,3,2),1+MIN(5,$FS29))&amp;INDEX($AN$2:$AS$31,($DH29-1)*3+IF($CX29&gt;=6,3,2),1+MIN(5,$FT29))&amp;IF(INDEX($AB$2:$AB$11,$DH29)=1,IF(COUNTIF($DA29:$DD29,"Mais Um")&gt;0," · +"&amp;COUNTIF($DA29:$DD29,"Mais Um")&amp;IF(COUNTIF($DA29:$DD29,"Mais Um")&gt;1," alvos"," alvo"),"")&amp;IF(COUNTIF($DA29:$DD29,"Rajada")&gt;0," · "&amp;($CX29+1)&amp;" tiros",""),""))</f>
        <v/>
      </c>
      <c r="FV29" s="141">
        <f>IF($DG29=0,"",3*$CX29&amp;" − "&amp;$EK29&amp;" + "&amp;$EN29&amp;IF($CV29=1," + "&amp;$CX29,"")&amp;" = "&amp;$EQ29&amp;"d8 · teto "&amp;4*$CX29&amp;IF($DT29=1," · a Forma devolve "&amp;$CX29,"")&amp;IF($EO29&gt;0," · perde "&amp;$EO29,""))</f>
        <v/>
      </c>
      <c r="FW29" s="141">
        <f>IF($DG29=0,"",IF($CX29&gt;=$GF$4,"Já está na maior Classe que o nível liberou",TEXTJOIN(" · ",TRUE,IF(AND(2&gt;$CX29,2&lt;=$GF$4),"2 → "&amp;$FA29&amp;", "&amp;IF($CV29=1,9,6)&amp;" PE",""),IF(AND(3&gt;$CX29,3&lt;=$GF$4),"3 → "&amp;$FB29&amp;", "&amp;IF($CV29=1,14,9)&amp;" PE",""),IF(AND(4&gt;$CX29,4&lt;=$GF$4),"4 → "&amp;$FC29&amp;", "&amp;IF($CV29=1,18,12)&amp;" PE",""),IF(AND(5&gt;$CX29,5&lt;=$GF$4),"5 → "&amp;$FD29&amp;", "&amp;IF($CV29=1,23,15)&amp;" PE",""),IF(AND(6&gt;$CX29,6&lt;=$GF$4),"6 → "&amp;$FE29&amp;", "&amp;IF($CV29=1,27,18)&amp;" PE",""),IF(AND(7&gt;$CX29,7&lt;=$GF$4),"7 → "&amp;$FF29&amp;", "&amp;IF($CV29=1,32,21)&amp;" PE",""))))</f>
        <v/>
      </c>
      <c r="FX29" s="141">
        <f>IF(OR($DG29=0,$DJ29=0),"","−"&amp;INDEX($I$2:$N$8,$CX29,$DJ29)&amp;" · "&amp;CHOOSE($DJ29,"Leve","Média","Pesada","Leve · Livre","Média · Livre","Pesada · Livre"))</f>
        <v/>
      </c>
      <c r="FY29" s="141">
        <f>IF(OR($DG29=0,$DK29=0),"","−"&amp;INDEX($I$2:$N$8,$CX29,$DK29)&amp;" · "&amp;CHOOSE($DK29,"Leve","Média","Pesada","Leve · Livre","Média · Livre","Pesada · Livre"))</f>
        <v/>
      </c>
      <c r="FZ29" s="141">
        <f>IF(OR($DG29=0,$DL29=0),"","−"&amp;INDEX($I$2:$N$8,$CX29,$DL29)&amp;" · "&amp;CHOOSE($DL29,"Leve","Média","Pesada","Leve · Livre","Média · Livre","Pesada · Livre"))</f>
        <v/>
      </c>
      <c r="GA29" s="141">
        <f>IF(OR($DG29=0,$DM29=0),"","−"&amp;INDEX($I$2:$N$8,$CX29,$DM29)&amp;" · "&amp;CHOOSE($DM29,"Leve","Média","Pesada","Leve · Livre","Média · Livre","Pesada · Livre"))</f>
        <v/>
      </c>
      <c r="GB29" s="141">
        <f>IF(OR($DG29=0,$DE29=""),"","+"&amp;IF($DW29=1,CEILING($CX29/2,1),$CX29))</f>
        <v/>
      </c>
      <c r="GC29" s="141">
        <f>IF(OR($DG29=0,$DF29=""),"","+"&amp;IF($DX29=1,CEILING($CX29/2,1),$CX29))</f>
        <v/>
      </c>
      <c r="GE29" s="114" t="inlineStr">
        <is>
          <t>classe do índice</t>
        </is>
      </c>
      <c r="GF29" s="141">
        <f>IF(N('FICHA AMALDIÇOADA'!$D$40)&lt;1,$GF$4,MIN(7,N('FICHA AMALDIÇOADA'!$D$40)))</f>
        <v/>
      </c>
      <c r="HJ29" s="114" t="inlineStr">
        <is>
          <t>G356</t>
        </is>
      </c>
      <c r="HK29" s="141">
        <f>DADOS_AM!$GF$32&amp;IF(DADOS_AM!$GF$32&gt;1," rodadas"," rodada")</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41" t="n">
        <v>2</v>
      </c>
      <c r="AX30" s="141">
        <f>$AW30+3*IFERROR(VLOOKUP($AV30,$A$2:$D$10,3,FALSE),0)</f>
        <v/>
      </c>
      <c r="AY30" s="141">
        <f>IFERROR(VLOOKUP($AV30,$A$2:$D$10,4,FALSE),0)</f>
        <v/>
      </c>
      <c r="AZ30" s="141" t="n">
        <v>1</v>
      </c>
      <c r="BA30" s="141">
        <f>IF($AY30=1,"",$AU30)</f>
        <v/>
      </c>
      <c r="BB30" s="141">
        <f>IF(AND($AW30=1,$AY30=0),$AU30,"")</f>
        <v/>
      </c>
      <c r="CU30" s="114" t="inlineStr">
        <is>
          <t>Feitiço 29</t>
        </is>
      </c>
      <c r="CV30" s="141" t="n">
        <v>0</v>
      </c>
      <c r="CW30" s="141" t="n">
        <v>29</v>
      </c>
      <c r="CX30" s="141">
        <f>MAX(1,MIN(7,N('FICHA AMALDIÇOADA'!$J$238)))</f>
        <v/>
      </c>
      <c r="CY30" s="141">
        <f>'FICHA AMALDIÇOADA'!$K$238&amp;""</f>
        <v/>
      </c>
      <c r="CZ30" s="141">
        <f>'FICHA AMALDIÇOADA'!$J$245&amp;""</f>
        <v/>
      </c>
      <c r="DA30" s="141">
        <f>'FICHA AMALDIÇOADA'!$K$247&amp;""</f>
        <v/>
      </c>
      <c r="DB30" s="141">
        <f>'FICHA AMALDIÇOADA'!$K$248&amp;""</f>
        <v/>
      </c>
      <c r="DC30" s="141">
        <f>'FICHA AMALDIÇOADA'!$K$249&amp;""</f>
        <v/>
      </c>
      <c r="DD30" s="141">
        <f>'FICHA AMALDIÇOADA'!$K$250&amp;""</f>
        <v/>
      </c>
      <c r="DE30" s="141">
        <f>'FICHA AMALDIÇOADA'!$K$251&amp;""</f>
        <v/>
      </c>
      <c r="DF30" s="141">
        <f>'FICHA AMALDIÇOADA'!$K$252&amp;""</f>
        <v/>
      </c>
      <c r="DG30" s="141">
        <f>IF($CY30&lt;&gt;"",1,0)</f>
        <v/>
      </c>
      <c r="DH30" s="141">
        <f>IFERROR(MATCH($CZ30,$Q$2:$Q$11,0),0)</f>
        <v/>
      </c>
      <c r="DI30" s="141">
        <f>IF($DH30=0,0,INDEX($T$2:$T$11,$DH30))</f>
        <v/>
      </c>
      <c r="DJ30" s="141">
        <f>IFERROR(VLOOKUP($DA30,$AU$2:$BB$84,4,FALSE),0)</f>
        <v/>
      </c>
      <c r="DK30" s="141">
        <f>IFERROR(VLOOKUP($DB30,$AU$2:$BB$84,4,FALSE),0)</f>
        <v/>
      </c>
      <c r="DL30" s="141">
        <f>IFERROR(VLOOKUP($DC30,$AU$2:$BB$84,4,FALSE),0)</f>
        <v/>
      </c>
      <c r="DM30" s="141">
        <f>IFERROR(VLOOKUP($DD30,$AU$2:$BB$84,4,FALSE),0)</f>
        <v/>
      </c>
      <c r="DN30" s="141">
        <f>IF($DH30=0,0,INDEX($U$2:$U$11,$DH30))</f>
        <v/>
      </c>
      <c r="DO30" s="141">
        <f>IFERROR(VLOOKUP($DA30,$AU$2:$BB$84,5,FALSE),0)</f>
        <v/>
      </c>
      <c r="DP30" s="141">
        <f>IFERROR(VLOOKUP($DB30,$AU$2:$BB$84,5,FALSE),0)</f>
        <v/>
      </c>
      <c r="DQ30" s="141">
        <f>IFERROR(VLOOKUP($DC30,$AU$2:$BB$84,5,FALSE),0)</f>
        <v/>
      </c>
      <c r="DR30" s="141">
        <f>IFERROR(VLOOKUP($DD30,$AU$2:$BB$84,5,FALSE),0)</f>
        <v/>
      </c>
      <c r="DS30" s="141">
        <f>IFERROR(VLOOKUP($DA30,$AU$2:$BB$84,6,FALSE),0)+IFERROR(VLOOKUP($DB30,$AU$2:$BB$84,6,FALSE),0)+IFERROR(VLOOKUP($DC30,$AU$2:$BB$84,6,FALSE),0)+IFERROR(VLOOKUP($DD30,$AU$2:$BB$84,6,FALSE),0)</f>
        <v/>
      </c>
      <c r="DT30" s="141">
        <f>IF($DH30=0,0,INDEX($V$2:$V$11,$DH30))</f>
        <v/>
      </c>
      <c r="DU30" s="141">
        <f>IF($DH30=0,0,INDEX($W$2:$W$11,$DH30))</f>
        <v/>
      </c>
      <c r="DV30" s="141">
        <f>IF($DH30=0,0,INDEX($Y$2:$Y$11,$DH30))</f>
        <v/>
      </c>
      <c r="DW30" s="141">
        <f>IFERROR(VLOOKUP($DE30,$BD$2:$BH$24,3,FALSE),0)</f>
        <v/>
      </c>
      <c r="DX30" s="141">
        <f>IFERROR(VLOOKUP($DF30,$BD$2:$BH$24,3,FALSE),0)</f>
        <v/>
      </c>
      <c r="DY30" s="141">
        <f>IFERROR(VLOOKUP($DE30,$BD$2:$BH$24,2,FALSE),"")</f>
        <v/>
      </c>
      <c r="DZ30" s="141">
        <f>IFERROR(VLOOKUP($DF30,$BD$2:$BH$24,2,FALSE),"")</f>
        <v/>
      </c>
      <c r="EA30" s="141">
        <f>COUNTIF($DI30:$DM30,1)</f>
        <v/>
      </c>
      <c r="EB30" s="141">
        <f>COUNTIF($DI30:$DM30,2)</f>
        <v/>
      </c>
      <c r="EC30" s="141">
        <f>COUNTIF($DI30:$DM30,3)</f>
        <v/>
      </c>
      <c r="ED30" s="141">
        <f>COUNTIF($DI30:$DM30,4)</f>
        <v/>
      </c>
      <c r="EE30" s="141">
        <f>COUNTIF($DI30:$DM30,5)</f>
        <v/>
      </c>
      <c r="EF30" s="141">
        <f>COUNTIF($DI30:$DM30,6)</f>
        <v/>
      </c>
      <c r="EG30" s="141">
        <f>COUNTIF($DW30:$DX30,1)</f>
        <v/>
      </c>
      <c r="EH30" s="141">
        <f>COUNTIF($DW30:$DX30,2)+$DT30</f>
        <v/>
      </c>
      <c r="EI30" s="141">
        <f>COUNTIF($DA30:$DD30,"?*")</f>
        <v/>
      </c>
      <c r="EJ30" s="141">
        <f>COUNTIF($DE30:$DF30,"?*")+$DT30</f>
        <v/>
      </c>
      <c r="EK30" s="141">
        <f>SUMPRODUCT($EA30:$EF30,INDEX($I$2:$N$8,$CX30,0))</f>
        <v/>
      </c>
      <c r="EL30" s="141">
        <f>$EG30*CEILING($CX30/2,1)+$EH30*$CX30</f>
        <v/>
      </c>
      <c r="EM30" s="141">
        <f>MIN(2*$CX30,$EL30)</f>
        <v/>
      </c>
      <c r="EN30" s="141">
        <f>MIN($EM30,$EK30)</f>
        <v/>
      </c>
      <c r="EO30" s="141">
        <f>$EM30-$EN30</f>
        <v/>
      </c>
      <c r="EP30" s="141">
        <f>3*$CX30-$EK30+$EN30</f>
        <v/>
      </c>
      <c r="EQ30" s="141">
        <f>MAX(0,$EP30)+$CV30*$CX30</f>
        <v/>
      </c>
      <c r="ER30" s="141">
        <f>(IF(COUNTIF($DA30:$DD30,"Salto")&gt;0,1,0)+IF(COUNTIF($DA30:$DD30,"Queima")&gt;0,1,0))*FLOOR($EQ30/2,1)</f>
        <v/>
      </c>
      <c r="ES30" s="141">
        <f>MAX(0,3-SUMPRODUCT($EA30:$EF30,$I$2:$N$2)+MIN(2,$EG30*1+$EH30*1,SUMPRODUCT($EA30:$EF30,$I$2:$N$2)))+$CV30*1</f>
        <v/>
      </c>
      <c r="ET30" s="141">
        <f>MAX(0,6-SUMPRODUCT($EA30:$EF30,$I$3:$N$3)+MIN(4,$EG30*1+$EH30*2,SUMPRODUCT($EA30:$EF30,$I$3:$N$3)))+$CV30*2</f>
        <v/>
      </c>
      <c r="EU30" s="141">
        <f>MAX(0,9-SUMPRODUCT($EA30:$EF30,$I$4:$N$4)+MIN(6,$EG30*2+$EH30*3,SUMPRODUCT($EA30:$EF30,$I$4:$N$4)))+$CV30*3</f>
        <v/>
      </c>
      <c r="EV30" s="141">
        <f>MAX(0,12-SUMPRODUCT($EA30:$EF30,$I$5:$N$5)+MIN(8,$EG30*2+$EH30*4,SUMPRODUCT($EA30:$EF30,$I$5:$N$5)))+$CV30*4</f>
        <v/>
      </c>
      <c r="EW30" s="141">
        <f>MAX(0,15-SUMPRODUCT($EA30:$EF30,$I$6:$N$6)+MIN(10,$EG30*3+$EH30*5,SUMPRODUCT($EA30:$EF30,$I$6:$N$6)))+$CV30*5</f>
        <v/>
      </c>
      <c r="EX30" s="141">
        <f>MAX(0,18-SUMPRODUCT($EA30:$EF30,$I$7:$N$7)+MIN(12,$EG30*3+$EH30*6,SUMPRODUCT($EA30:$EF30,$I$7:$N$7)))+$CV30*6</f>
        <v/>
      </c>
      <c r="EY30" s="141">
        <f>MAX(0,21-SUMPRODUCT($EA30:$EF30,$I$8:$N$8)+MIN(14,$EG30*4+$EH30*7,SUMPRODUCT($EA30:$EF30,$I$8:$N$8)))+$CV30*7</f>
        <v/>
      </c>
      <c r="EZ30" s="141">
        <f>IF($DU30=2,3*$ES30&amp;" de vida temp.",IF($DU30=3,"sem dano",IF($ES30=0,IF($DU30=1,"sem cura","sem dano"),IF($DU30=1,"cura ","")&amp;$ES30&amp;"d8")))</f>
        <v/>
      </c>
      <c r="FA30" s="141">
        <f>IF($DU30=2,3*$ET30&amp;" de vida temp.",IF($DU30=3,"sem dano",IF($ET30=0,IF($DU30=1,"sem cura","sem dano"),IF($DU30=1,"cura ","")&amp;$ET30&amp;"d8")))</f>
        <v/>
      </c>
      <c r="FB30" s="141">
        <f>IF($DU30=2,3*$EU30&amp;" de vida temp.",IF($DU30=3,"sem dano",IF($EU30=0,IF($DU30=1,"sem cura","sem dano"),IF($DU30=1,"cura ","")&amp;$EU30&amp;"d8")))</f>
        <v/>
      </c>
      <c r="FC30" s="141">
        <f>IF($DU30=2,3*$EV30&amp;" de vida temp.",IF($DU30=3,"sem dano",IF($EV30=0,IF($DU30=1,"sem cura","sem dano"),IF($DU30=1,"cura ","")&amp;$EV30&amp;"d8")))</f>
        <v/>
      </c>
      <c r="FD30" s="141">
        <f>IF($DU30=2,3*$EW30&amp;" de vida temp.",IF($DU30=3,"sem dano",IF($EW30=0,IF($DU30=1,"sem cura","sem dano"),IF($DU30=1,"cura ","")&amp;$EW30&amp;"d8")))</f>
        <v/>
      </c>
      <c r="FE30" s="141">
        <f>IF($DU30=2,3*$EX30&amp;" de vida temp.",IF($DU30=3,"sem dano",IF($EX30=0,IF($DU30=1,"sem cura","sem dano"),IF($DU30=1,"cura ","")&amp;$EX30&amp;"d8")))</f>
        <v/>
      </c>
      <c r="FF30" s="141">
        <f>IF($DU30=2,3*$EY30&amp;" de vida temp.",IF($DU30=3,"sem dano",IF($EY30=0,IF($DU30=1,"sem cura","sem dano"),IF($DU30=1,"cura ","")&amp;$EY30&amp;"d8")))</f>
        <v/>
      </c>
      <c r="FG30" s="141">
        <f>IF($DG30=0,"",TEXTJOIN(" · ",TRUE,IF(AND($CV30=1,$CW30&gt;$GF$9),"O nível "&amp;$GF$2&amp;" dá "&amp;$GF$9&amp;" Liberação Máxima",""),IF($CX30&gt;$GF$4,"Classe "&amp;$CX30&amp;": o nível "&amp;$GF$2&amp;" libera até a "&amp;$GF$4,""),IF($DN30=1,"Família Fechada: a Forma "&amp;$CZ30,""),IF($DO30=1,"Família Fechada: "&amp;$DA30,""),IF($DP30=1,"Família Fechada: "&amp;$DB30,""),IF($DQ30=1,"Família Fechada: "&amp;$DC30,""),IF($DR30=1,"Família Fechada: "&amp;$DD30,""),IF($EI30&gt;INDEX($O$2:$O$8,$CX30),$EI30&amp;" Melhorias: a Classe "&amp;$CX30&amp;" aceita "&amp;INDEX($O$2:$O$8,$CX30),""),IF($EJ30&gt;2,$EJ30&amp;" Restrições"&amp;IF($DT30=1,", contando a que a Forma "&amp;$CZ30&amp;" já traz","")&amp;": o limite é 2",""),IF($EP30&lt;0,"Orçamento estourado: faltam "&amp;(-$EP30)&amp;IF($EP30&lt;-1," pontos"," ponto"),""),IF(IFERROR(VLOOKUP($DE30,$BD$2:$BH$24,4,FALSE),0)+IFERROR(VLOOKUP($DF30,$BD$2:$BH$24,4,FALSE),0)&gt;1,$DY30&amp;" e "&amp;$DZ30&amp;" são as duas de frequência",""),IF(AND((COUNTIF($DA30:$DD30,"Rápido")+COUNTIF($DY30:$DZ30,"Rápido"))&gt;0,(COUNTIF($DA30:$DD30,"Reação")+COUNTIF($DY30:$DZ30,"Reação"))&gt;0),"Rápido não entra com Reação",""),IF(AND((COUNTIF($DA30:$DD30,"Rápido")+COUNTIF($DY30:$DZ30,"Rápido"))&gt;0,(COUNTIF($DA30:$DD30,"Atrasar")+COUNTIF($DY30:$DZ30,"Atrasar"))&gt;0),"Rápido não entra com Atrasar",""),IF(AND((COUNTIF($DA30:$DD30,"Reação")+COUNTIF($DY30:$DZ30,"Reação"))&gt;0,(COUNTIF($DA30:$DD30,"Atrasar")+COUNTIF($DY30:$DZ30,"Atrasar"))&gt;0),"Reação não entra com Atrasar",""),IF(AND((COUNTIF($DA30:$DD30,"Reação")+COUNTIF($DY30:$DZ30,"Reação"))&gt;0,(COUNTIF($DA30:$DD30,"Parado")+COUNTIF($DY30:$DZ30,"Parado"))&gt;0),"Reação não entra com Parado",""),IF(AND(COUNTIF($DY30:$DZ30,"Corpo a Corpo")&gt;0,$DT30=0,OR($CZ30="Cone",$CZ30="Linha")),"Corpo a Corpo não entra em "&amp;$CZ30,""),IF(AND(COUNTIF($DY30:$DZ30,"Corpo a Corpo")&gt;0,$DT30=1),"A Forma "&amp;$CZ30&amp;" já traz o Corpo a Corpo",""),IF(AND(COUNTIF($DY30:$DZ30,"Tudo ou Nada")&gt;0,$DV30=0),"Tudo ou Nada só entra em feitiço de Teste de Resistência",""),IF(AND(COUNTIF($DA30:$DD30,"Inescapável")&gt;0,OR($EI30&gt;1,$EJ30&gt;0)),"Inescapável não aceita outra peça",""),IF(AND($CV30=1,$CX30&lt;3),"Liberação Máxima é de Classe 3 ou mais",""),IF(AND($CV30=1,OR($DU30=1,$DU30=2)),"Liberação Máxima não serve para cura",""),IF(AND($CV30=1,COUNTIF($DA30:$DD30,"Inescapável")+COUNTIF($DA30:$DD30,"Toca a Alma")&gt;0),"Esta peça não entra numa Liberação Máxima",""),IF($EQ30+$ER30&gt;4*$CX30,($EQ30+$ER30)&amp;" dados somando alvos e repetições: o teto da Classe "&amp;$CX30&amp;" é "&amp;4*$CX30,"")))</f>
        <v/>
      </c>
      <c r="FH30" s="141">
        <f>IF($FG30="",0,(LEN($FG30)-LEN(SUBSTITUTE($FG30," · ","")))/3+1)</f>
        <v/>
      </c>
      <c r="FI30" s="141">
        <f>IF($DG30=0,"",TEXTJOIN(" · ",TRUE,IF($EL30&gt;2*$CX30,"A devolução parou no teto de "&amp;2*$CX30,""),IF($EO30&gt;0,"Devolução perdida: "&amp;$EO30&amp;IF($EO30&gt;1," pontos"," ponto")&amp;" sem peça para pagar",""),IF(AND($DS30&gt;0,$EQ30=0),"Controle sem dano: uma rodada a mais e CD +2",""),IF(AND($DS30&gt;0,$EQ30&gt;0,$EQ30&lt;=$CX30),"Controle com um quarto do teto: uma rodada a mais","")))</f>
        <v/>
      </c>
      <c r="FJ30" s="141">
        <f>IF($FI30="",0,(LEN($FI30)-LEN(SUBSTITUTE($FI30," · ","")))/3+1)</f>
        <v/>
      </c>
      <c r="FK30" s="141">
        <f>IF($DG30=0,IF($EI30+$EJ30-$DT30&gt;0,"Dê um nome",""),IF($FH30&gt;0,"⚠ "&amp;$FH30&amp;IF($FH30&gt;1," erros"," erro"),IF($FJ30&gt;0,"! "&amp;$FJ30&amp;IF($FJ30&gt;1," avisos"," aviso"),"Na regra")))</f>
        <v/>
      </c>
      <c r="FL30" s="141">
        <f>IF($DG30=0,"",IF($FH30+$FJ30=0,"Dentro das regras que a ficha confere",$FG30&amp;IF(AND($FH30&gt;0,$FJ30&gt;0)," · ","")&amp;$FI30))</f>
        <v/>
      </c>
      <c r="FM30" s="141">
        <f>IF($DG30=0,"",IF($CV30=1,CEILING(4.5*$CX30,1),3*$CX30)&amp;" PE")</f>
        <v/>
      </c>
      <c r="FN30" s="141">
        <f>IF($DG30=0,"",IF($CV30=1,"Rodada inteira",IF(COUNTIF($DY30:$DZ30,"Atrasar")&gt;0,IF(COUNTIF($DY30:$DZ30,"Carregar")&gt;0,"Rodada +1 turno","Rodada inteira"),IF(COUNTIF($DA30:$DD30,"Rápido")&gt;0,"Bônus",IF(COUNTIF($DA30:$DD30,"Reação")&gt;0,"Reação","Padrão"))&amp;IF(COUNTIF($DY30:$DZ30,"Carregar")&gt;0," +1 turno",""))))</f>
        <v/>
      </c>
      <c r="FO30" s="141">
        <f>IF(OR($DG30=0,$DH30=0),"",IF(COUNTIF($DA30:$DD30,"Inescapável")&gt;0,"Automático",IF(COUNTIF($DA30:$DD30,"Certeiro")&gt;0,"TR para metade",INDEX($X$2:$X$11,$DH30))))</f>
        <v/>
      </c>
      <c r="FP30" s="141">
        <f>IF(OR($DG30=0,$DH30=0),"",IF(OR($DU30&gt;=2,$EQ30=0),UPPER(LEFT(INDEX($EZ30:$FF30,1,$CX30),1))&amp;MID(INDEX($EZ30:$FF30,1,$CX30),2,99),UPPER(LEFT(INDEX($EZ30:$FF30,1,$CX30),1))&amp;MID(INDEX($EZ30:$FF30,1,$CX30),2,99)&amp;" = "&amp;FLOOR($EQ30*4.5,1)&amp;IF($ER30&gt;0," · +"&amp;$ER30&amp;"d8","")))</f>
        <v/>
      </c>
      <c r="FQ30" s="141">
        <f>COUNTIF($DA30:$DD30,"Longe")+3*COUNTIF($DA30:$DD30,"Muito Longe")</f>
        <v/>
      </c>
      <c r="FR30" s="141">
        <f>COUNTIF($DA30:$DD30,"Maior")+3*COUNTIF($DA30:$DD30,"Muito Maior")</f>
        <v/>
      </c>
      <c r="FS30" s="141">
        <f>IF($DH30=0,0,CHOOSE(1+INDEX($Z$2:$Z$11,$DH30),0,$FQ30,$FR30,$FQ30+$FR30))</f>
        <v/>
      </c>
      <c r="FT30" s="141">
        <f>IF($DH30=0,0,CHOOSE(1+INDEX($AA$2:$AA$11,$DH30),0,$FQ30,$FR30,$FQ30+$FR30))</f>
        <v/>
      </c>
      <c r="FU30" s="141">
        <f>IF(OR($DG30=0,$DH30=0),"",INDEX($AH$2:$AM$31,($DH30-1)*3+IF($CX30&gt;=6,3,2),1+MIN(5,$FS30))&amp;INDEX($AN$2:$AS$31,($DH30-1)*3+IF($CX30&gt;=6,3,2),1+MIN(5,$FT30))&amp;IF(INDEX($AB$2:$AB$11,$DH30)=1,IF(COUNTIF($DA30:$DD30,"Mais Um")&gt;0," · +"&amp;COUNTIF($DA30:$DD30,"Mais Um")&amp;IF(COUNTIF($DA30:$DD30,"Mais Um")&gt;1," alvos"," alvo"),"")&amp;IF(COUNTIF($DA30:$DD30,"Rajada")&gt;0," · "&amp;($CX30+1)&amp;" tiros",""),""))</f>
        <v/>
      </c>
      <c r="FV30" s="141">
        <f>IF($DG30=0,"",3*$CX30&amp;" − "&amp;$EK30&amp;" + "&amp;$EN30&amp;IF($CV30=1," + "&amp;$CX30,"")&amp;" = "&amp;$EQ30&amp;"d8 · teto "&amp;4*$CX30&amp;IF($DT30=1," · a Forma devolve "&amp;$CX30,"")&amp;IF($EO30&gt;0," · perde "&amp;$EO30,""))</f>
        <v/>
      </c>
      <c r="FW30" s="141">
        <f>IF($DG30=0,"",IF($CX30&gt;=$GF$4,"Já está na maior Classe que o nível liberou",TEXTJOIN(" · ",TRUE,IF(AND(2&gt;$CX30,2&lt;=$GF$4),"2 → "&amp;$FA30&amp;", "&amp;IF($CV30=1,9,6)&amp;" PE",""),IF(AND(3&gt;$CX30,3&lt;=$GF$4),"3 → "&amp;$FB30&amp;", "&amp;IF($CV30=1,14,9)&amp;" PE",""),IF(AND(4&gt;$CX30,4&lt;=$GF$4),"4 → "&amp;$FC30&amp;", "&amp;IF($CV30=1,18,12)&amp;" PE",""),IF(AND(5&gt;$CX30,5&lt;=$GF$4),"5 → "&amp;$FD30&amp;", "&amp;IF($CV30=1,23,15)&amp;" PE",""),IF(AND(6&gt;$CX30,6&lt;=$GF$4),"6 → "&amp;$FE30&amp;", "&amp;IF($CV30=1,27,18)&amp;" PE",""),IF(AND(7&gt;$CX30,7&lt;=$GF$4),"7 → "&amp;$FF30&amp;", "&amp;IF($CV30=1,32,21)&amp;" PE",""))))</f>
        <v/>
      </c>
      <c r="FX30" s="141">
        <f>IF(OR($DG30=0,$DJ30=0),"","−"&amp;INDEX($I$2:$N$8,$CX30,$DJ30)&amp;" · "&amp;CHOOSE($DJ30,"Leve","Média","Pesada","Leve · Livre","Média · Livre","Pesada · Livre"))</f>
        <v/>
      </c>
      <c r="FY30" s="141">
        <f>IF(OR($DG30=0,$DK30=0),"","−"&amp;INDEX($I$2:$N$8,$CX30,$DK30)&amp;" · "&amp;CHOOSE($DK30,"Leve","Média","Pesada","Leve · Livre","Média · Livre","Pesada · Livre"))</f>
        <v/>
      </c>
      <c r="FZ30" s="141">
        <f>IF(OR($DG30=0,$DL30=0),"","−"&amp;INDEX($I$2:$N$8,$CX30,$DL30)&amp;" · "&amp;CHOOSE($DL30,"Leve","Média","Pesada","Leve · Livre","Média · Livre","Pesada · Livre"))</f>
        <v/>
      </c>
      <c r="GA30" s="141">
        <f>IF(OR($DG30=0,$DM30=0),"","−"&amp;INDEX($I$2:$N$8,$CX30,$DM30)&amp;" · "&amp;CHOOSE($DM30,"Leve","Média","Pesada","Leve · Livre","Média · Livre","Pesada · Livre"))</f>
        <v/>
      </c>
      <c r="GB30" s="141">
        <f>IF(OR($DG30=0,$DE30=""),"","+"&amp;IF($DW30=1,CEILING($CX30/2,1),$CX30))</f>
        <v/>
      </c>
      <c r="GC30" s="141">
        <f>IF(OR($DG30=0,$DF30=""),"","+"&amp;IF($DX30=1,CEILING($CX30/2,1),$CX30))</f>
        <v/>
      </c>
      <c r="GE30" s="114" t="inlineStr">
        <is>
          <t>famílias livres</t>
        </is>
      </c>
      <c r="GF30" s="141">
        <f>COUNTIF($B$2:$B$10,"Livre")</f>
        <v/>
      </c>
      <c r="HJ30" s="114" t="inlineStr">
        <is>
          <t>J356</t>
        </is>
      </c>
      <c r="HK30" s="141">
        <f>SUBSTITUTE(1.5*DADOS_AM!$GF$6&amp;" m",".",",")</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41" t="n">
        <v>1</v>
      </c>
      <c r="AX31" s="141">
        <f>$AW31+3*IFERROR(VLOOKUP($AV31,$A$2:$D$10,3,FALSE),0)</f>
        <v/>
      </c>
      <c r="AY31" s="141">
        <f>IFERROR(VLOOKUP($AV31,$A$2:$D$10,4,FALSE),0)</f>
        <v/>
      </c>
      <c r="AZ31" s="141" t="n">
        <v>0</v>
      </c>
      <c r="BA31" s="141">
        <f>IF($AY31=1,"",$AU31)</f>
        <v/>
      </c>
      <c r="BB31" s="141">
        <f>IF(AND($AW31=1,$AY31=0),$AU31,"")</f>
        <v/>
      </c>
      <c r="CU31" s="114" t="inlineStr">
        <is>
          <t>Feitiço 30</t>
        </is>
      </c>
      <c r="CV31" s="141" t="n">
        <v>0</v>
      </c>
      <c r="CW31" s="141" t="n">
        <v>30</v>
      </c>
      <c r="CX31" s="141">
        <f>MAX(1,MIN(7,N('FICHA AMALDIÇOADA'!$P$238)))</f>
        <v/>
      </c>
      <c r="CY31" s="141">
        <f>'FICHA AMALDIÇOADA'!$Q$238&amp;""</f>
        <v/>
      </c>
      <c r="CZ31" s="141">
        <f>'FICHA AMALDIÇOADA'!$P$245&amp;""</f>
        <v/>
      </c>
      <c r="DA31" s="141">
        <f>'FICHA AMALDIÇOADA'!$Q$247&amp;""</f>
        <v/>
      </c>
      <c r="DB31" s="141">
        <f>'FICHA AMALDIÇOADA'!$Q$248&amp;""</f>
        <v/>
      </c>
      <c r="DC31" s="141">
        <f>'FICHA AMALDIÇOADA'!$Q$249&amp;""</f>
        <v/>
      </c>
      <c r="DD31" s="141">
        <f>'FICHA AMALDIÇOADA'!$Q$250&amp;""</f>
        <v/>
      </c>
      <c r="DE31" s="141">
        <f>'FICHA AMALDIÇOADA'!$Q$251&amp;""</f>
        <v/>
      </c>
      <c r="DF31" s="141">
        <f>'FICHA AMALDIÇOADA'!$Q$252&amp;""</f>
        <v/>
      </c>
      <c r="DG31" s="141">
        <f>IF($CY31&lt;&gt;"",1,0)</f>
        <v/>
      </c>
      <c r="DH31" s="141">
        <f>IFERROR(MATCH($CZ31,$Q$2:$Q$11,0),0)</f>
        <v/>
      </c>
      <c r="DI31" s="141">
        <f>IF($DH31=0,0,INDEX($T$2:$T$11,$DH31))</f>
        <v/>
      </c>
      <c r="DJ31" s="141">
        <f>IFERROR(VLOOKUP($DA31,$AU$2:$BB$84,4,FALSE),0)</f>
        <v/>
      </c>
      <c r="DK31" s="141">
        <f>IFERROR(VLOOKUP($DB31,$AU$2:$BB$84,4,FALSE),0)</f>
        <v/>
      </c>
      <c r="DL31" s="141">
        <f>IFERROR(VLOOKUP($DC31,$AU$2:$BB$84,4,FALSE),0)</f>
        <v/>
      </c>
      <c r="DM31" s="141">
        <f>IFERROR(VLOOKUP($DD31,$AU$2:$BB$84,4,FALSE),0)</f>
        <v/>
      </c>
      <c r="DN31" s="141">
        <f>IF($DH31=0,0,INDEX($U$2:$U$11,$DH31))</f>
        <v/>
      </c>
      <c r="DO31" s="141">
        <f>IFERROR(VLOOKUP($DA31,$AU$2:$BB$84,5,FALSE),0)</f>
        <v/>
      </c>
      <c r="DP31" s="141">
        <f>IFERROR(VLOOKUP($DB31,$AU$2:$BB$84,5,FALSE),0)</f>
        <v/>
      </c>
      <c r="DQ31" s="141">
        <f>IFERROR(VLOOKUP($DC31,$AU$2:$BB$84,5,FALSE),0)</f>
        <v/>
      </c>
      <c r="DR31" s="141">
        <f>IFERROR(VLOOKUP($DD31,$AU$2:$BB$84,5,FALSE),0)</f>
        <v/>
      </c>
      <c r="DS31" s="141">
        <f>IFERROR(VLOOKUP($DA31,$AU$2:$BB$84,6,FALSE),0)+IFERROR(VLOOKUP($DB31,$AU$2:$BB$84,6,FALSE),0)+IFERROR(VLOOKUP($DC31,$AU$2:$BB$84,6,FALSE),0)+IFERROR(VLOOKUP($DD31,$AU$2:$BB$84,6,FALSE),0)</f>
        <v/>
      </c>
      <c r="DT31" s="141">
        <f>IF($DH31=0,0,INDEX($V$2:$V$11,$DH31))</f>
        <v/>
      </c>
      <c r="DU31" s="141">
        <f>IF($DH31=0,0,INDEX($W$2:$W$11,$DH31))</f>
        <v/>
      </c>
      <c r="DV31" s="141">
        <f>IF($DH31=0,0,INDEX($Y$2:$Y$11,$DH31))</f>
        <v/>
      </c>
      <c r="DW31" s="141">
        <f>IFERROR(VLOOKUP($DE31,$BD$2:$BH$24,3,FALSE),0)</f>
        <v/>
      </c>
      <c r="DX31" s="141">
        <f>IFERROR(VLOOKUP($DF31,$BD$2:$BH$24,3,FALSE),0)</f>
        <v/>
      </c>
      <c r="DY31" s="141">
        <f>IFERROR(VLOOKUP($DE31,$BD$2:$BH$24,2,FALSE),"")</f>
        <v/>
      </c>
      <c r="DZ31" s="141">
        <f>IFERROR(VLOOKUP($DF31,$BD$2:$BH$24,2,FALSE),"")</f>
        <v/>
      </c>
      <c r="EA31" s="141">
        <f>COUNTIF($DI31:$DM31,1)</f>
        <v/>
      </c>
      <c r="EB31" s="141">
        <f>COUNTIF($DI31:$DM31,2)</f>
        <v/>
      </c>
      <c r="EC31" s="141">
        <f>COUNTIF($DI31:$DM31,3)</f>
        <v/>
      </c>
      <c r="ED31" s="141">
        <f>COUNTIF($DI31:$DM31,4)</f>
        <v/>
      </c>
      <c r="EE31" s="141">
        <f>COUNTIF($DI31:$DM31,5)</f>
        <v/>
      </c>
      <c r="EF31" s="141">
        <f>COUNTIF($DI31:$DM31,6)</f>
        <v/>
      </c>
      <c r="EG31" s="141">
        <f>COUNTIF($DW31:$DX31,1)</f>
        <v/>
      </c>
      <c r="EH31" s="141">
        <f>COUNTIF($DW31:$DX31,2)+$DT31</f>
        <v/>
      </c>
      <c r="EI31" s="141">
        <f>COUNTIF($DA31:$DD31,"?*")</f>
        <v/>
      </c>
      <c r="EJ31" s="141">
        <f>COUNTIF($DE31:$DF31,"?*")+$DT31</f>
        <v/>
      </c>
      <c r="EK31" s="141">
        <f>SUMPRODUCT($EA31:$EF31,INDEX($I$2:$N$8,$CX31,0))</f>
        <v/>
      </c>
      <c r="EL31" s="141">
        <f>$EG31*CEILING($CX31/2,1)+$EH31*$CX31</f>
        <v/>
      </c>
      <c r="EM31" s="141">
        <f>MIN(2*$CX31,$EL31)</f>
        <v/>
      </c>
      <c r="EN31" s="141">
        <f>MIN($EM31,$EK31)</f>
        <v/>
      </c>
      <c r="EO31" s="141">
        <f>$EM31-$EN31</f>
        <v/>
      </c>
      <c r="EP31" s="141">
        <f>3*$CX31-$EK31+$EN31</f>
        <v/>
      </c>
      <c r="EQ31" s="141">
        <f>MAX(0,$EP31)+$CV31*$CX31</f>
        <v/>
      </c>
      <c r="ER31" s="141">
        <f>(IF(COUNTIF($DA31:$DD31,"Salto")&gt;0,1,0)+IF(COUNTIF($DA31:$DD31,"Queima")&gt;0,1,0))*FLOOR($EQ31/2,1)</f>
        <v/>
      </c>
      <c r="ES31" s="141">
        <f>MAX(0,3-SUMPRODUCT($EA31:$EF31,$I$2:$N$2)+MIN(2,$EG31*1+$EH31*1,SUMPRODUCT($EA31:$EF31,$I$2:$N$2)))+$CV31*1</f>
        <v/>
      </c>
      <c r="ET31" s="141">
        <f>MAX(0,6-SUMPRODUCT($EA31:$EF31,$I$3:$N$3)+MIN(4,$EG31*1+$EH31*2,SUMPRODUCT($EA31:$EF31,$I$3:$N$3)))+$CV31*2</f>
        <v/>
      </c>
      <c r="EU31" s="141">
        <f>MAX(0,9-SUMPRODUCT($EA31:$EF31,$I$4:$N$4)+MIN(6,$EG31*2+$EH31*3,SUMPRODUCT($EA31:$EF31,$I$4:$N$4)))+$CV31*3</f>
        <v/>
      </c>
      <c r="EV31" s="141">
        <f>MAX(0,12-SUMPRODUCT($EA31:$EF31,$I$5:$N$5)+MIN(8,$EG31*2+$EH31*4,SUMPRODUCT($EA31:$EF31,$I$5:$N$5)))+$CV31*4</f>
        <v/>
      </c>
      <c r="EW31" s="141">
        <f>MAX(0,15-SUMPRODUCT($EA31:$EF31,$I$6:$N$6)+MIN(10,$EG31*3+$EH31*5,SUMPRODUCT($EA31:$EF31,$I$6:$N$6)))+$CV31*5</f>
        <v/>
      </c>
      <c r="EX31" s="141">
        <f>MAX(0,18-SUMPRODUCT($EA31:$EF31,$I$7:$N$7)+MIN(12,$EG31*3+$EH31*6,SUMPRODUCT($EA31:$EF31,$I$7:$N$7)))+$CV31*6</f>
        <v/>
      </c>
      <c r="EY31" s="141">
        <f>MAX(0,21-SUMPRODUCT($EA31:$EF31,$I$8:$N$8)+MIN(14,$EG31*4+$EH31*7,SUMPRODUCT($EA31:$EF31,$I$8:$N$8)))+$CV31*7</f>
        <v/>
      </c>
      <c r="EZ31" s="141">
        <f>IF($DU31=2,3*$ES31&amp;" de vida temp.",IF($DU31=3,"sem dano",IF($ES31=0,IF($DU31=1,"sem cura","sem dano"),IF($DU31=1,"cura ","")&amp;$ES31&amp;"d8")))</f>
        <v/>
      </c>
      <c r="FA31" s="141">
        <f>IF($DU31=2,3*$ET31&amp;" de vida temp.",IF($DU31=3,"sem dano",IF($ET31=0,IF($DU31=1,"sem cura","sem dano"),IF($DU31=1,"cura ","")&amp;$ET31&amp;"d8")))</f>
        <v/>
      </c>
      <c r="FB31" s="141">
        <f>IF($DU31=2,3*$EU31&amp;" de vida temp.",IF($DU31=3,"sem dano",IF($EU31=0,IF($DU31=1,"sem cura","sem dano"),IF($DU31=1,"cura ","")&amp;$EU31&amp;"d8")))</f>
        <v/>
      </c>
      <c r="FC31" s="141">
        <f>IF($DU31=2,3*$EV31&amp;" de vida temp.",IF($DU31=3,"sem dano",IF($EV31=0,IF($DU31=1,"sem cura","sem dano"),IF($DU31=1,"cura ","")&amp;$EV31&amp;"d8")))</f>
        <v/>
      </c>
      <c r="FD31" s="141">
        <f>IF($DU31=2,3*$EW31&amp;" de vida temp.",IF($DU31=3,"sem dano",IF($EW31=0,IF($DU31=1,"sem cura","sem dano"),IF($DU31=1,"cura ","")&amp;$EW31&amp;"d8")))</f>
        <v/>
      </c>
      <c r="FE31" s="141">
        <f>IF($DU31=2,3*$EX31&amp;" de vida temp.",IF($DU31=3,"sem dano",IF($EX31=0,IF($DU31=1,"sem cura","sem dano"),IF($DU31=1,"cura ","")&amp;$EX31&amp;"d8")))</f>
        <v/>
      </c>
      <c r="FF31" s="141">
        <f>IF($DU31=2,3*$EY31&amp;" de vida temp.",IF($DU31=3,"sem dano",IF($EY31=0,IF($DU31=1,"sem cura","sem dano"),IF($DU31=1,"cura ","")&amp;$EY31&amp;"d8")))</f>
        <v/>
      </c>
      <c r="FG31" s="141">
        <f>IF($DG31=0,"",TEXTJOIN(" · ",TRUE,IF(AND($CV31=1,$CW31&gt;$GF$9),"O nível "&amp;$GF$2&amp;" dá "&amp;$GF$9&amp;" Liberação Máxima",""),IF($CX31&gt;$GF$4,"Classe "&amp;$CX31&amp;": o nível "&amp;$GF$2&amp;" libera até a "&amp;$GF$4,""),IF($DN31=1,"Família Fechada: a Forma "&amp;$CZ31,""),IF($DO31=1,"Família Fechada: "&amp;$DA31,""),IF($DP31=1,"Família Fechada: "&amp;$DB31,""),IF($DQ31=1,"Família Fechada: "&amp;$DC31,""),IF($DR31=1,"Família Fechada: "&amp;$DD31,""),IF($EI31&gt;INDEX($O$2:$O$8,$CX31),$EI31&amp;" Melhorias: a Classe "&amp;$CX31&amp;" aceita "&amp;INDEX($O$2:$O$8,$CX31),""),IF($EJ31&gt;2,$EJ31&amp;" Restrições"&amp;IF($DT31=1,", contando a que a Forma "&amp;$CZ31&amp;" já traz","")&amp;": o limite é 2",""),IF($EP31&lt;0,"Orçamento estourado: faltam "&amp;(-$EP31)&amp;IF($EP31&lt;-1," pontos"," ponto"),""),IF(IFERROR(VLOOKUP($DE31,$BD$2:$BH$24,4,FALSE),0)+IFERROR(VLOOKUP($DF31,$BD$2:$BH$24,4,FALSE),0)&gt;1,$DY31&amp;" e "&amp;$DZ31&amp;" são as duas de frequência",""),IF(AND((COUNTIF($DA31:$DD31,"Rápido")+COUNTIF($DY31:$DZ31,"Rápido"))&gt;0,(COUNTIF($DA31:$DD31,"Reação")+COUNTIF($DY31:$DZ31,"Reação"))&gt;0),"Rápido não entra com Reação",""),IF(AND((COUNTIF($DA31:$DD31,"Rápido")+COUNTIF($DY31:$DZ31,"Rápido"))&gt;0,(COUNTIF($DA31:$DD31,"Atrasar")+COUNTIF($DY31:$DZ31,"Atrasar"))&gt;0),"Rápido não entra com Atrasar",""),IF(AND((COUNTIF($DA31:$DD31,"Reação")+COUNTIF($DY31:$DZ31,"Reação"))&gt;0,(COUNTIF($DA31:$DD31,"Atrasar")+COUNTIF($DY31:$DZ31,"Atrasar"))&gt;0),"Reação não entra com Atrasar",""),IF(AND((COUNTIF($DA31:$DD31,"Reação")+COUNTIF($DY31:$DZ31,"Reação"))&gt;0,(COUNTIF($DA31:$DD31,"Parado")+COUNTIF($DY31:$DZ31,"Parado"))&gt;0),"Reação não entra com Parado",""),IF(AND(COUNTIF($DY31:$DZ31,"Corpo a Corpo")&gt;0,$DT31=0,OR($CZ31="Cone",$CZ31="Linha")),"Corpo a Corpo não entra em "&amp;$CZ31,""),IF(AND(COUNTIF($DY31:$DZ31,"Corpo a Corpo")&gt;0,$DT31=1),"A Forma "&amp;$CZ31&amp;" já traz o Corpo a Corpo",""),IF(AND(COUNTIF($DY31:$DZ31,"Tudo ou Nada")&gt;0,$DV31=0),"Tudo ou Nada só entra em feitiço de Teste de Resistência",""),IF(AND(COUNTIF($DA31:$DD31,"Inescapável")&gt;0,OR($EI31&gt;1,$EJ31&gt;0)),"Inescapável não aceita outra peça",""),IF(AND($CV31=1,$CX31&lt;3),"Liberação Máxima é de Classe 3 ou mais",""),IF(AND($CV31=1,OR($DU31=1,$DU31=2)),"Liberação Máxima não serve para cura",""),IF(AND($CV31=1,COUNTIF($DA31:$DD31,"Inescapável")+COUNTIF($DA31:$DD31,"Toca a Alma")&gt;0),"Esta peça não entra numa Liberação Máxima",""),IF($EQ31+$ER31&gt;4*$CX31,($EQ31+$ER31)&amp;" dados somando alvos e repetições: o teto da Classe "&amp;$CX31&amp;" é "&amp;4*$CX31,"")))</f>
        <v/>
      </c>
      <c r="FH31" s="141">
        <f>IF($FG31="",0,(LEN($FG31)-LEN(SUBSTITUTE($FG31," · ","")))/3+1)</f>
        <v/>
      </c>
      <c r="FI31" s="141">
        <f>IF($DG31=0,"",TEXTJOIN(" · ",TRUE,IF($EL31&gt;2*$CX31,"A devolução parou no teto de "&amp;2*$CX31,""),IF($EO31&gt;0,"Devolução perdida: "&amp;$EO31&amp;IF($EO31&gt;1," pontos"," ponto")&amp;" sem peça para pagar",""),IF(AND($DS31&gt;0,$EQ31=0),"Controle sem dano: uma rodada a mais e CD +2",""),IF(AND($DS31&gt;0,$EQ31&gt;0,$EQ31&lt;=$CX31),"Controle com um quarto do teto: uma rodada a mais","")))</f>
        <v/>
      </c>
      <c r="FJ31" s="141">
        <f>IF($FI31="",0,(LEN($FI31)-LEN(SUBSTITUTE($FI31," · ","")))/3+1)</f>
        <v/>
      </c>
      <c r="FK31" s="141">
        <f>IF($DG31=0,IF($EI31+$EJ31-$DT31&gt;0,"Dê um nome",""),IF($FH31&gt;0,"⚠ "&amp;$FH31&amp;IF($FH31&gt;1," erros"," erro"),IF($FJ31&gt;0,"! "&amp;$FJ31&amp;IF($FJ31&gt;1," avisos"," aviso"),"Na regra")))</f>
        <v/>
      </c>
      <c r="FL31" s="141">
        <f>IF($DG31=0,"",IF($FH31+$FJ31=0,"Dentro das regras que a ficha confere",$FG31&amp;IF(AND($FH31&gt;0,$FJ31&gt;0)," · ","")&amp;$FI31))</f>
        <v/>
      </c>
      <c r="FM31" s="141">
        <f>IF($DG31=0,"",IF($CV31=1,CEILING(4.5*$CX31,1),3*$CX31)&amp;" PE")</f>
        <v/>
      </c>
      <c r="FN31" s="141">
        <f>IF($DG31=0,"",IF($CV31=1,"Rodada inteira",IF(COUNTIF($DY31:$DZ31,"Atrasar")&gt;0,IF(COUNTIF($DY31:$DZ31,"Carregar")&gt;0,"Rodada +1 turno","Rodada inteira"),IF(COUNTIF($DA31:$DD31,"Rápido")&gt;0,"Bônus",IF(COUNTIF($DA31:$DD31,"Reação")&gt;0,"Reação","Padrão"))&amp;IF(COUNTIF($DY31:$DZ31,"Carregar")&gt;0," +1 turno",""))))</f>
        <v/>
      </c>
      <c r="FO31" s="141">
        <f>IF(OR($DG31=0,$DH31=0),"",IF(COUNTIF($DA31:$DD31,"Inescapável")&gt;0,"Automático",IF(COUNTIF($DA31:$DD31,"Certeiro")&gt;0,"TR para metade",INDEX($X$2:$X$11,$DH31))))</f>
        <v/>
      </c>
      <c r="FP31" s="141">
        <f>IF(OR($DG31=0,$DH31=0),"",IF(OR($DU31&gt;=2,$EQ31=0),UPPER(LEFT(INDEX($EZ31:$FF31,1,$CX31),1))&amp;MID(INDEX($EZ31:$FF31,1,$CX31),2,99),UPPER(LEFT(INDEX($EZ31:$FF31,1,$CX31),1))&amp;MID(INDEX($EZ31:$FF31,1,$CX31),2,99)&amp;" = "&amp;FLOOR($EQ31*4.5,1)&amp;IF($ER31&gt;0," · +"&amp;$ER31&amp;"d8","")))</f>
        <v/>
      </c>
      <c r="FQ31" s="141">
        <f>COUNTIF($DA31:$DD31,"Longe")+3*COUNTIF($DA31:$DD31,"Muito Longe")</f>
        <v/>
      </c>
      <c r="FR31" s="141">
        <f>COUNTIF($DA31:$DD31,"Maior")+3*COUNTIF($DA31:$DD31,"Muito Maior")</f>
        <v/>
      </c>
      <c r="FS31" s="141">
        <f>IF($DH31=0,0,CHOOSE(1+INDEX($Z$2:$Z$11,$DH31),0,$FQ31,$FR31,$FQ31+$FR31))</f>
        <v/>
      </c>
      <c r="FT31" s="141">
        <f>IF($DH31=0,0,CHOOSE(1+INDEX($AA$2:$AA$11,$DH31),0,$FQ31,$FR31,$FQ31+$FR31))</f>
        <v/>
      </c>
      <c r="FU31" s="141">
        <f>IF(OR($DG31=0,$DH31=0),"",INDEX($AH$2:$AM$31,($DH31-1)*3+IF($CX31&gt;=6,3,2),1+MIN(5,$FS31))&amp;INDEX($AN$2:$AS$31,($DH31-1)*3+IF($CX31&gt;=6,3,2),1+MIN(5,$FT31))&amp;IF(INDEX($AB$2:$AB$11,$DH31)=1,IF(COUNTIF($DA31:$DD31,"Mais Um")&gt;0," · +"&amp;COUNTIF($DA31:$DD31,"Mais Um")&amp;IF(COUNTIF($DA31:$DD31,"Mais Um")&gt;1," alvos"," alvo"),"")&amp;IF(COUNTIF($DA31:$DD31,"Rajada")&gt;0," · "&amp;($CX31+1)&amp;" tiros",""),""))</f>
        <v/>
      </c>
      <c r="FV31" s="141">
        <f>IF($DG31=0,"",3*$CX31&amp;" − "&amp;$EK31&amp;" + "&amp;$EN31&amp;IF($CV31=1," + "&amp;$CX31,"")&amp;" = "&amp;$EQ31&amp;"d8 · teto "&amp;4*$CX31&amp;IF($DT31=1," · a Forma devolve "&amp;$CX31,"")&amp;IF($EO31&gt;0," · perde "&amp;$EO31,""))</f>
        <v/>
      </c>
      <c r="FW31" s="141">
        <f>IF($DG31=0,"",IF($CX31&gt;=$GF$4,"Já está na maior Classe que o nível liberou",TEXTJOIN(" · ",TRUE,IF(AND(2&gt;$CX31,2&lt;=$GF$4),"2 → "&amp;$FA31&amp;", "&amp;IF($CV31=1,9,6)&amp;" PE",""),IF(AND(3&gt;$CX31,3&lt;=$GF$4),"3 → "&amp;$FB31&amp;", "&amp;IF($CV31=1,14,9)&amp;" PE",""),IF(AND(4&gt;$CX31,4&lt;=$GF$4),"4 → "&amp;$FC31&amp;", "&amp;IF($CV31=1,18,12)&amp;" PE",""),IF(AND(5&gt;$CX31,5&lt;=$GF$4),"5 → "&amp;$FD31&amp;", "&amp;IF($CV31=1,23,15)&amp;" PE",""),IF(AND(6&gt;$CX31,6&lt;=$GF$4),"6 → "&amp;$FE31&amp;", "&amp;IF($CV31=1,27,18)&amp;" PE",""),IF(AND(7&gt;$CX31,7&lt;=$GF$4),"7 → "&amp;$FF31&amp;", "&amp;IF($CV31=1,32,21)&amp;" PE",""))))</f>
        <v/>
      </c>
      <c r="FX31" s="141">
        <f>IF(OR($DG31=0,$DJ31=0),"","−"&amp;INDEX($I$2:$N$8,$CX31,$DJ31)&amp;" · "&amp;CHOOSE($DJ31,"Leve","Média","Pesada","Leve · Livre","Média · Livre","Pesada · Livre"))</f>
        <v/>
      </c>
      <c r="FY31" s="141">
        <f>IF(OR($DG31=0,$DK31=0),"","−"&amp;INDEX($I$2:$N$8,$CX31,$DK31)&amp;" · "&amp;CHOOSE($DK31,"Leve","Média","Pesada","Leve · Livre","Média · Livre","Pesada · Livre"))</f>
        <v/>
      </c>
      <c r="FZ31" s="141">
        <f>IF(OR($DG31=0,$DL31=0),"","−"&amp;INDEX($I$2:$N$8,$CX31,$DL31)&amp;" · "&amp;CHOOSE($DL31,"Leve","Média","Pesada","Leve · Livre","Média · Livre","Pesada · Livre"))</f>
        <v/>
      </c>
      <c r="GA31" s="141">
        <f>IF(OR($DG31=0,$DM31=0),"","−"&amp;INDEX($I$2:$N$8,$CX31,$DM31)&amp;" · "&amp;CHOOSE($DM31,"Leve","Média","Pesada","Leve · Livre","Média · Livre","Pesada · Livre"))</f>
        <v/>
      </c>
      <c r="GB31" s="141">
        <f>IF(OR($DG31=0,$DE31=""),"","+"&amp;IF($DW31=1,CEILING($CX31/2,1),$CX31))</f>
        <v/>
      </c>
      <c r="GC31" s="141">
        <f>IF(OR($DG31=0,$DF31=""),"","+"&amp;IF($DX31=1,CEILING($CX31/2,1),$CX31))</f>
        <v/>
      </c>
      <c r="GE31" s="114" t="inlineStr">
        <is>
          <t>famílias fechadas</t>
        </is>
      </c>
      <c r="GF31" s="141">
        <f>COUNTIF($B$2:$B$10,"Fechada")</f>
        <v/>
      </c>
      <c r="HJ31" s="114" t="inlineStr">
        <is>
          <t>K356</t>
        </is>
      </c>
      <c r="HK31" s="141">
        <f>"−"&amp;DADOS_AM!$GF$32&amp;" PE"</f>
        <v/>
      </c>
    </row>
    <row r="32">
      <c r="AU32" s="114" t="inlineStr">
        <is>
          <t>Trava</t>
        </is>
      </c>
      <c r="AV32" s="114" t="inlineStr">
        <is>
          <t>Auxiliares</t>
        </is>
      </c>
      <c r="AW32" s="141" t="n">
        <v>1</v>
      </c>
      <c r="AX32" s="141">
        <f>$AW32+3*IFERROR(VLOOKUP($AV32,$A$2:$D$10,3,FALSE),0)</f>
        <v/>
      </c>
      <c r="AY32" s="141">
        <f>IFERROR(VLOOKUP($AV32,$A$2:$D$10,4,FALSE),0)</f>
        <v/>
      </c>
      <c r="AZ32" s="141" t="n">
        <v>0</v>
      </c>
      <c r="BA32" s="141">
        <f>IF($AY32=1,"",$AU32)</f>
        <v/>
      </c>
      <c r="BB32" s="141">
        <f>IF(AND($AW32=1,$AY32=0),$AU32,"")</f>
        <v/>
      </c>
      <c r="CU32" s="114" t="inlineStr">
        <is>
          <t>Feitiço 31</t>
        </is>
      </c>
      <c r="CV32" s="141" t="n">
        <v>0</v>
      </c>
      <c r="CW32" s="141" t="n">
        <v>31</v>
      </c>
      <c r="CX32" s="141">
        <f>MAX(1,MIN(7,N('FICHA AMALDIÇOADA'!$D$259)))</f>
        <v/>
      </c>
      <c r="CY32" s="141">
        <f>'FICHA AMALDIÇOADA'!$E$259&amp;""</f>
        <v/>
      </c>
      <c r="CZ32" s="141">
        <f>'FICHA AMALDIÇOADA'!$D$266&amp;""</f>
        <v/>
      </c>
      <c r="DA32" s="141">
        <f>'FICHA AMALDIÇOADA'!$E$268&amp;""</f>
        <v/>
      </c>
      <c r="DB32" s="141">
        <f>'FICHA AMALDIÇOADA'!$E$269&amp;""</f>
        <v/>
      </c>
      <c r="DC32" s="141">
        <f>'FICHA AMALDIÇOADA'!$E$270&amp;""</f>
        <v/>
      </c>
      <c r="DD32" s="141">
        <f>'FICHA AMALDIÇOADA'!$E$271&amp;""</f>
        <v/>
      </c>
      <c r="DE32" s="141">
        <f>'FICHA AMALDIÇOADA'!$E$272&amp;""</f>
        <v/>
      </c>
      <c r="DF32" s="141">
        <f>'FICHA AMALDIÇOADA'!$E$273&amp;""</f>
        <v/>
      </c>
      <c r="DG32" s="141">
        <f>IF($CY32&lt;&gt;"",1,0)</f>
        <v/>
      </c>
      <c r="DH32" s="141">
        <f>IFERROR(MATCH($CZ32,$Q$2:$Q$11,0),0)</f>
        <v/>
      </c>
      <c r="DI32" s="141">
        <f>IF($DH32=0,0,INDEX($T$2:$T$11,$DH32))</f>
        <v/>
      </c>
      <c r="DJ32" s="141">
        <f>IFERROR(VLOOKUP($DA32,$AU$2:$BB$84,4,FALSE),0)</f>
        <v/>
      </c>
      <c r="DK32" s="141">
        <f>IFERROR(VLOOKUP($DB32,$AU$2:$BB$84,4,FALSE),0)</f>
        <v/>
      </c>
      <c r="DL32" s="141">
        <f>IFERROR(VLOOKUP($DC32,$AU$2:$BB$84,4,FALSE),0)</f>
        <v/>
      </c>
      <c r="DM32" s="141">
        <f>IFERROR(VLOOKUP($DD32,$AU$2:$BB$84,4,FALSE),0)</f>
        <v/>
      </c>
      <c r="DN32" s="141">
        <f>IF($DH32=0,0,INDEX($U$2:$U$11,$DH32))</f>
        <v/>
      </c>
      <c r="DO32" s="141">
        <f>IFERROR(VLOOKUP($DA32,$AU$2:$BB$84,5,FALSE),0)</f>
        <v/>
      </c>
      <c r="DP32" s="141">
        <f>IFERROR(VLOOKUP($DB32,$AU$2:$BB$84,5,FALSE),0)</f>
        <v/>
      </c>
      <c r="DQ32" s="141">
        <f>IFERROR(VLOOKUP($DC32,$AU$2:$BB$84,5,FALSE),0)</f>
        <v/>
      </c>
      <c r="DR32" s="141">
        <f>IFERROR(VLOOKUP($DD32,$AU$2:$BB$84,5,FALSE),0)</f>
        <v/>
      </c>
      <c r="DS32" s="141">
        <f>IFERROR(VLOOKUP($DA32,$AU$2:$BB$84,6,FALSE),0)+IFERROR(VLOOKUP($DB32,$AU$2:$BB$84,6,FALSE),0)+IFERROR(VLOOKUP($DC32,$AU$2:$BB$84,6,FALSE),0)+IFERROR(VLOOKUP($DD32,$AU$2:$BB$84,6,FALSE),0)</f>
        <v/>
      </c>
      <c r="DT32" s="141">
        <f>IF($DH32=0,0,INDEX($V$2:$V$11,$DH32))</f>
        <v/>
      </c>
      <c r="DU32" s="141">
        <f>IF($DH32=0,0,INDEX($W$2:$W$11,$DH32))</f>
        <v/>
      </c>
      <c r="DV32" s="141">
        <f>IF($DH32=0,0,INDEX($Y$2:$Y$11,$DH32))</f>
        <v/>
      </c>
      <c r="DW32" s="141">
        <f>IFERROR(VLOOKUP($DE32,$BD$2:$BH$24,3,FALSE),0)</f>
        <v/>
      </c>
      <c r="DX32" s="141">
        <f>IFERROR(VLOOKUP($DF32,$BD$2:$BH$24,3,FALSE),0)</f>
        <v/>
      </c>
      <c r="DY32" s="141">
        <f>IFERROR(VLOOKUP($DE32,$BD$2:$BH$24,2,FALSE),"")</f>
        <v/>
      </c>
      <c r="DZ32" s="141">
        <f>IFERROR(VLOOKUP($DF32,$BD$2:$BH$24,2,FALSE),"")</f>
        <v/>
      </c>
      <c r="EA32" s="141">
        <f>COUNTIF($DI32:$DM32,1)</f>
        <v/>
      </c>
      <c r="EB32" s="141">
        <f>COUNTIF($DI32:$DM32,2)</f>
        <v/>
      </c>
      <c r="EC32" s="141">
        <f>COUNTIF($DI32:$DM32,3)</f>
        <v/>
      </c>
      <c r="ED32" s="141">
        <f>COUNTIF($DI32:$DM32,4)</f>
        <v/>
      </c>
      <c r="EE32" s="141">
        <f>COUNTIF($DI32:$DM32,5)</f>
        <v/>
      </c>
      <c r="EF32" s="141">
        <f>COUNTIF($DI32:$DM32,6)</f>
        <v/>
      </c>
      <c r="EG32" s="141">
        <f>COUNTIF($DW32:$DX32,1)</f>
        <v/>
      </c>
      <c r="EH32" s="141">
        <f>COUNTIF($DW32:$DX32,2)+$DT32</f>
        <v/>
      </c>
      <c r="EI32" s="141">
        <f>COUNTIF($DA32:$DD32,"?*")</f>
        <v/>
      </c>
      <c r="EJ32" s="141">
        <f>COUNTIF($DE32:$DF32,"?*")+$DT32</f>
        <v/>
      </c>
      <c r="EK32" s="141">
        <f>SUMPRODUCT($EA32:$EF32,INDEX($I$2:$N$8,$CX32,0))</f>
        <v/>
      </c>
      <c r="EL32" s="141">
        <f>$EG32*CEILING($CX32/2,1)+$EH32*$CX32</f>
        <v/>
      </c>
      <c r="EM32" s="141">
        <f>MIN(2*$CX32,$EL32)</f>
        <v/>
      </c>
      <c r="EN32" s="141">
        <f>MIN($EM32,$EK32)</f>
        <v/>
      </c>
      <c r="EO32" s="141">
        <f>$EM32-$EN32</f>
        <v/>
      </c>
      <c r="EP32" s="141">
        <f>3*$CX32-$EK32+$EN32</f>
        <v/>
      </c>
      <c r="EQ32" s="141">
        <f>MAX(0,$EP32)+$CV32*$CX32</f>
        <v/>
      </c>
      <c r="ER32" s="141">
        <f>(IF(COUNTIF($DA32:$DD32,"Salto")&gt;0,1,0)+IF(COUNTIF($DA32:$DD32,"Queima")&gt;0,1,0))*FLOOR($EQ32/2,1)</f>
        <v/>
      </c>
      <c r="ES32" s="141">
        <f>MAX(0,3-SUMPRODUCT($EA32:$EF32,$I$2:$N$2)+MIN(2,$EG32*1+$EH32*1,SUMPRODUCT($EA32:$EF32,$I$2:$N$2)))+$CV32*1</f>
        <v/>
      </c>
      <c r="ET32" s="141">
        <f>MAX(0,6-SUMPRODUCT($EA32:$EF32,$I$3:$N$3)+MIN(4,$EG32*1+$EH32*2,SUMPRODUCT($EA32:$EF32,$I$3:$N$3)))+$CV32*2</f>
        <v/>
      </c>
      <c r="EU32" s="141">
        <f>MAX(0,9-SUMPRODUCT($EA32:$EF32,$I$4:$N$4)+MIN(6,$EG32*2+$EH32*3,SUMPRODUCT($EA32:$EF32,$I$4:$N$4)))+$CV32*3</f>
        <v/>
      </c>
      <c r="EV32" s="141">
        <f>MAX(0,12-SUMPRODUCT($EA32:$EF32,$I$5:$N$5)+MIN(8,$EG32*2+$EH32*4,SUMPRODUCT($EA32:$EF32,$I$5:$N$5)))+$CV32*4</f>
        <v/>
      </c>
      <c r="EW32" s="141">
        <f>MAX(0,15-SUMPRODUCT($EA32:$EF32,$I$6:$N$6)+MIN(10,$EG32*3+$EH32*5,SUMPRODUCT($EA32:$EF32,$I$6:$N$6)))+$CV32*5</f>
        <v/>
      </c>
      <c r="EX32" s="141">
        <f>MAX(0,18-SUMPRODUCT($EA32:$EF32,$I$7:$N$7)+MIN(12,$EG32*3+$EH32*6,SUMPRODUCT($EA32:$EF32,$I$7:$N$7)))+$CV32*6</f>
        <v/>
      </c>
      <c r="EY32" s="141">
        <f>MAX(0,21-SUMPRODUCT($EA32:$EF32,$I$8:$N$8)+MIN(14,$EG32*4+$EH32*7,SUMPRODUCT($EA32:$EF32,$I$8:$N$8)))+$CV32*7</f>
        <v/>
      </c>
      <c r="EZ32" s="141">
        <f>IF($DU32=2,3*$ES32&amp;" de vida temp.",IF($DU32=3,"sem dano",IF($ES32=0,IF($DU32=1,"sem cura","sem dano"),IF($DU32=1,"cura ","")&amp;$ES32&amp;"d8")))</f>
        <v/>
      </c>
      <c r="FA32" s="141">
        <f>IF($DU32=2,3*$ET32&amp;" de vida temp.",IF($DU32=3,"sem dano",IF($ET32=0,IF($DU32=1,"sem cura","sem dano"),IF($DU32=1,"cura ","")&amp;$ET32&amp;"d8")))</f>
        <v/>
      </c>
      <c r="FB32" s="141">
        <f>IF($DU32=2,3*$EU32&amp;" de vida temp.",IF($DU32=3,"sem dano",IF($EU32=0,IF($DU32=1,"sem cura","sem dano"),IF($DU32=1,"cura ","")&amp;$EU32&amp;"d8")))</f>
        <v/>
      </c>
      <c r="FC32" s="141">
        <f>IF($DU32=2,3*$EV32&amp;" de vida temp.",IF($DU32=3,"sem dano",IF($EV32=0,IF($DU32=1,"sem cura","sem dano"),IF($DU32=1,"cura ","")&amp;$EV32&amp;"d8")))</f>
        <v/>
      </c>
      <c r="FD32" s="141">
        <f>IF($DU32=2,3*$EW32&amp;" de vida temp.",IF($DU32=3,"sem dano",IF($EW32=0,IF($DU32=1,"sem cura","sem dano"),IF($DU32=1,"cura ","")&amp;$EW32&amp;"d8")))</f>
        <v/>
      </c>
      <c r="FE32" s="141">
        <f>IF($DU32=2,3*$EX32&amp;" de vida temp.",IF($DU32=3,"sem dano",IF($EX32=0,IF($DU32=1,"sem cura","sem dano"),IF($DU32=1,"cura ","")&amp;$EX32&amp;"d8")))</f>
        <v/>
      </c>
      <c r="FF32" s="141">
        <f>IF($DU32=2,3*$EY32&amp;" de vida temp.",IF($DU32=3,"sem dano",IF($EY32=0,IF($DU32=1,"sem cura","sem dano"),IF($DU32=1,"cura ","")&amp;$EY32&amp;"d8")))</f>
        <v/>
      </c>
      <c r="FG32" s="141">
        <f>IF($DG32=0,"",TEXTJOIN(" · ",TRUE,IF(AND($CV32=1,$CW32&gt;$GF$9),"O nível "&amp;$GF$2&amp;" dá "&amp;$GF$9&amp;" Liberação Máxima",""),IF($CX32&gt;$GF$4,"Classe "&amp;$CX32&amp;": o nível "&amp;$GF$2&amp;" libera até a "&amp;$GF$4,""),IF($DN32=1,"Família Fechada: a Forma "&amp;$CZ32,""),IF($DO32=1,"Família Fechada: "&amp;$DA32,""),IF($DP32=1,"Família Fechada: "&amp;$DB32,""),IF($DQ32=1,"Família Fechada: "&amp;$DC32,""),IF($DR32=1,"Família Fechada: "&amp;$DD32,""),IF($EI32&gt;INDEX($O$2:$O$8,$CX32),$EI32&amp;" Melhorias: a Classe "&amp;$CX32&amp;" aceita "&amp;INDEX($O$2:$O$8,$CX32),""),IF($EJ32&gt;2,$EJ32&amp;" Restrições"&amp;IF($DT32=1,", contando a que a Forma "&amp;$CZ32&amp;" já traz","")&amp;": o limite é 2",""),IF($EP32&lt;0,"Orçamento estourado: faltam "&amp;(-$EP32)&amp;IF($EP32&lt;-1," pontos"," ponto"),""),IF(IFERROR(VLOOKUP($DE32,$BD$2:$BH$24,4,FALSE),0)+IFERROR(VLOOKUP($DF32,$BD$2:$BH$24,4,FALSE),0)&gt;1,$DY32&amp;" e "&amp;$DZ32&amp;" são as duas de frequência",""),IF(AND((COUNTIF($DA32:$DD32,"Rápido")+COUNTIF($DY32:$DZ32,"Rápido"))&gt;0,(COUNTIF($DA32:$DD32,"Reação")+COUNTIF($DY32:$DZ32,"Reação"))&gt;0),"Rápido não entra com Reação",""),IF(AND((COUNTIF($DA32:$DD32,"Rápido")+COUNTIF($DY32:$DZ32,"Rápido"))&gt;0,(COUNTIF($DA32:$DD32,"Atrasar")+COUNTIF($DY32:$DZ32,"Atrasar"))&gt;0),"Rápido não entra com Atrasar",""),IF(AND((COUNTIF($DA32:$DD32,"Reação")+COUNTIF($DY32:$DZ32,"Reação"))&gt;0,(COUNTIF($DA32:$DD32,"Atrasar")+COUNTIF($DY32:$DZ32,"Atrasar"))&gt;0),"Reação não entra com Atrasar",""),IF(AND((COUNTIF($DA32:$DD32,"Reação")+COUNTIF($DY32:$DZ32,"Reação"))&gt;0,(COUNTIF($DA32:$DD32,"Parado")+COUNTIF($DY32:$DZ32,"Parado"))&gt;0),"Reação não entra com Parado",""),IF(AND(COUNTIF($DY32:$DZ32,"Corpo a Corpo")&gt;0,$DT32=0,OR($CZ32="Cone",$CZ32="Linha")),"Corpo a Corpo não entra em "&amp;$CZ32,""),IF(AND(COUNTIF($DY32:$DZ32,"Corpo a Corpo")&gt;0,$DT32=1),"A Forma "&amp;$CZ32&amp;" já traz o Corpo a Corpo",""),IF(AND(COUNTIF($DY32:$DZ32,"Tudo ou Nada")&gt;0,$DV32=0),"Tudo ou Nada só entra em feitiço de Teste de Resistência",""),IF(AND(COUNTIF($DA32:$DD32,"Inescapável")&gt;0,OR($EI32&gt;1,$EJ32&gt;0)),"Inescapável não aceita outra peça",""),IF(AND($CV32=1,$CX32&lt;3),"Liberação Máxima é de Classe 3 ou mais",""),IF(AND($CV32=1,OR($DU32=1,$DU32=2)),"Liberação Máxima não serve para cura",""),IF(AND($CV32=1,COUNTIF($DA32:$DD32,"Inescapável")+COUNTIF($DA32:$DD32,"Toca a Alma")&gt;0),"Esta peça não entra numa Liberação Máxima",""),IF($EQ32+$ER32&gt;4*$CX32,($EQ32+$ER32)&amp;" dados somando alvos e repetições: o teto da Classe "&amp;$CX32&amp;" é "&amp;4*$CX32,"")))</f>
        <v/>
      </c>
      <c r="FH32" s="141">
        <f>IF($FG32="",0,(LEN($FG32)-LEN(SUBSTITUTE($FG32," · ","")))/3+1)</f>
        <v/>
      </c>
      <c r="FI32" s="141">
        <f>IF($DG32=0,"",TEXTJOIN(" · ",TRUE,IF($EL32&gt;2*$CX32,"A devolução parou no teto de "&amp;2*$CX32,""),IF($EO32&gt;0,"Devolução perdida: "&amp;$EO32&amp;IF($EO32&gt;1," pontos"," ponto")&amp;" sem peça para pagar",""),IF(AND($DS32&gt;0,$EQ32=0),"Controle sem dano: uma rodada a mais e CD +2",""),IF(AND($DS32&gt;0,$EQ32&gt;0,$EQ32&lt;=$CX32),"Controle com um quarto do teto: uma rodada a mais","")))</f>
        <v/>
      </c>
      <c r="FJ32" s="141">
        <f>IF($FI32="",0,(LEN($FI32)-LEN(SUBSTITUTE($FI32," · ","")))/3+1)</f>
        <v/>
      </c>
      <c r="FK32" s="141">
        <f>IF($DG32=0,IF($EI32+$EJ32-$DT32&gt;0,"Dê um nome",""),IF($FH32&gt;0,"⚠ "&amp;$FH32&amp;IF($FH32&gt;1," erros"," erro"),IF($FJ32&gt;0,"! "&amp;$FJ32&amp;IF($FJ32&gt;1," avisos"," aviso"),"Na regra")))</f>
        <v/>
      </c>
      <c r="FL32" s="141">
        <f>IF($DG32=0,"",IF($FH32+$FJ32=0,"Dentro das regras que a ficha confere",$FG32&amp;IF(AND($FH32&gt;0,$FJ32&gt;0)," · ","")&amp;$FI32))</f>
        <v/>
      </c>
      <c r="FM32" s="141">
        <f>IF($DG32=0,"",IF($CV32=1,CEILING(4.5*$CX32,1),3*$CX32)&amp;" PE")</f>
        <v/>
      </c>
      <c r="FN32" s="141">
        <f>IF($DG32=0,"",IF($CV32=1,"Rodada inteira",IF(COUNTIF($DY32:$DZ32,"Atrasar")&gt;0,IF(COUNTIF($DY32:$DZ32,"Carregar")&gt;0,"Rodada +1 turno","Rodada inteira"),IF(COUNTIF($DA32:$DD32,"Rápido")&gt;0,"Bônus",IF(COUNTIF($DA32:$DD32,"Reação")&gt;0,"Reação","Padrão"))&amp;IF(COUNTIF($DY32:$DZ32,"Carregar")&gt;0," +1 turno",""))))</f>
        <v/>
      </c>
      <c r="FO32" s="141">
        <f>IF(OR($DG32=0,$DH32=0),"",IF(COUNTIF($DA32:$DD32,"Inescapável")&gt;0,"Automático",IF(COUNTIF($DA32:$DD32,"Certeiro")&gt;0,"TR para metade",INDEX($X$2:$X$11,$DH32))))</f>
        <v/>
      </c>
      <c r="FP32" s="141">
        <f>IF(OR($DG32=0,$DH32=0),"",IF(OR($DU32&gt;=2,$EQ32=0),UPPER(LEFT(INDEX($EZ32:$FF32,1,$CX32),1))&amp;MID(INDEX($EZ32:$FF32,1,$CX32),2,99),UPPER(LEFT(INDEX($EZ32:$FF32,1,$CX32),1))&amp;MID(INDEX($EZ32:$FF32,1,$CX32),2,99)&amp;" = "&amp;FLOOR($EQ32*4.5,1)&amp;IF($ER32&gt;0," · +"&amp;$ER32&amp;"d8","")))</f>
        <v/>
      </c>
      <c r="FQ32" s="141">
        <f>COUNTIF($DA32:$DD32,"Longe")+3*COUNTIF($DA32:$DD32,"Muito Longe")</f>
        <v/>
      </c>
      <c r="FR32" s="141">
        <f>COUNTIF($DA32:$DD32,"Maior")+3*COUNTIF($DA32:$DD32,"Muito Maior")</f>
        <v/>
      </c>
      <c r="FS32" s="141">
        <f>IF($DH32=0,0,CHOOSE(1+INDEX($Z$2:$Z$11,$DH32),0,$FQ32,$FR32,$FQ32+$FR32))</f>
        <v/>
      </c>
      <c r="FT32" s="141">
        <f>IF($DH32=0,0,CHOOSE(1+INDEX($AA$2:$AA$11,$DH32),0,$FQ32,$FR32,$FQ32+$FR32))</f>
        <v/>
      </c>
      <c r="FU32" s="141">
        <f>IF(OR($DG32=0,$DH32=0),"",INDEX($AH$2:$AM$31,($DH32-1)*3+IF($CX32&gt;=6,3,2),1+MIN(5,$FS32))&amp;INDEX($AN$2:$AS$31,($DH32-1)*3+IF($CX32&gt;=6,3,2),1+MIN(5,$FT32))&amp;IF(INDEX($AB$2:$AB$11,$DH32)=1,IF(COUNTIF($DA32:$DD32,"Mais Um")&gt;0," · +"&amp;COUNTIF($DA32:$DD32,"Mais Um")&amp;IF(COUNTIF($DA32:$DD32,"Mais Um")&gt;1," alvos"," alvo"),"")&amp;IF(COUNTIF($DA32:$DD32,"Rajada")&gt;0," · "&amp;($CX32+1)&amp;" tiros",""),""))</f>
        <v/>
      </c>
      <c r="FV32" s="141">
        <f>IF($DG32=0,"",3*$CX32&amp;" − "&amp;$EK32&amp;" + "&amp;$EN32&amp;IF($CV32=1," + "&amp;$CX32,"")&amp;" = "&amp;$EQ32&amp;"d8 · teto "&amp;4*$CX32&amp;IF($DT32=1," · a Forma devolve "&amp;$CX32,"")&amp;IF($EO32&gt;0," · perde "&amp;$EO32,""))</f>
        <v/>
      </c>
      <c r="FW32" s="141">
        <f>IF($DG32=0,"",IF($CX32&gt;=$GF$4,"Já está na maior Classe que o nível liberou",TEXTJOIN(" · ",TRUE,IF(AND(2&gt;$CX32,2&lt;=$GF$4),"2 → "&amp;$FA32&amp;", "&amp;IF($CV32=1,9,6)&amp;" PE",""),IF(AND(3&gt;$CX32,3&lt;=$GF$4),"3 → "&amp;$FB32&amp;", "&amp;IF($CV32=1,14,9)&amp;" PE",""),IF(AND(4&gt;$CX32,4&lt;=$GF$4),"4 → "&amp;$FC32&amp;", "&amp;IF($CV32=1,18,12)&amp;" PE",""),IF(AND(5&gt;$CX32,5&lt;=$GF$4),"5 → "&amp;$FD32&amp;", "&amp;IF($CV32=1,23,15)&amp;" PE",""),IF(AND(6&gt;$CX32,6&lt;=$GF$4),"6 → "&amp;$FE32&amp;", "&amp;IF($CV32=1,27,18)&amp;" PE",""),IF(AND(7&gt;$CX32,7&lt;=$GF$4),"7 → "&amp;$FF32&amp;", "&amp;IF($CV32=1,32,21)&amp;" PE",""))))</f>
        <v/>
      </c>
      <c r="FX32" s="141">
        <f>IF(OR($DG32=0,$DJ32=0),"","−"&amp;INDEX($I$2:$N$8,$CX32,$DJ32)&amp;" · "&amp;CHOOSE($DJ32,"Leve","Média","Pesada","Leve · Livre","Média · Livre","Pesada · Livre"))</f>
        <v/>
      </c>
      <c r="FY32" s="141">
        <f>IF(OR($DG32=0,$DK32=0),"","−"&amp;INDEX($I$2:$N$8,$CX32,$DK32)&amp;" · "&amp;CHOOSE($DK32,"Leve","Média","Pesada","Leve · Livre","Média · Livre","Pesada · Livre"))</f>
        <v/>
      </c>
      <c r="FZ32" s="141">
        <f>IF(OR($DG32=0,$DL32=0),"","−"&amp;INDEX($I$2:$N$8,$CX32,$DL32)&amp;" · "&amp;CHOOSE($DL32,"Leve","Média","Pesada","Leve · Livre","Média · Livre","Pesada · Livre"))</f>
        <v/>
      </c>
      <c r="GA32" s="141">
        <f>IF(OR($DG32=0,$DM32=0),"","−"&amp;INDEX($I$2:$N$8,$CX32,$DM32)&amp;" · "&amp;CHOOSE($DM32,"Leve","Média","Pesada","Leve · Livre","Média · Livre","Pesada · Livre"))</f>
        <v/>
      </c>
      <c r="GB32" s="141">
        <f>IF(OR($DG32=0,$DE32=""),"","+"&amp;IF($DW32=1,CEILING($CX32/2,1),$CX32))</f>
        <v/>
      </c>
      <c r="GC32" s="141">
        <f>IF(OR($DG32=0,$DF32=""),"","+"&amp;IF($DX32=1,CEILING($CX32/2,1),$CX32))</f>
        <v/>
      </c>
      <c r="GE32" s="114" t="inlineStr">
        <is>
          <t>metade do refino</t>
        </is>
      </c>
      <c r="GF32" s="141">
        <f>MAX(1,FLOOR($GF$6/2,1))</f>
        <v/>
      </c>
      <c r="HJ32" s="114" t="inlineStr">
        <is>
          <t>L356</t>
        </is>
      </c>
      <c r="HK32" s="141">
        <f>50*DADOS_AM!$GF$32&amp;" de vida"</f>
        <v/>
      </c>
    </row>
    <row r="33">
      <c r="AU33" s="114" t="inlineStr">
        <is>
          <t>Abre Ferida</t>
        </is>
      </c>
      <c r="AV33" s="114" t="inlineStr">
        <is>
          <t>Auxiliares</t>
        </is>
      </c>
      <c r="AW33" s="141" t="n">
        <v>1</v>
      </c>
      <c r="AX33" s="141">
        <f>$AW33+3*IFERROR(VLOOKUP($AV33,$A$2:$D$10,3,FALSE),0)</f>
        <v/>
      </c>
      <c r="AY33" s="141">
        <f>IFERROR(VLOOKUP($AV33,$A$2:$D$10,4,FALSE),0)</f>
        <v/>
      </c>
      <c r="AZ33" s="141" t="n">
        <v>0</v>
      </c>
      <c r="BA33" s="141">
        <f>IF($AY33=1,"",$AU33)</f>
        <v/>
      </c>
      <c r="BB33" s="141">
        <f>IF(AND($AW33=1,$AY33=0),$AU33,"")</f>
        <v/>
      </c>
      <c r="CU33" s="114" t="inlineStr">
        <is>
          <t>Feitiço 32</t>
        </is>
      </c>
      <c r="CV33" s="141" t="n">
        <v>0</v>
      </c>
      <c r="CW33" s="141" t="n">
        <v>32</v>
      </c>
      <c r="CX33" s="141">
        <f>MAX(1,MIN(7,N('FICHA AMALDIÇOADA'!$J$259)))</f>
        <v/>
      </c>
      <c r="CY33" s="141">
        <f>'FICHA AMALDIÇOADA'!$K$259&amp;""</f>
        <v/>
      </c>
      <c r="CZ33" s="141">
        <f>'FICHA AMALDIÇOADA'!$J$266&amp;""</f>
        <v/>
      </c>
      <c r="DA33" s="141">
        <f>'FICHA AMALDIÇOADA'!$K$268&amp;""</f>
        <v/>
      </c>
      <c r="DB33" s="141">
        <f>'FICHA AMALDIÇOADA'!$K$269&amp;""</f>
        <v/>
      </c>
      <c r="DC33" s="141">
        <f>'FICHA AMALDIÇOADA'!$K$270&amp;""</f>
        <v/>
      </c>
      <c r="DD33" s="141">
        <f>'FICHA AMALDIÇOADA'!$K$271&amp;""</f>
        <v/>
      </c>
      <c r="DE33" s="141">
        <f>'FICHA AMALDIÇOADA'!$K$272&amp;""</f>
        <v/>
      </c>
      <c r="DF33" s="141">
        <f>'FICHA AMALDIÇOADA'!$K$273&amp;""</f>
        <v/>
      </c>
      <c r="DG33" s="141">
        <f>IF($CY33&lt;&gt;"",1,0)</f>
        <v/>
      </c>
      <c r="DH33" s="141">
        <f>IFERROR(MATCH($CZ33,$Q$2:$Q$11,0),0)</f>
        <v/>
      </c>
      <c r="DI33" s="141">
        <f>IF($DH33=0,0,INDEX($T$2:$T$11,$DH33))</f>
        <v/>
      </c>
      <c r="DJ33" s="141">
        <f>IFERROR(VLOOKUP($DA33,$AU$2:$BB$84,4,FALSE),0)</f>
        <v/>
      </c>
      <c r="DK33" s="141">
        <f>IFERROR(VLOOKUP($DB33,$AU$2:$BB$84,4,FALSE),0)</f>
        <v/>
      </c>
      <c r="DL33" s="141">
        <f>IFERROR(VLOOKUP($DC33,$AU$2:$BB$84,4,FALSE),0)</f>
        <v/>
      </c>
      <c r="DM33" s="141">
        <f>IFERROR(VLOOKUP($DD33,$AU$2:$BB$84,4,FALSE),0)</f>
        <v/>
      </c>
      <c r="DN33" s="141">
        <f>IF($DH33=0,0,INDEX($U$2:$U$11,$DH33))</f>
        <v/>
      </c>
      <c r="DO33" s="141">
        <f>IFERROR(VLOOKUP($DA33,$AU$2:$BB$84,5,FALSE),0)</f>
        <v/>
      </c>
      <c r="DP33" s="141">
        <f>IFERROR(VLOOKUP($DB33,$AU$2:$BB$84,5,FALSE),0)</f>
        <v/>
      </c>
      <c r="DQ33" s="141">
        <f>IFERROR(VLOOKUP($DC33,$AU$2:$BB$84,5,FALSE),0)</f>
        <v/>
      </c>
      <c r="DR33" s="141">
        <f>IFERROR(VLOOKUP($DD33,$AU$2:$BB$84,5,FALSE),0)</f>
        <v/>
      </c>
      <c r="DS33" s="141">
        <f>IFERROR(VLOOKUP($DA33,$AU$2:$BB$84,6,FALSE),0)+IFERROR(VLOOKUP($DB33,$AU$2:$BB$84,6,FALSE),0)+IFERROR(VLOOKUP($DC33,$AU$2:$BB$84,6,FALSE),0)+IFERROR(VLOOKUP($DD33,$AU$2:$BB$84,6,FALSE),0)</f>
        <v/>
      </c>
      <c r="DT33" s="141">
        <f>IF($DH33=0,0,INDEX($V$2:$V$11,$DH33))</f>
        <v/>
      </c>
      <c r="DU33" s="141">
        <f>IF($DH33=0,0,INDEX($W$2:$W$11,$DH33))</f>
        <v/>
      </c>
      <c r="DV33" s="141">
        <f>IF($DH33=0,0,INDEX($Y$2:$Y$11,$DH33))</f>
        <v/>
      </c>
      <c r="DW33" s="141">
        <f>IFERROR(VLOOKUP($DE33,$BD$2:$BH$24,3,FALSE),0)</f>
        <v/>
      </c>
      <c r="DX33" s="141">
        <f>IFERROR(VLOOKUP($DF33,$BD$2:$BH$24,3,FALSE),0)</f>
        <v/>
      </c>
      <c r="DY33" s="141">
        <f>IFERROR(VLOOKUP($DE33,$BD$2:$BH$24,2,FALSE),"")</f>
        <v/>
      </c>
      <c r="DZ33" s="141">
        <f>IFERROR(VLOOKUP($DF33,$BD$2:$BH$24,2,FALSE),"")</f>
        <v/>
      </c>
      <c r="EA33" s="141">
        <f>COUNTIF($DI33:$DM33,1)</f>
        <v/>
      </c>
      <c r="EB33" s="141">
        <f>COUNTIF($DI33:$DM33,2)</f>
        <v/>
      </c>
      <c r="EC33" s="141">
        <f>COUNTIF($DI33:$DM33,3)</f>
        <v/>
      </c>
      <c r="ED33" s="141">
        <f>COUNTIF($DI33:$DM33,4)</f>
        <v/>
      </c>
      <c r="EE33" s="141">
        <f>COUNTIF($DI33:$DM33,5)</f>
        <v/>
      </c>
      <c r="EF33" s="141">
        <f>COUNTIF($DI33:$DM33,6)</f>
        <v/>
      </c>
      <c r="EG33" s="141">
        <f>COUNTIF($DW33:$DX33,1)</f>
        <v/>
      </c>
      <c r="EH33" s="141">
        <f>COUNTIF($DW33:$DX33,2)+$DT33</f>
        <v/>
      </c>
      <c r="EI33" s="141">
        <f>COUNTIF($DA33:$DD33,"?*")</f>
        <v/>
      </c>
      <c r="EJ33" s="141">
        <f>COUNTIF($DE33:$DF33,"?*")+$DT33</f>
        <v/>
      </c>
      <c r="EK33" s="141">
        <f>SUMPRODUCT($EA33:$EF33,INDEX($I$2:$N$8,$CX33,0))</f>
        <v/>
      </c>
      <c r="EL33" s="141">
        <f>$EG33*CEILING($CX33/2,1)+$EH33*$CX33</f>
        <v/>
      </c>
      <c r="EM33" s="141">
        <f>MIN(2*$CX33,$EL33)</f>
        <v/>
      </c>
      <c r="EN33" s="141">
        <f>MIN($EM33,$EK33)</f>
        <v/>
      </c>
      <c r="EO33" s="141">
        <f>$EM33-$EN33</f>
        <v/>
      </c>
      <c r="EP33" s="141">
        <f>3*$CX33-$EK33+$EN33</f>
        <v/>
      </c>
      <c r="EQ33" s="141">
        <f>MAX(0,$EP33)+$CV33*$CX33</f>
        <v/>
      </c>
      <c r="ER33" s="141">
        <f>(IF(COUNTIF($DA33:$DD33,"Salto")&gt;0,1,0)+IF(COUNTIF($DA33:$DD33,"Queima")&gt;0,1,0))*FLOOR($EQ33/2,1)</f>
        <v/>
      </c>
      <c r="ES33" s="141">
        <f>MAX(0,3-SUMPRODUCT($EA33:$EF33,$I$2:$N$2)+MIN(2,$EG33*1+$EH33*1,SUMPRODUCT($EA33:$EF33,$I$2:$N$2)))+$CV33*1</f>
        <v/>
      </c>
      <c r="ET33" s="141">
        <f>MAX(0,6-SUMPRODUCT($EA33:$EF33,$I$3:$N$3)+MIN(4,$EG33*1+$EH33*2,SUMPRODUCT($EA33:$EF33,$I$3:$N$3)))+$CV33*2</f>
        <v/>
      </c>
      <c r="EU33" s="141">
        <f>MAX(0,9-SUMPRODUCT($EA33:$EF33,$I$4:$N$4)+MIN(6,$EG33*2+$EH33*3,SUMPRODUCT($EA33:$EF33,$I$4:$N$4)))+$CV33*3</f>
        <v/>
      </c>
      <c r="EV33" s="141">
        <f>MAX(0,12-SUMPRODUCT($EA33:$EF33,$I$5:$N$5)+MIN(8,$EG33*2+$EH33*4,SUMPRODUCT($EA33:$EF33,$I$5:$N$5)))+$CV33*4</f>
        <v/>
      </c>
      <c r="EW33" s="141">
        <f>MAX(0,15-SUMPRODUCT($EA33:$EF33,$I$6:$N$6)+MIN(10,$EG33*3+$EH33*5,SUMPRODUCT($EA33:$EF33,$I$6:$N$6)))+$CV33*5</f>
        <v/>
      </c>
      <c r="EX33" s="141">
        <f>MAX(0,18-SUMPRODUCT($EA33:$EF33,$I$7:$N$7)+MIN(12,$EG33*3+$EH33*6,SUMPRODUCT($EA33:$EF33,$I$7:$N$7)))+$CV33*6</f>
        <v/>
      </c>
      <c r="EY33" s="141">
        <f>MAX(0,21-SUMPRODUCT($EA33:$EF33,$I$8:$N$8)+MIN(14,$EG33*4+$EH33*7,SUMPRODUCT($EA33:$EF33,$I$8:$N$8)))+$CV33*7</f>
        <v/>
      </c>
      <c r="EZ33" s="141">
        <f>IF($DU33=2,3*$ES33&amp;" de vida temp.",IF($DU33=3,"sem dano",IF($ES33=0,IF($DU33=1,"sem cura","sem dano"),IF($DU33=1,"cura ","")&amp;$ES33&amp;"d8")))</f>
        <v/>
      </c>
      <c r="FA33" s="141">
        <f>IF($DU33=2,3*$ET33&amp;" de vida temp.",IF($DU33=3,"sem dano",IF($ET33=0,IF($DU33=1,"sem cura","sem dano"),IF($DU33=1,"cura ","")&amp;$ET33&amp;"d8")))</f>
        <v/>
      </c>
      <c r="FB33" s="141">
        <f>IF($DU33=2,3*$EU33&amp;" de vida temp.",IF($DU33=3,"sem dano",IF($EU33=0,IF($DU33=1,"sem cura","sem dano"),IF($DU33=1,"cura ","")&amp;$EU33&amp;"d8")))</f>
        <v/>
      </c>
      <c r="FC33" s="141">
        <f>IF($DU33=2,3*$EV33&amp;" de vida temp.",IF($DU33=3,"sem dano",IF($EV33=0,IF($DU33=1,"sem cura","sem dano"),IF($DU33=1,"cura ","")&amp;$EV33&amp;"d8")))</f>
        <v/>
      </c>
      <c r="FD33" s="141">
        <f>IF($DU33=2,3*$EW33&amp;" de vida temp.",IF($DU33=3,"sem dano",IF($EW33=0,IF($DU33=1,"sem cura","sem dano"),IF($DU33=1,"cura ","")&amp;$EW33&amp;"d8")))</f>
        <v/>
      </c>
      <c r="FE33" s="141">
        <f>IF($DU33=2,3*$EX33&amp;" de vida temp.",IF($DU33=3,"sem dano",IF($EX33=0,IF($DU33=1,"sem cura","sem dano"),IF($DU33=1,"cura ","")&amp;$EX33&amp;"d8")))</f>
        <v/>
      </c>
      <c r="FF33" s="141">
        <f>IF($DU33=2,3*$EY33&amp;" de vida temp.",IF($DU33=3,"sem dano",IF($EY33=0,IF($DU33=1,"sem cura","sem dano"),IF($DU33=1,"cura ","")&amp;$EY33&amp;"d8")))</f>
        <v/>
      </c>
      <c r="FG33" s="141">
        <f>IF($DG33=0,"",TEXTJOIN(" · ",TRUE,IF(AND($CV33=1,$CW33&gt;$GF$9),"O nível "&amp;$GF$2&amp;" dá "&amp;$GF$9&amp;" Liberação Máxima",""),IF($CX33&gt;$GF$4,"Classe "&amp;$CX33&amp;": o nível "&amp;$GF$2&amp;" libera até a "&amp;$GF$4,""),IF($DN33=1,"Família Fechada: a Forma "&amp;$CZ33,""),IF($DO33=1,"Família Fechada: "&amp;$DA33,""),IF($DP33=1,"Família Fechada: "&amp;$DB33,""),IF($DQ33=1,"Família Fechada: "&amp;$DC33,""),IF($DR33=1,"Família Fechada: "&amp;$DD33,""),IF($EI33&gt;INDEX($O$2:$O$8,$CX33),$EI33&amp;" Melhorias: a Classe "&amp;$CX33&amp;" aceita "&amp;INDEX($O$2:$O$8,$CX33),""),IF($EJ33&gt;2,$EJ33&amp;" Restrições"&amp;IF($DT33=1,", contando a que a Forma "&amp;$CZ33&amp;" já traz","")&amp;": o limite é 2",""),IF($EP33&lt;0,"Orçamento estourado: faltam "&amp;(-$EP33)&amp;IF($EP33&lt;-1," pontos"," ponto"),""),IF(IFERROR(VLOOKUP($DE33,$BD$2:$BH$24,4,FALSE),0)+IFERROR(VLOOKUP($DF33,$BD$2:$BH$24,4,FALSE),0)&gt;1,$DY33&amp;" e "&amp;$DZ33&amp;" são as duas de frequência",""),IF(AND((COUNTIF($DA33:$DD33,"Rápido")+COUNTIF($DY33:$DZ33,"Rápido"))&gt;0,(COUNTIF($DA33:$DD33,"Reação")+COUNTIF($DY33:$DZ33,"Reação"))&gt;0),"Rápido não entra com Reação",""),IF(AND((COUNTIF($DA33:$DD33,"Rápido")+COUNTIF($DY33:$DZ33,"Rápido"))&gt;0,(COUNTIF($DA33:$DD33,"Atrasar")+COUNTIF($DY33:$DZ33,"Atrasar"))&gt;0),"Rápido não entra com Atrasar",""),IF(AND((COUNTIF($DA33:$DD33,"Reação")+COUNTIF($DY33:$DZ33,"Reação"))&gt;0,(COUNTIF($DA33:$DD33,"Atrasar")+COUNTIF($DY33:$DZ33,"Atrasar"))&gt;0),"Reação não entra com Atrasar",""),IF(AND((COUNTIF($DA33:$DD33,"Reação")+COUNTIF($DY33:$DZ33,"Reação"))&gt;0,(COUNTIF($DA33:$DD33,"Parado")+COUNTIF($DY33:$DZ33,"Parado"))&gt;0),"Reação não entra com Parado",""),IF(AND(COUNTIF($DY33:$DZ33,"Corpo a Corpo")&gt;0,$DT33=0,OR($CZ33="Cone",$CZ33="Linha")),"Corpo a Corpo não entra em "&amp;$CZ33,""),IF(AND(COUNTIF($DY33:$DZ33,"Corpo a Corpo")&gt;0,$DT33=1),"A Forma "&amp;$CZ33&amp;" já traz o Corpo a Corpo",""),IF(AND(COUNTIF($DY33:$DZ33,"Tudo ou Nada")&gt;0,$DV33=0),"Tudo ou Nada só entra em feitiço de Teste de Resistência",""),IF(AND(COUNTIF($DA33:$DD33,"Inescapável")&gt;0,OR($EI33&gt;1,$EJ33&gt;0)),"Inescapável não aceita outra peça",""),IF(AND($CV33=1,$CX33&lt;3),"Liberação Máxima é de Classe 3 ou mais",""),IF(AND($CV33=1,OR($DU33=1,$DU33=2)),"Liberação Máxima não serve para cura",""),IF(AND($CV33=1,COUNTIF($DA33:$DD33,"Inescapável")+COUNTIF($DA33:$DD33,"Toca a Alma")&gt;0),"Esta peça não entra numa Liberação Máxima",""),IF($EQ33+$ER33&gt;4*$CX33,($EQ33+$ER33)&amp;" dados somando alvos e repetições: o teto da Classe "&amp;$CX33&amp;" é "&amp;4*$CX33,"")))</f>
        <v/>
      </c>
      <c r="FH33" s="141">
        <f>IF($FG33="",0,(LEN($FG33)-LEN(SUBSTITUTE($FG33," · ","")))/3+1)</f>
        <v/>
      </c>
      <c r="FI33" s="141">
        <f>IF($DG33=0,"",TEXTJOIN(" · ",TRUE,IF($EL33&gt;2*$CX33,"A devolução parou no teto de "&amp;2*$CX33,""),IF($EO33&gt;0,"Devolução perdida: "&amp;$EO33&amp;IF($EO33&gt;1," pontos"," ponto")&amp;" sem peça para pagar",""),IF(AND($DS33&gt;0,$EQ33=0),"Controle sem dano: uma rodada a mais e CD +2",""),IF(AND($DS33&gt;0,$EQ33&gt;0,$EQ33&lt;=$CX33),"Controle com um quarto do teto: uma rodada a mais","")))</f>
        <v/>
      </c>
      <c r="FJ33" s="141">
        <f>IF($FI33="",0,(LEN($FI33)-LEN(SUBSTITUTE($FI33," · ","")))/3+1)</f>
        <v/>
      </c>
      <c r="FK33" s="141">
        <f>IF($DG33=0,IF($EI33+$EJ33-$DT33&gt;0,"Dê um nome",""),IF($FH33&gt;0,"⚠ "&amp;$FH33&amp;IF($FH33&gt;1," erros"," erro"),IF($FJ33&gt;0,"! "&amp;$FJ33&amp;IF($FJ33&gt;1," avisos"," aviso"),"Na regra")))</f>
        <v/>
      </c>
      <c r="FL33" s="141">
        <f>IF($DG33=0,"",IF($FH33+$FJ33=0,"Dentro das regras que a ficha confere",$FG33&amp;IF(AND($FH33&gt;0,$FJ33&gt;0)," · ","")&amp;$FI33))</f>
        <v/>
      </c>
      <c r="FM33" s="141">
        <f>IF($DG33=0,"",IF($CV33=1,CEILING(4.5*$CX33,1),3*$CX33)&amp;" PE")</f>
        <v/>
      </c>
      <c r="FN33" s="141">
        <f>IF($DG33=0,"",IF($CV33=1,"Rodada inteira",IF(COUNTIF($DY33:$DZ33,"Atrasar")&gt;0,IF(COUNTIF($DY33:$DZ33,"Carregar")&gt;0,"Rodada +1 turno","Rodada inteira"),IF(COUNTIF($DA33:$DD33,"Rápido")&gt;0,"Bônus",IF(COUNTIF($DA33:$DD33,"Reação")&gt;0,"Reação","Padrão"))&amp;IF(COUNTIF($DY33:$DZ33,"Carregar")&gt;0," +1 turno",""))))</f>
        <v/>
      </c>
      <c r="FO33" s="141">
        <f>IF(OR($DG33=0,$DH33=0),"",IF(COUNTIF($DA33:$DD33,"Inescapável")&gt;0,"Automático",IF(COUNTIF($DA33:$DD33,"Certeiro")&gt;0,"TR para metade",INDEX($X$2:$X$11,$DH33))))</f>
        <v/>
      </c>
      <c r="FP33" s="141">
        <f>IF(OR($DG33=0,$DH33=0),"",IF(OR($DU33&gt;=2,$EQ33=0),UPPER(LEFT(INDEX($EZ33:$FF33,1,$CX33),1))&amp;MID(INDEX($EZ33:$FF33,1,$CX33),2,99),UPPER(LEFT(INDEX($EZ33:$FF33,1,$CX33),1))&amp;MID(INDEX($EZ33:$FF33,1,$CX33),2,99)&amp;" = "&amp;FLOOR($EQ33*4.5,1)&amp;IF($ER33&gt;0," · +"&amp;$ER33&amp;"d8","")))</f>
        <v/>
      </c>
      <c r="FQ33" s="141">
        <f>COUNTIF($DA33:$DD33,"Longe")+3*COUNTIF($DA33:$DD33,"Muito Longe")</f>
        <v/>
      </c>
      <c r="FR33" s="141">
        <f>COUNTIF($DA33:$DD33,"Maior")+3*COUNTIF($DA33:$DD33,"Muito Maior")</f>
        <v/>
      </c>
      <c r="FS33" s="141">
        <f>IF($DH33=0,0,CHOOSE(1+INDEX($Z$2:$Z$11,$DH33),0,$FQ33,$FR33,$FQ33+$FR33))</f>
        <v/>
      </c>
      <c r="FT33" s="141">
        <f>IF($DH33=0,0,CHOOSE(1+INDEX($AA$2:$AA$11,$DH33),0,$FQ33,$FR33,$FQ33+$FR33))</f>
        <v/>
      </c>
      <c r="FU33" s="141">
        <f>IF(OR($DG33=0,$DH33=0),"",INDEX($AH$2:$AM$31,($DH33-1)*3+IF($CX33&gt;=6,3,2),1+MIN(5,$FS33))&amp;INDEX($AN$2:$AS$31,($DH33-1)*3+IF($CX33&gt;=6,3,2),1+MIN(5,$FT33))&amp;IF(INDEX($AB$2:$AB$11,$DH33)=1,IF(COUNTIF($DA33:$DD33,"Mais Um")&gt;0," · +"&amp;COUNTIF($DA33:$DD33,"Mais Um")&amp;IF(COUNTIF($DA33:$DD33,"Mais Um")&gt;1," alvos"," alvo"),"")&amp;IF(COUNTIF($DA33:$DD33,"Rajada")&gt;0," · "&amp;($CX33+1)&amp;" tiros",""),""))</f>
        <v/>
      </c>
      <c r="FV33" s="141">
        <f>IF($DG33=0,"",3*$CX33&amp;" − "&amp;$EK33&amp;" + "&amp;$EN33&amp;IF($CV33=1," + "&amp;$CX33,"")&amp;" = "&amp;$EQ33&amp;"d8 · teto "&amp;4*$CX33&amp;IF($DT33=1," · a Forma devolve "&amp;$CX33,"")&amp;IF($EO33&gt;0," · perde "&amp;$EO33,""))</f>
        <v/>
      </c>
      <c r="FW33" s="141">
        <f>IF($DG33=0,"",IF($CX33&gt;=$GF$4,"Já está na maior Classe que o nível liberou",TEXTJOIN(" · ",TRUE,IF(AND(2&gt;$CX33,2&lt;=$GF$4),"2 → "&amp;$FA33&amp;", "&amp;IF($CV33=1,9,6)&amp;" PE",""),IF(AND(3&gt;$CX33,3&lt;=$GF$4),"3 → "&amp;$FB33&amp;", "&amp;IF($CV33=1,14,9)&amp;" PE",""),IF(AND(4&gt;$CX33,4&lt;=$GF$4),"4 → "&amp;$FC33&amp;", "&amp;IF($CV33=1,18,12)&amp;" PE",""),IF(AND(5&gt;$CX33,5&lt;=$GF$4),"5 → "&amp;$FD33&amp;", "&amp;IF($CV33=1,23,15)&amp;" PE",""),IF(AND(6&gt;$CX33,6&lt;=$GF$4),"6 → "&amp;$FE33&amp;", "&amp;IF($CV33=1,27,18)&amp;" PE",""),IF(AND(7&gt;$CX33,7&lt;=$GF$4),"7 → "&amp;$FF33&amp;", "&amp;IF($CV33=1,32,21)&amp;" PE",""))))</f>
        <v/>
      </c>
      <c r="FX33" s="141">
        <f>IF(OR($DG33=0,$DJ33=0),"","−"&amp;INDEX($I$2:$N$8,$CX33,$DJ33)&amp;" · "&amp;CHOOSE($DJ33,"Leve","Média","Pesada","Leve · Livre","Média · Livre","Pesada · Livre"))</f>
        <v/>
      </c>
      <c r="FY33" s="141">
        <f>IF(OR($DG33=0,$DK33=0),"","−"&amp;INDEX($I$2:$N$8,$CX33,$DK33)&amp;" · "&amp;CHOOSE($DK33,"Leve","Média","Pesada","Leve · Livre","Média · Livre","Pesada · Livre"))</f>
        <v/>
      </c>
      <c r="FZ33" s="141">
        <f>IF(OR($DG33=0,$DL33=0),"","−"&amp;INDEX($I$2:$N$8,$CX33,$DL33)&amp;" · "&amp;CHOOSE($DL33,"Leve","Média","Pesada","Leve · Livre","Média · Livre","Pesada · Livre"))</f>
        <v/>
      </c>
      <c r="GA33" s="141">
        <f>IF(OR($DG33=0,$DM33=0),"","−"&amp;INDEX($I$2:$N$8,$CX33,$DM33)&amp;" · "&amp;CHOOSE($DM33,"Leve","Média","Pesada","Leve · Livre","Média · Livre","Pesada · Livre"))</f>
        <v/>
      </c>
      <c r="GB33" s="141">
        <f>IF(OR($DG33=0,$DE33=""),"","+"&amp;IF($DW33=1,CEILING($CX33/2,1),$CX33))</f>
        <v/>
      </c>
      <c r="GC33" s="141">
        <f>IF(OR($DG33=0,$DF33=""),"","+"&amp;IF($DX33=1,CEILING($CX33/2,1),$CX33))</f>
        <v/>
      </c>
      <c r="GE33" s="114" t="inlineStr">
        <is>
          <t>terço do refino</t>
        </is>
      </c>
      <c r="GF33" s="141">
        <f>MAX(1,FLOOR($GF$6/3,1))</f>
        <v/>
      </c>
      <c r="HJ33" s="114" t="inlineStr">
        <is>
          <t>D357</t>
        </is>
      </c>
      <c r="HK33" s="141">
        <f>"Sem barreira"&amp;IF(DADOS_AM!$GF$34="Sem Barreiras"," · a sua","")</f>
        <v/>
      </c>
    </row>
    <row r="34">
      <c r="AU34" s="114" t="inlineStr">
        <is>
          <t>Sobrecarga</t>
        </is>
      </c>
      <c r="AV34" s="114" t="inlineStr">
        <is>
          <t>Auxiliares</t>
        </is>
      </c>
      <c r="AW34" s="141" t="n">
        <v>1</v>
      </c>
      <c r="AX34" s="141">
        <f>$AW34+3*IFERROR(VLOOKUP($AV34,$A$2:$D$10,3,FALSE),0)</f>
        <v/>
      </c>
      <c r="AY34" s="141">
        <f>IFERROR(VLOOKUP($AV34,$A$2:$D$10,4,FALSE),0)</f>
        <v/>
      </c>
      <c r="AZ34" s="141" t="n">
        <v>0</v>
      </c>
      <c r="BA34" s="141">
        <f>IF($AY34=1,"",$AU34)</f>
        <v/>
      </c>
      <c r="BB34" s="141">
        <f>IF(AND($AW34=1,$AY34=0),$AU34,"")</f>
        <v/>
      </c>
      <c r="CU34" s="114" t="inlineStr">
        <is>
          <t>Feitiço 33</t>
        </is>
      </c>
      <c r="CV34" s="141" t="n">
        <v>0</v>
      </c>
      <c r="CW34" s="141" t="n">
        <v>33</v>
      </c>
      <c r="CX34" s="141">
        <f>MAX(1,MIN(7,N('FICHA AMALDIÇOADA'!$P$259)))</f>
        <v/>
      </c>
      <c r="CY34" s="141">
        <f>'FICHA AMALDIÇOADA'!$Q$259&amp;""</f>
        <v/>
      </c>
      <c r="CZ34" s="141">
        <f>'FICHA AMALDIÇOADA'!$P$266&amp;""</f>
        <v/>
      </c>
      <c r="DA34" s="141">
        <f>'FICHA AMALDIÇOADA'!$Q$268&amp;""</f>
        <v/>
      </c>
      <c r="DB34" s="141">
        <f>'FICHA AMALDIÇOADA'!$Q$269&amp;""</f>
        <v/>
      </c>
      <c r="DC34" s="141">
        <f>'FICHA AMALDIÇOADA'!$Q$270&amp;""</f>
        <v/>
      </c>
      <c r="DD34" s="141">
        <f>'FICHA AMALDIÇOADA'!$Q$271&amp;""</f>
        <v/>
      </c>
      <c r="DE34" s="141">
        <f>'FICHA AMALDIÇOADA'!$Q$272&amp;""</f>
        <v/>
      </c>
      <c r="DF34" s="141">
        <f>'FICHA AMALDIÇOADA'!$Q$273&amp;""</f>
        <v/>
      </c>
      <c r="DG34" s="141">
        <f>IF($CY34&lt;&gt;"",1,0)</f>
        <v/>
      </c>
      <c r="DH34" s="141">
        <f>IFERROR(MATCH($CZ34,$Q$2:$Q$11,0),0)</f>
        <v/>
      </c>
      <c r="DI34" s="141">
        <f>IF($DH34=0,0,INDEX($T$2:$T$11,$DH34))</f>
        <v/>
      </c>
      <c r="DJ34" s="141">
        <f>IFERROR(VLOOKUP($DA34,$AU$2:$BB$84,4,FALSE),0)</f>
        <v/>
      </c>
      <c r="DK34" s="141">
        <f>IFERROR(VLOOKUP($DB34,$AU$2:$BB$84,4,FALSE),0)</f>
        <v/>
      </c>
      <c r="DL34" s="141">
        <f>IFERROR(VLOOKUP($DC34,$AU$2:$BB$84,4,FALSE),0)</f>
        <v/>
      </c>
      <c r="DM34" s="141">
        <f>IFERROR(VLOOKUP($DD34,$AU$2:$BB$84,4,FALSE),0)</f>
        <v/>
      </c>
      <c r="DN34" s="141">
        <f>IF($DH34=0,0,INDEX($U$2:$U$11,$DH34))</f>
        <v/>
      </c>
      <c r="DO34" s="141">
        <f>IFERROR(VLOOKUP($DA34,$AU$2:$BB$84,5,FALSE),0)</f>
        <v/>
      </c>
      <c r="DP34" s="141">
        <f>IFERROR(VLOOKUP($DB34,$AU$2:$BB$84,5,FALSE),0)</f>
        <v/>
      </c>
      <c r="DQ34" s="141">
        <f>IFERROR(VLOOKUP($DC34,$AU$2:$BB$84,5,FALSE),0)</f>
        <v/>
      </c>
      <c r="DR34" s="141">
        <f>IFERROR(VLOOKUP($DD34,$AU$2:$BB$84,5,FALSE),0)</f>
        <v/>
      </c>
      <c r="DS34" s="141">
        <f>IFERROR(VLOOKUP($DA34,$AU$2:$BB$84,6,FALSE),0)+IFERROR(VLOOKUP($DB34,$AU$2:$BB$84,6,FALSE),0)+IFERROR(VLOOKUP($DC34,$AU$2:$BB$84,6,FALSE),0)+IFERROR(VLOOKUP($DD34,$AU$2:$BB$84,6,FALSE),0)</f>
        <v/>
      </c>
      <c r="DT34" s="141">
        <f>IF($DH34=0,0,INDEX($V$2:$V$11,$DH34))</f>
        <v/>
      </c>
      <c r="DU34" s="141">
        <f>IF($DH34=0,0,INDEX($W$2:$W$11,$DH34))</f>
        <v/>
      </c>
      <c r="DV34" s="141">
        <f>IF($DH34=0,0,INDEX($Y$2:$Y$11,$DH34))</f>
        <v/>
      </c>
      <c r="DW34" s="141">
        <f>IFERROR(VLOOKUP($DE34,$BD$2:$BH$24,3,FALSE),0)</f>
        <v/>
      </c>
      <c r="DX34" s="141">
        <f>IFERROR(VLOOKUP($DF34,$BD$2:$BH$24,3,FALSE),0)</f>
        <v/>
      </c>
      <c r="DY34" s="141">
        <f>IFERROR(VLOOKUP($DE34,$BD$2:$BH$24,2,FALSE),"")</f>
        <v/>
      </c>
      <c r="DZ34" s="141">
        <f>IFERROR(VLOOKUP($DF34,$BD$2:$BH$24,2,FALSE),"")</f>
        <v/>
      </c>
      <c r="EA34" s="141">
        <f>COUNTIF($DI34:$DM34,1)</f>
        <v/>
      </c>
      <c r="EB34" s="141">
        <f>COUNTIF($DI34:$DM34,2)</f>
        <v/>
      </c>
      <c r="EC34" s="141">
        <f>COUNTIF($DI34:$DM34,3)</f>
        <v/>
      </c>
      <c r="ED34" s="141">
        <f>COUNTIF($DI34:$DM34,4)</f>
        <v/>
      </c>
      <c r="EE34" s="141">
        <f>COUNTIF($DI34:$DM34,5)</f>
        <v/>
      </c>
      <c r="EF34" s="141">
        <f>COUNTIF($DI34:$DM34,6)</f>
        <v/>
      </c>
      <c r="EG34" s="141">
        <f>COUNTIF($DW34:$DX34,1)</f>
        <v/>
      </c>
      <c r="EH34" s="141">
        <f>COUNTIF($DW34:$DX34,2)+$DT34</f>
        <v/>
      </c>
      <c r="EI34" s="141">
        <f>COUNTIF($DA34:$DD34,"?*")</f>
        <v/>
      </c>
      <c r="EJ34" s="141">
        <f>COUNTIF($DE34:$DF34,"?*")+$DT34</f>
        <v/>
      </c>
      <c r="EK34" s="141">
        <f>SUMPRODUCT($EA34:$EF34,INDEX($I$2:$N$8,$CX34,0))</f>
        <v/>
      </c>
      <c r="EL34" s="141">
        <f>$EG34*CEILING($CX34/2,1)+$EH34*$CX34</f>
        <v/>
      </c>
      <c r="EM34" s="141">
        <f>MIN(2*$CX34,$EL34)</f>
        <v/>
      </c>
      <c r="EN34" s="141">
        <f>MIN($EM34,$EK34)</f>
        <v/>
      </c>
      <c r="EO34" s="141">
        <f>$EM34-$EN34</f>
        <v/>
      </c>
      <c r="EP34" s="141">
        <f>3*$CX34-$EK34+$EN34</f>
        <v/>
      </c>
      <c r="EQ34" s="141">
        <f>MAX(0,$EP34)+$CV34*$CX34</f>
        <v/>
      </c>
      <c r="ER34" s="141">
        <f>(IF(COUNTIF($DA34:$DD34,"Salto")&gt;0,1,0)+IF(COUNTIF($DA34:$DD34,"Queima")&gt;0,1,0))*FLOOR($EQ34/2,1)</f>
        <v/>
      </c>
      <c r="ES34" s="141">
        <f>MAX(0,3-SUMPRODUCT($EA34:$EF34,$I$2:$N$2)+MIN(2,$EG34*1+$EH34*1,SUMPRODUCT($EA34:$EF34,$I$2:$N$2)))+$CV34*1</f>
        <v/>
      </c>
      <c r="ET34" s="141">
        <f>MAX(0,6-SUMPRODUCT($EA34:$EF34,$I$3:$N$3)+MIN(4,$EG34*1+$EH34*2,SUMPRODUCT($EA34:$EF34,$I$3:$N$3)))+$CV34*2</f>
        <v/>
      </c>
      <c r="EU34" s="141">
        <f>MAX(0,9-SUMPRODUCT($EA34:$EF34,$I$4:$N$4)+MIN(6,$EG34*2+$EH34*3,SUMPRODUCT($EA34:$EF34,$I$4:$N$4)))+$CV34*3</f>
        <v/>
      </c>
      <c r="EV34" s="141">
        <f>MAX(0,12-SUMPRODUCT($EA34:$EF34,$I$5:$N$5)+MIN(8,$EG34*2+$EH34*4,SUMPRODUCT($EA34:$EF34,$I$5:$N$5)))+$CV34*4</f>
        <v/>
      </c>
      <c r="EW34" s="141">
        <f>MAX(0,15-SUMPRODUCT($EA34:$EF34,$I$6:$N$6)+MIN(10,$EG34*3+$EH34*5,SUMPRODUCT($EA34:$EF34,$I$6:$N$6)))+$CV34*5</f>
        <v/>
      </c>
      <c r="EX34" s="141">
        <f>MAX(0,18-SUMPRODUCT($EA34:$EF34,$I$7:$N$7)+MIN(12,$EG34*3+$EH34*6,SUMPRODUCT($EA34:$EF34,$I$7:$N$7)))+$CV34*6</f>
        <v/>
      </c>
      <c r="EY34" s="141">
        <f>MAX(0,21-SUMPRODUCT($EA34:$EF34,$I$8:$N$8)+MIN(14,$EG34*4+$EH34*7,SUMPRODUCT($EA34:$EF34,$I$8:$N$8)))+$CV34*7</f>
        <v/>
      </c>
      <c r="EZ34" s="141">
        <f>IF($DU34=2,3*$ES34&amp;" de vida temp.",IF($DU34=3,"sem dano",IF($ES34=0,IF($DU34=1,"sem cura","sem dano"),IF($DU34=1,"cura ","")&amp;$ES34&amp;"d8")))</f>
        <v/>
      </c>
      <c r="FA34" s="141">
        <f>IF($DU34=2,3*$ET34&amp;" de vida temp.",IF($DU34=3,"sem dano",IF($ET34=0,IF($DU34=1,"sem cura","sem dano"),IF($DU34=1,"cura ","")&amp;$ET34&amp;"d8")))</f>
        <v/>
      </c>
      <c r="FB34" s="141">
        <f>IF($DU34=2,3*$EU34&amp;" de vida temp.",IF($DU34=3,"sem dano",IF($EU34=0,IF($DU34=1,"sem cura","sem dano"),IF($DU34=1,"cura ","")&amp;$EU34&amp;"d8")))</f>
        <v/>
      </c>
      <c r="FC34" s="141">
        <f>IF($DU34=2,3*$EV34&amp;" de vida temp.",IF($DU34=3,"sem dano",IF($EV34=0,IF($DU34=1,"sem cura","sem dano"),IF($DU34=1,"cura ","")&amp;$EV34&amp;"d8")))</f>
        <v/>
      </c>
      <c r="FD34" s="141">
        <f>IF($DU34=2,3*$EW34&amp;" de vida temp.",IF($DU34=3,"sem dano",IF($EW34=0,IF($DU34=1,"sem cura","sem dano"),IF($DU34=1,"cura ","")&amp;$EW34&amp;"d8")))</f>
        <v/>
      </c>
      <c r="FE34" s="141">
        <f>IF($DU34=2,3*$EX34&amp;" de vida temp.",IF($DU34=3,"sem dano",IF($EX34=0,IF($DU34=1,"sem cura","sem dano"),IF($DU34=1,"cura ","")&amp;$EX34&amp;"d8")))</f>
        <v/>
      </c>
      <c r="FF34" s="141">
        <f>IF($DU34=2,3*$EY34&amp;" de vida temp.",IF($DU34=3,"sem dano",IF($EY34=0,IF($DU34=1,"sem cura","sem dano"),IF($DU34=1,"cura ","")&amp;$EY34&amp;"d8")))</f>
        <v/>
      </c>
      <c r="FG34" s="141">
        <f>IF($DG34=0,"",TEXTJOIN(" · ",TRUE,IF(AND($CV34=1,$CW34&gt;$GF$9),"O nível "&amp;$GF$2&amp;" dá "&amp;$GF$9&amp;" Liberação Máxima",""),IF($CX34&gt;$GF$4,"Classe "&amp;$CX34&amp;": o nível "&amp;$GF$2&amp;" libera até a "&amp;$GF$4,""),IF($DN34=1,"Família Fechada: a Forma "&amp;$CZ34,""),IF($DO34=1,"Família Fechada: "&amp;$DA34,""),IF($DP34=1,"Família Fechada: "&amp;$DB34,""),IF($DQ34=1,"Família Fechada: "&amp;$DC34,""),IF($DR34=1,"Família Fechada: "&amp;$DD34,""),IF($EI34&gt;INDEX($O$2:$O$8,$CX34),$EI34&amp;" Melhorias: a Classe "&amp;$CX34&amp;" aceita "&amp;INDEX($O$2:$O$8,$CX34),""),IF($EJ34&gt;2,$EJ34&amp;" Restrições"&amp;IF($DT34=1,", contando a que a Forma "&amp;$CZ34&amp;" já traz","")&amp;": o limite é 2",""),IF($EP34&lt;0,"Orçamento estourado: faltam "&amp;(-$EP34)&amp;IF($EP34&lt;-1," pontos"," ponto"),""),IF(IFERROR(VLOOKUP($DE34,$BD$2:$BH$24,4,FALSE),0)+IFERROR(VLOOKUP($DF34,$BD$2:$BH$24,4,FALSE),0)&gt;1,$DY34&amp;" e "&amp;$DZ34&amp;" são as duas de frequência",""),IF(AND((COUNTIF($DA34:$DD34,"Rápido")+COUNTIF($DY34:$DZ34,"Rápido"))&gt;0,(COUNTIF($DA34:$DD34,"Reação")+COUNTIF($DY34:$DZ34,"Reação"))&gt;0),"Rápido não entra com Reação",""),IF(AND((COUNTIF($DA34:$DD34,"Rápido")+COUNTIF($DY34:$DZ34,"Rápido"))&gt;0,(COUNTIF($DA34:$DD34,"Atrasar")+COUNTIF($DY34:$DZ34,"Atrasar"))&gt;0),"Rápido não entra com Atrasar",""),IF(AND((COUNTIF($DA34:$DD34,"Reação")+COUNTIF($DY34:$DZ34,"Reação"))&gt;0,(COUNTIF($DA34:$DD34,"Atrasar")+COUNTIF($DY34:$DZ34,"Atrasar"))&gt;0),"Reação não entra com Atrasar",""),IF(AND((COUNTIF($DA34:$DD34,"Reação")+COUNTIF($DY34:$DZ34,"Reação"))&gt;0,(COUNTIF($DA34:$DD34,"Parado")+COUNTIF($DY34:$DZ34,"Parado"))&gt;0),"Reação não entra com Parado",""),IF(AND(COUNTIF($DY34:$DZ34,"Corpo a Corpo")&gt;0,$DT34=0,OR($CZ34="Cone",$CZ34="Linha")),"Corpo a Corpo não entra em "&amp;$CZ34,""),IF(AND(COUNTIF($DY34:$DZ34,"Corpo a Corpo")&gt;0,$DT34=1),"A Forma "&amp;$CZ34&amp;" já traz o Corpo a Corpo",""),IF(AND(COUNTIF($DY34:$DZ34,"Tudo ou Nada")&gt;0,$DV34=0),"Tudo ou Nada só entra em feitiço de Teste de Resistência",""),IF(AND(COUNTIF($DA34:$DD34,"Inescapável")&gt;0,OR($EI34&gt;1,$EJ34&gt;0)),"Inescapável não aceita outra peça",""),IF(AND($CV34=1,$CX34&lt;3),"Liberação Máxima é de Classe 3 ou mais",""),IF(AND($CV34=1,OR($DU34=1,$DU34=2)),"Liberação Máxima não serve para cura",""),IF(AND($CV34=1,COUNTIF($DA34:$DD34,"Inescapável")+COUNTIF($DA34:$DD34,"Toca a Alma")&gt;0),"Esta peça não entra numa Liberação Máxima",""),IF($EQ34+$ER34&gt;4*$CX34,($EQ34+$ER34)&amp;" dados somando alvos e repetições: o teto da Classe "&amp;$CX34&amp;" é "&amp;4*$CX34,"")))</f>
        <v/>
      </c>
      <c r="FH34" s="141">
        <f>IF($FG34="",0,(LEN($FG34)-LEN(SUBSTITUTE($FG34," · ","")))/3+1)</f>
        <v/>
      </c>
      <c r="FI34" s="141">
        <f>IF($DG34=0,"",TEXTJOIN(" · ",TRUE,IF($EL34&gt;2*$CX34,"A devolução parou no teto de "&amp;2*$CX34,""),IF($EO34&gt;0,"Devolução perdida: "&amp;$EO34&amp;IF($EO34&gt;1," pontos"," ponto")&amp;" sem peça para pagar",""),IF(AND($DS34&gt;0,$EQ34=0),"Controle sem dano: uma rodada a mais e CD +2",""),IF(AND($DS34&gt;0,$EQ34&gt;0,$EQ34&lt;=$CX34),"Controle com um quarto do teto: uma rodada a mais","")))</f>
        <v/>
      </c>
      <c r="FJ34" s="141">
        <f>IF($FI34="",0,(LEN($FI34)-LEN(SUBSTITUTE($FI34," · ","")))/3+1)</f>
        <v/>
      </c>
      <c r="FK34" s="141">
        <f>IF($DG34=0,IF($EI34+$EJ34-$DT34&gt;0,"Dê um nome",""),IF($FH34&gt;0,"⚠ "&amp;$FH34&amp;IF($FH34&gt;1," erros"," erro"),IF($FJ34&gt;0,"! "&amp;$FJ34&amp;IF($FJ34&gt;1," avisos"," aviso"),"Na regra")))</f>
        <v/>
      </c>
      <c r="FL34" s="141">
        <f>IF($DG34=0,"",IF($FH34+$FJ34=0,"Dentro das regras que a ficha confere",$FG34&amp;IF(AND($FH34&gt;0,$FJ34&gt;0)," · ","")&amp;$FI34))</f>
        <v/>
      </c>
      <c r="FM34" s="141">
        <f>IF($DG34=0,"",IF($CV34=1,CEILING(4.5*$CX34,1),3*$CX34)&amp;" PE")</f>
        <v/>
      </c>
      <c r="FN34" s="141">
        <f>IF($DG34=0,"",IF($CV34=1,"Rodada inteira",IF(COUNTIF($DY34:$DZ34,"Atrasar")&gt;0,IF(COUNTIF($DY34:$DZ34,"Carregar")&gt;0,"Rodada +1 turno","Rodada inteira"),IF(COUNTIF($DA34:$DD34,"Rápido")&gt;0,"Bônus",IF(COUNTIF($DA34:$DD34,"Reação")&gt;0,"Reação","Padrão"))&amp;IF(COUNTIF($DY34:$DZ34,"Carregar")&gt;0," +1 turno",""))))</f>
        <v/>
      </c>
      <c r="FO34" s="141">
        <f>IF(OR($DG34=0,$DH34=0),"",IF(COUNTIF($DA34:$DD34,"Inescapável")&gt;0,"Automático",IF(COUNTIF($DA34:$DD34,"Certeiro")&gt;0,"TR para metade",INDEX($X$2:$X$11,$DH34))))</f>
        <v/>
      </c>
      <c r="FP34" s="141">
        <f>IF(OR($DG34=0,$DH34=0),"",IF(OR($DU34&gt;=2,$EQ34=0),UPPER(LEFT(INDEX($EZ34:$FF34,1,$CX34),1))&amp;MID(INDEX($EZ34:$FF34,1,$CX34),2,99),UPPER(LEFT(INDEX($EZ34:$FF34,1,$CX34),1))&amp;MID(INDEX($EZ34:$FF34,1,$CX34),2,99)&amp;" = "&amp;FLOOR($EQ34*4.5,1)&amp;IF($ER34&gt;0," · +"&amp;$ER34&amp;"d8","")))</f>
        <v/>
      </c>
      <c r="FQ34" s="141">
        <f>COUNTIF($DA34:$DD34,"Longe")+3*COUNTIF($DA34:$DD34,"Muito Longe")</f>
        <v/>
      </c>
      <c r="FR34" s="141">
        <f>COUNTIF($DA34:$DD34,"Maior")+3*COUNTIF($DA34:$DD34,"Muito Maior")</f>
        <v/>
      </c>
      <c r="FS34" s="141">
        <f>IF($DH34=0,0,CHOOSE(1+INDEX($Z$2:$Z$11,$DH34),0,$FQ34,$FR34,$FQ34+$FR34))</f>
        <v/>
      </c>
      <c r="FT34" s="141">
        <f>IF($DH34=0,0,CHOOSE(1+INDEX($AA$2:$AA$11,$DH34),0,$FQ34,$FR34,$FQ34+$FR34))</f>
        <v/>
      </c>
      <c r="FU34" s="141">
        <f>IF(OR($DG34=0,$DH34=0),"",INDEX($AH$2:$AM$31,($DH34-1)*3+IF($CX34&gt;=6,3,2),1+MIN(5,$FS34))&amp;INDEX($AN$2:$AS$31,($DH34-1)*3+IF($CX34&gt;=6,3,2),1+MIN(5,$FT34))&amp;IF(INDEX($AB$2:$AB$11,$DH34)=1,IF(COUNTIF($DA34:$DD34,"Mais Um")&gt;0," · +"&amp;COUNTIF($DA34:$DD34,"Mais Um")&amp;IF(COUNTIF($DA34:$DD34,"Mais Um")&gt;1," alvos"," alvo"),"")&amp;IF(COUNTIF($DA34:$DD34,"Rajada")&gt;0," · "&amp;($CX34+1)&amp;" tiros",""),""))</f>
        <v/>
      </c>
      <c r="FV34" s="141">
        <f>IF($DG34=0,"",3*$CX34&amp;" − "&amp;$EK34&amp;" + "&amp;$EN34&amp;IF($CV34=1," + "&amp;$CX34,"")&amp;" = "&amp;$EQ34&amp;"d8 · teto "&amp;4*$CX34&amp;IF($DT34=1," · a Forma devolve "&amp;$CX34,"")&amp;IF($EO34&gt;0," · perde "&amp;$EO34,""))</f>
        <v/>
      </c>
      <c r="FW34" s="141">
        <f>IF($DG34=0,"",IF($CX34&gt;=$GF$4,"Já está na maior Classe que o nível liberou",TEXTJOIN(" · ",TRUE,IF(AND(2&gt;$CX34,2&lt;=$GF$4),"2 → "&amp;$FA34&amp;", "&amp;IF($CV34=1,9,6)&amp;" PE",""),IF(AND(3&gt;$CX34,3&lt;=$GF$4),"3 → "&amp;$FB34&amp;", "&amp;IF($CV34=1,14,9)&amp;" PE",""),IF(AND(4&gt;$CX34,4&lt;=$GF$4),"4 → "&amp;$FC34&amp;", "&amp;IF($CV34=1,18,12)&amp;" PE",""),IF(AND(5&gt;$CX34,5&lt;=$GF$4),"5 → "&amp;$FD34&amp;", "&amp;IF($CV34=1,23,15)&amp;" PE",""),IF(AND(6&gt;$CX34,6&lt;=$GF$4),"6 → "&amp;$FE34&amp;", "&amp;IF($CV34=1,27,18)&amp;" PE",""),IF(AND(7&gt;$CX34,7&lt;=$GF$4),"7 → "&amp;$FF34&amp;", "&amp;IF($CV34=1,32,21)&amp;" PE",""))))</f>
        <v/>
      </c>
      <c r="FX34" s="141">
        <f>IF(OR($DG34=0,$DJ34=0),"","−"&amp;INDEX($I$2:$N$8,$CX34,$DJ34)&amp;" · "&amp;CHOOSE($DJ34,"Leve","Média","Pesada","Leve · Livre","Média · Livre","Pesada · Livre"))</f>
        <v/>
      </c>
      <c r="FY34" s="141">
        <f>IF(OR($DG34=0,$DK34=0),"","−"&amp;INDEX($I$2:$N$8,$CX34,$DK34)&amp;" · "&amp;CHOOSE($DK34,"Leve","Média","Pesada","Leve · Livre","Média · Livre","Pesada · Livre"))</f>
        <v/>
      </c>
      <c r="FZ34" s="141">
        <f>IF(OR($DG34=0,$DL34=0),"","−"&amp;INDEX($I$2:$N$8,$CX34,$DL34)&amp;" · "&amp;CHOOSE($DL34,"Leve","Média","Pesada","Leve · Livre","Média · Livre","Pesada · Livre"))</f>
        <v/>
      </c>
      <c r="GA34" s="141">
        <f>IF(OR($DG34=0,$DM34=0),"","−"&amp;INDEX($I$2:$N$8,$CX34,$DM34)&amp;" · "&amp;CHOOSE($DM34,"Leve","Média","Pesada","Leve · Livre","Média · Livre","Pesada · Livre"))</f>
        <v/>
      </c>
      <c r="GB34" s="141">
        <f>IF(OR($DG34=0,$DE34=""),"","+"&amp;IF($DW34=1,CEILING($CX34/2,1),$CX34))</f>
        <v/>
      </c>
      <c r="GC34" s="141">
        <f>IF(OR($DG34=0,$DF34=""),"","+"&amp;IF($DX34=1,CEILING($CX34/2,1),$CX34))</f>
        <v/>
      </c>
      <c r="GE34" s="114" t="inlineStr">
        <is>
          <t>degrau do domínio</t>
        </is>
      </c>
      <c r="GF34" s="141">
        <f>'FICHA AMALDIÇOADA'!$D$351&amp;""</f>
        <v/>
      </c>
      <c r="HJ34" s="114" t="inlineStr">
        <is>
          <t>F357</t>
        </is>
      </c>
      <c r="HK34" s="141">
        <f>7*DADOS_AM!$GF$4</f>
        <v/>
      </c>
    </row>
    <row r="35">
      <c r="AU35" s="114" t="inlineStr">
        <is>
          <t>Firmeza</t>
        </is>
      </c>
      <c r="AV35" s="114" t="inlineStr">
        <is>
          <t>Auxiliares</t>
        </is>
      </c>
      <c r="AW35" s="141" t="n">
        <v>2</v>
      </c>
      <c r="AX35" s="141">
        <f>$AW35+3*IFERROR(VLOOKUP($AV35,$A$2:$D$10,3,FALSE),0)</f>
        <v/>
      </c>
      <c r="AY35" s="141">
        <f>IFERROR(VLOOKUP($AV35,$A$2:$D$10,4,FALSE),0)</f>
        <v/>
      </c>
      <c r="AZ35" s="141" t="n">
        <v>0</v>
      </c>
      <c r="BA35" s="141">
        <f>IF($AY35=1,"",$AU35)</f>
        <v/>
      </c>
      <c r="BB35" s="141">
        <f>IF(AND($AW35=1,$AY35=0),$AU35,"")</f>
        <v/>
      </c>
      <c r="CU35" s="114" t="inlineStr">
        <is>
          <t>Feitiço 34</t>
        </is>
      </c>
      <c r="CV35" s="141" t="n">
        <v>0</v>
      </c>
      <c r="CW35" s="141" t="n">
        <v>34</v>
      </c>
      <c r="CX35" s="141">
        <f>MAX(1,MIN(7,N('FICHA AMALDIÇOADA'!$D$280)))</f>
        <v/>
      </c>
      <c r="CY35" s="141">
        <f>'FICHA AMALDIÇOADA'!$E$280&amp;""</f>
        <v/>
      </c>
      <c r="CZ35" s="141">
        <f>'FICHA AMALDIÇOADA'!$D$287&amp;""</f>
        <v/>
      </c>
      <c r="DA35" s="141">
        <f>'FICHA AMALDIÇOADA'!$E$289&amp;""</f>
        <v/>
      </c>
      <c r="DB35" s="141">
        <f>'FICHA AMALDIÇOADA'!$E$290&amp;""</f>
        <v/>
      </c>
      <c r="DC35" s="141">
        <f>'FICHA AMALDIÇOADA'!$E$291&amp;""</f>
        <v/>
      </c>
      <c r="DD35" s="141">
        <f>'FICHA AMALDIÇOADA'!$E$292&amp;""</f>
        <v/>
      </c>
      <c r="DE35" s="141">
        <f>'FICHA AMALDIÇOADA'!$E$293&amp;""</f>
        <v/>
      </c>
      <c r="DF35" s="141">
        <f>'FICHA AMALDIÇOADA'!$E$294&amp;""</f>
        <v/>
      </c>
      <c r="DG35" s="141">
        <f>IF($CY35&lt;&gt;"",1,0)</f>
        <v/>
      </c>
      <c r="DH35" s="141">
        <f>IFERROR(MATCH($CZ35,$Q$2:$Q$11,0),0)</f>
        <v/>
      </c>
      <c r="DI35" s="141">
        <f>IF($DH35=0,0,INDEX($T$2:$T$11,$DH35))</f>
        <v/>
      </c>
      <c r="DJ35" s="141">
        <f>IFERROR(VLOOKUP($DA35,$AU$2:$BB$84,4,FALSE),0)</f>
        <v/>
      </c>
      <c r="DK35" s="141">
        <f>IFERROR(VLOOKUP($DB35,$AU$2:$BB$84,4,FALSE),0)</f>
        <v/>
      </c>
      <c r="DL35" s="141">
        <f>IFERROR(VLOOKUP($DC35,$AU$2:$BB$84,4,FALSE),0)</f>
        <v/>
      </c>
      <c r="DM35" s="141">
        <f>IFERROR(VLOOKUP($DD35,$AU$2:$BB$84,4,FALSE),0)</f>
        <v/>
      </c>
      <c r="DN35" s="141">
        <f>IF($DH35=0,0,INDEX($U$2:$U$11,$DH35))</f>
        <v/>
      </c>
      <c r="DO35" s="141">
        <f>IFERROR(VLOOKUP($DA35,$AU$2:$BB$84,5,FALSE),0)</f>
        <v/>
      </c>
      <c r="DP35" s="141">
        <f>IFERROR(VLOOKUP($DB35,$AU$2:$BB$84,5,FALSE),0)</f>
        <v/>
      </c>
      <c r="DQ35" s="141">
        <f>IFERROR(VLOOKUP($DC35,$AU$2:$BB$84,5,FALSE),0)</f>
        <v/>
      </c>
      <c r="DR35" s="141">
        <f>IFERROR(VLOOKUP($DD35,$AU$2:$BB$84,5,FALSE),0)</f>
        <v/>
      </c>
      <c r="DS35" s="141">
        <f>IFERROR(VLOOKUP($DA35,$AU$2:$BB$84,6,FALSE),0)+IFERROR(VLOOKUP($DB35,$AU$2:$BB$84,6,FALSE),0)+IFERROR(VLOOKUP($DC35,$AU$2:$BB$84,6,FALSE),0)+IFERROR(VLOOKUP($DD35,$AU$2:$BB$84,6,FALSE),0)</f>
        <v/>
      </c>
      <c r="DT35" s="141">
        <f>IF($DH35=0,0,INDEX($V$2:$V$11,$DH35))</f>
        <v/>
      </c>
      <c r="DU35" s="141">
        <f>IF($DH35=0,0,INDEX($W$2:$W$11,$DH35))</f>
        <v/>
      </c>
      <c r="DV35" s="141">
        <f>IF($DH35=0,0,INDEX($Y$2:$Y$11,$DH35))</f>
        <v/>
      </c>
      <c r="DW35" s="141">
        <f>IFERROR(VLOOKUP($DE35,$BD$2:$BH$24,3,FALSE),0)</f>
        <v/>
      </c>
      <c r="DX35" s="141">
        <f>IFERROR(VLOOKUP($DF35,$BD$2:$BH$24,3,FALSE),0)</f>
        <v/>
      </c>
      <c r="DY35" s="141">
        <f>IFERROR(VLOOKUP($DE35,$BD$2:$BH$24,2,FALSE),"")</f>
        <v/>
      </c>
      <c r="DZ35" s="141">
        <f>IFERROR(VLOOKUP($DF35,$BD$2:$BH$24,2,FALSE),"")</f>
        <v/>
      </c>
      <c r="EA35" s="141">
        <f>COUNTIF($DI35:$DM35,1)</f>
        <v/>
      </c>
      <c r="EB35" s="141">
        <f>COUNTIF($DI35:$DM35,2)</f>
        <v/>
      </c>
      <c r="EC35" s="141">
        <f>COUNTIF($DI35:$DM35,3)</f>
        <v/>
      </c>
      <c r="ED35" s="141">
        <f>COUNTIF($DI35:$DM35,4)</f>
        <v/>
      </c>
      <c r="EE35" s="141">
        <f>COUNTIF($DI35:$DM35,5)</f>
        <v/>
      </c>
      <c r="EF35" s="141">
        <f>COUNTIF($DI35:$DM35,6)</f>
        <v/>
      </c>
      <c r="EG35" s="141">
        <f>COUNTIF($DW35:$DX35,1)</f>
        <v/>
      </c>
      <c r="EH35" s="141">
        <f>COUNTIF($DW35:$DX35,2)+$DT35</f>
        <v/>
      </c>
      <c r="EI35" s="141">
        <f>COUNTIF($DA35:$DD35,"?*")</f>
        <v/>
      </c>
      <c r="EJ35" s="141">
        <f>COUNTIF($DE35:$DF35,"?*")+$DT35</f>
        <v/>
      </c>
      <c r="EK35" s="141">
        <f>SUMPRODUCT($EA35:$EF35,INDEX($I$2:$N$8,$CX35,0))</f>
        <v/>
      </c>
      <c r="EL35" s="141">
        <f>$EG35*CEILING($CX35/2,1)+$EH35*$CX35</f>
        <v/>
      </c>
      <c r="EM35" s="141">
        <f>MIN(2*$CX35,$EL35)</f>
        <v/>
      </c>
      <c r="EN35" s="141">
        <f>MIN($EM35,$EK35)</f>
        <v/>
      </c>
      <c r="EO35" s="141">
        <f>$EM35-$EN35</f>
        <v/>
      </c>
      <c r="EP35" s="141">
        <f>3*$CX35-$EK35+$EN35</f>
        <v/>
      </c>
      <c r="EQ35" s="141">
        <f>MAX(0,$EP35)+$CV35*$CX35</f>
        <v/>
      </c>
      <c r="ER35" s="141">
        <f>(IF(COUNTIF($DA35:$DD35,"Salto")&gt;0,1,0)+IF(COUNTIF($DA35:$DD35,"Queima")&gt;0,1,0))*FLOOR($EQ35/2,1)</f>
        <v/>
      </c>
      <c r="ES35" s="141">
        <f>MAX(0,3-SUMPRODUCT($EA35:$EF35,$I$2:$N$2)+MIN(2,$EG35*1+$EH35*1,SUMPRODUCT($EA35:$EF35,$I$2:$N$2)))+$CV35*1</f>
        <v/>
      </c>
      <c r="ET35" s="141">
        <f>MAX(0,6-SUMPRODUCT($EA35:$EF35,$I$3:$N$3)+MIN(4,$EG35*1+$EH35*2,SUMPRODUCT($EA35:$EF35,$I$3:$N$3)))+$CV35*2</f>
        <v/>
      </c>
      <c r="EU35" s="141">
        <f>MAX(0,9-SUMPRODUCT($EA35:$EF35,$I$4:$N$4)+MIN(6,$EG35*2+$EH35*3,SUMPRODUCT($EA35:$EF35,$I$4:$N$4)))+$CV35*3</f>
        <v/>
      </c>
      <c r="EV35" s="141">
        <f>MAX(0,12-SUMPRODUCT($EA35:$EF35,$I$5:$N$5)+MIN(8,$EG35*2+$EH35*4,SUMPRODUCT($EA35:$EF35,$I$5:$N$5)))+$CV35*4</f>
        <v/>
      </c>
      <c r="EW35" s="141">
        <f>MAX(0,15-SUMPRODUCT($EA35:$EF35,$I$6:$N$6)+MIN(10,$EG35*3+$EH35*5,SUMPRODUCT($EA35:$EF35,$I$6:$N$6)))+$CV35*5</f>
        <v/>
      </c>
      <c r="EX35" s="141">
        <f>MAX(0,18-SUMPRODUCT($EA35:$EF35,$I$7:$N$7)+MIN(12,$EG35*3+$EH35*6,SUMPRODUCT($EA35:$EF35,$I$7:$N$7)))+$CV35*6</f>
        <v/>
      </c>
      <c r="EY35" s="141">
        <f>MAX(0,21-SUMPRODUCT($EA35:$EF35,$I$8:$N$8)+MIN(14,$EG35*4+$EH35*7,SUMPRODUCT($EA35:$EF35,$I$8:$N$8)))+$CV35*7</f>
        <v/>
      </c>
      <c r="EZ35" s="141">
        <f>IF($DU35=2,3*$ES35&amp;" de vida temp.",IF($DU35=3,"sem dano",IF($ES35=0,IF($DU35=1,"sem cura","sem dano"),IF($DU35=1,"cura ","")&amp;$ES35&amp;"d8")))</f>
        <v/>
      </c>
      <c r="FA35" s="141">
        <f>IF($DU35=2,3*$ET35&amp;" de vida temp.",IF($DU35=3,"sem dano",IF($ET35=0,IF($DU35=1,"sem cura","sem dano"),IF($DU35=1,"cura ","")&amp;$ET35&amp;"d8")))</f>
        <v/>
      </c>
      <c r="FB35" s="141">
        <f>IF($DU35=2,3*$EU35&amp;" de vida temp.",IF($DU35=3,"sem dano",IF($EU35=0,IF($DU35=1,"sem cura","sem dano"),IF($DU35=1,"cura ","")&amp;$EU35&amp;"d8")))</f>
        <v/>
      </c>
      <c r="FC35" s="141">
        <f>IF($DU35=2,3*$EV35&amp;" de vida temp.",IF($DU35=3,"sem dano",IF($EV35=0,IF($DU35=1,"sem cura","sem dano"),IF($DU35=1,"cura ","")&amp;$EV35&amp;"d8")))</f>
        <v/>
      </c>
      <c r="FD35" s="141">
        <f>IF($DU35=2,3*$EW35&amp;" de vida temp.",IF($DU35=3,"sem dano",IF($EW35=0,IF($DU35=1,"sem cura","sem dano"),IF($DU35=1,"cura ","")&amp;$EW35&amp;"d8")))</f>
        <v/>
      </c>
      <c r="FE35" s="141">
        <f>IF($DU35=2,3*$EX35&amp;" de vida temp.",IF($DU35=3,"sem dano",IF($EX35=0,IF($DU35=1,"sem cura","sem dano"),IF($DU35=1,"cura ","")&amp;$EX35&amp;"d8")))</f>
        <v/>
      </c>
      <c r="FF35" s="141">
        <f>IF($DU35=2,3*$EY35&amp;" de vida temp.",IF($DU35=3,"sem dano",IF($EY35=0,IF($DU35=1,"sem cura","sem dano"),IF($DU35=1,"cura ","")&amp;$EY35&amp;"d8")))</f>
        <v/>
      </c>
      <c r="FG35" s="141">
        <f>IF($DG35=0,"",TEXTJOIN(" · ",TRUE,IF(AND($CV35=1,$CW35&gt;$GF$9),"O nível "&amp;$GF$2&amp;" dá "&amp;$GF$9&amp;" Liberação Máxima",""),IF($CX35&gt;$GF$4,"Classe "&amp;$CX35&amp;": o nível "&amp;$GF$2&amp;" libera até a "&amp;$GF$4,""),IF($DN35=1,"Família Fechada: a Forma "&amp;$CZ35,""),IF($DO35=1,"Família Fechada: "&amp;$DA35,""),IF($DP35=1,"Família Fechada: "&amp;$DB35,""),IF($DQ35=1,"Família Fechada: "&amp;$DC35,""),IF($DR35=1,"Família Fechada: "&amp;$DD35,""),IF($EI35&gt;INDEX($O$2:$O$8,$CX35),$EI35&amp;" Melhorias: a Classe "&amp;$CX35&amp;" aceita "&amp;INDEX($O$2:$O$8,$CX35),""),IF($EJ35&gt;2,$EJ35&amp;" Restrições"&amp;IF($DT35=1,", contando a que a Forma "&amp;$CZ35&amp;" já traz","")&amp;": o limite é 2",""),IF($EP35&lt;0,"Orçamento estourado: faltam "&amp;(-$EP35)&amp;IF($EP35&lt;-1," pontos"," ponto"),""),IF(IFERROR(VLOOKUP($DE35,$BD$2:$BH$24,4,FALSE),0)+IFERROR(VLOOKUP($DF35,$BD$2:$BH$24,4,FALSE),0)&gt;1,$DY35&amp;" e "&amp;$DZ35&amp;" são as duas de frequência",""),IF(AND((COUNTIF($DA35:$DD35,"Rápido")+COUNTIF($DY35:$DZ35,"Rápido"))&gt;0,(COUNTIF($DA35:$DD35,"Reação")+COUNTIF($DY35:$DZ35,"Reação"))&gt;0),"Rápido não entra com Reação",""),IF(AND((COUNTIF($DA35:$DD35,"Rápido")+COUNTIF($DY35:$DZ35,"Rápido"))&gt;0,(COUNTIF($DA35:$DD35,"Atrasar")+COUNTIF($DY35:$DZ35,"Atrasar"))&gt;0),"Rápido não entra com Atrasar",""),IF(AND((COUNTIF($DA35:$DD35,"Reação")+COUNTIF($DY35:$DZ35,"Reação"))&gt;0,(COUNTIF($DA35:$DD35,"Atrasar")+COUNTIF($DY35:$DZ35,"Atrasar"))&gt;0),"Reação não entra com Atrasar",""),IF(AND((COUNTIF($DA35:$DD35,"Reação")+COUNTIF($DY35:$DZ35,"Reação"))&gt;0,(COUNTIF($DA35:$DD35,"Parado")+COUNTIF($DY35:$DZ35,"Parado"))&gt;0),"Reação não entra com Parado",""),IF(AND(COUNTIF($DY35:$DZ35,"Corpo a Corpo")&gt;0,$DT35=0,OR($CZ35="Cone",$CZ35="Linha")),"Corpo a Corpo não entra em "&amp;$CZ35,""),IF(AND(COUNTIF($DY35:$DZ35,"Corpo a Corpo")&gt;0,$DT35=1),"A Forma "&amp;$CZ35&amp;" já traz o Corpo a Corpo",""),IF(AND(COUNTIF($DY35:$DZ35,"Tudo ou Nada")&gt;0,$DV35=0),"Tudo ou Nada só entra em feitiço de Teste de Resistência",""),IF(AND(COUNTIF($DA35:$DD35,"Inescapável")&gt;0,OR($EI35&gt;1,$EJ35&gt;0)),"Inescapável não aceita outra peça",""),IF(AND($CV35=1,$CX35&lt;3),"Liberação Máxima é de Classe 3 ou mais",""),IF(AND($CV35=1,OR($DU35=1,$DU35=2)),"Liberação Máxima não serve para cura",""),IF(AND($CV35=1,COUNTIF($DA35:$DD35,"Inescapável")+COUNTIF($DA35:$DD35,"Toca a Alma")&gt;0),"Esta peça não entra numa Liberação Máxima",""),IF($EQ35+$ER35&gt;4*$CX35,($EQ35+$ER35)&amp;" dados somando alvos e repetições: o teto da Classe "&amp;$CX35&amp;" é "&amp;4*$CX35,"")))</f>
        <v/>
      </c>
      <c r="FH35" s="141">
        <f>IF($FG35="",0,(LEN($FG35)-LEN(SUBSTITUTE($FG35," · ","")))/3+1)</f>
        <v/>
      </c>
      <c r="FI35" s="141">
        <f>IF($DG35=0,"",TEXTJOIN(" · ",TRUE,IF($EL35&gt;2*$CX35,"A devolução parou no teto de "&amp;2*$CX35,""),IF($EO35&gt;0,"Devolução perdida: "&amp;$EO35&amp;IF($EO35&gt;1," pontos"," ponto")&amp;" sem peça para pagar",""),IF(AND($DS35&gt;0,$EQ35=0),"Controle sem dano: uma rodada a mais e CD +2",""),IF(AND($DS35&gt;0,$EQ35&gt;0,$EQ35&lt;=$CX35),"Controle com um quarto do teto: uma rodada a mais","")))</f>
        <v/>
      </c>
      <c r="FJ35" s="141">
        <f>IF($FI35="",0,(LEN($FI35)-LEN(SUBSTITUTE($FI35," · ","")))/3+1)</f>
        <v/>
      </c>
      <c r="FK35" s="141">
        <f>IF($DG35=0,IF($EI35+$EJ35-$DT35&gt;0,"Dê um nome",""),IF($FH35&gt;0,"⚠ "&amp;$FH35&amp;IF($FH35&gt;1," erros"," erro"),IF($FJ35&gt;0,"! "&amp;$FJ35&amp;IF($FJ35&gt;1," avisos"," aviso"),"Na regra")))</f>
        <v/>
      </c>
      <c r="FL35" s="141">
        <f>IF($DG35=0,"",IF($FH35+$FJ35=0,"Dentro das regras que a ficha confere",$FG35&amp;IF(AND($FH35&gt;0,$FJ35&gt;0)," · ","")&amp;$FI35))</f>
        <v/>
      </c>
      <c r="FM35" s="141">
        <f>IF($DG35=0,"",IF($CV35=1,CEILING(4.5*$CX35,1),3*$CX35)&amp;" PE")</f>
        <v/>
      </c>
      <c r="FN35" s="141">
        <f>IF($DG35=0,"",IF($CV35=1,"Rodada inteira",IF(COUNTIF($DY35:$DZ35,"Atrasar")&gt;0,IF(COUNTIF($DY35:$DZ35,"Carregar")&gt;0,"Rodada +1 turno","Rodada inteira"),IF(COUNTIF($DA35:$DD35,"Rápido")&gt;0,"Bônus",IF(COUNTIF($DA35:$DD35,"Reação")&gt;0,"Reação","Padrão"))&amp;IF(COUNTIF($DY35:$DZ35,"Carregar")&gt;0," +1 turno",""))))</f>
        <v/>
      </c>
      <c r="FO35" s="141">
        <f>IF(OR($DG35=0,$DH35=0),"",IF(COUNTIF($DA35:$DD35,"Inescapável")&gt;0,"Automático",IF(COUNTIF($DA35:$DD35,"Certeiro")&gt;0,"TR para metade",INDEX($X$2:$X$11,$DH35))))</f>
        <v/>
      </c>
      <c r="FP35" s="141">
        <f>IF(OR($DG35=0,$DH35=0),"",IF(OR($DU35&gt;=2,$EQ35=0),UPPER(LEFT(INDEX($EZ35:$FF35,1,$CX35),1))&amp;MID(INDEX($EZ35:$FF35,1,$CX35),2,99),UPPER(LEFT(INDEX($EZ35:$FF35,1,$CX35),1))&amp;MID(INDEX($EZ35:$FF35,1,$CX35),2,99)&amp;" = "&amp;FLOOR($EQ35*4.5,1)&amp;IF($ER35&gt;0," · +"&amp;$ER35&amp;"d8","")))</f>
        <v/>
      </c>
      <c r="FQ35" s="141">
        <f>COUNTIF($DA35:$DD35,"Longe")+3*COUNTIF($DA35:$DD35,"Muito Longe")</f>
        <v/>
      </c>
      <c r="FR35" s="141">
        <f>COUNTIF($DA35:$DD35,"Maior")+3*COUNTIF($DA35:$DD35,"Muito Maior")</f>
        <v/>
      </c>
      <c r="FS35" s="141">
        <f>IF($DH35=0,0,CHOOSE(1+INDEX($Z$2:$Z$11,$DH35),0,$FQ35,$FR35,$FQ35+$FR35))</f>
        <v/>
      </c>
      <c r="FT35" s="141">
        <f>IF($DH35=0,0,CHOOSE(1+INDEX($AA$2:$AA$11,$DH35),0,$FQ35,$FR35,$FQ35+$FR35))</f>
        <v/>
      </c>
      <c r="FU35" s="141">
        <f>IF(OR($DG35=0,$DH35=0),"",INDEX($AH$2:$AM$31,($DH35-1)*3+IF($CX35&gt;=6,3,2),1+MIN(5,$FS35))&amp;INDEX($AN$2:$AS$31,($DH35-1)*3+IF($CX35&gt;=6,3,2),1+MIN(5,$FT35))&amp;IF(INDEX($AB$2:$AB$11,$DH35)=1,IF(COUNTIF($DA35:$DD35,"Mais Um")&gt;0," · +"&amp;COUNTIF($DA35:$DD35,"Mais Um")&amp;IF(COUNTIF($DA35:$DD35,"Mais Um")&gt;1," alvos"," alvo"),"")&amp;IF(COUNTIF($DA35:$DD35,"Rajada")&gt;0," · "&amp;($CX35+1)&amp;" tiros",""),""))</f>
        <v/>
      </c>
      <c r="FV35" s="141">
        <f>IF($DG35=0,"",3*$CX35&amp;" − "&amp;$EK35&amp;" + "&amp;$EN35&amp;IF($CV35=1," + "&amp;$CX35,"")&amp;" = "&amp;$EQ35&amp;"d8 · teto "&amp;4*$CX35&amp;IF($DT35=1," · a Forma devolve "&amp;$CX35,"")&amp;IF($EO35&gt;0," · perde "&amp;$EO35,""))</f>
        <v/>
      </c>
      <c r="FW35" s="141">
        <f>IF($DG35=0,"",IF($CX35&gt;=$GF$4,"Já está na maior Classe que o nível liberou",TEXTJOIN(" · ",TRUE,IF(AND(2&gt;$CX35,2&lt;=$GF$4),"2 → "&amp;$FA35&amp;", "&amp;IF($CV35=1,9,6)&amp;" PE",""),IF(AND(3&gt;$CX35,3&lt;=$GF$4),"3 → "&amp;$FB35&amp;", "&amp;IF($CV35=1,14,9)&amp;" PE",""),IF(AND(4&gt;$CX35,4&lt;=$GF$4),"4 → "&amp;$FC35&amp;", "&amp;IF($CV35=1,18,12)&amp;" PE",""),IF(AND(5&gt;$CX35,5&lt;=$GF$4),"5 → "&amp;$FD35&amp;", "&amp;IF($CV35=1,23,15)&amp;" PE",""),IF(AND(6&gt;$CX35,6&lt;=$GF$4),"6 → "&amp;$FE35&amp;", "&amp;IF($CV35=1,27,18)&amp;" PE",""),IF(AND(7&gt;$CX35,7&lt;=$GF$4),"7 → "&amp;$FF35&amp;", "&amp;IF($CV35=1,32,21)&amp;" PE",""))))</f>
        <v/>
      </c>
      <c r="FX35" s="141">
        <f>IF(OR($DG35=0,$DJ35=0),"","−"&amp;INDEX($I$2:$N$8,$CX35,$DJ35)&amp;" · "&amp;CHOOSE($DJ35,"Leve","Média","Pesada","Leve · Livre","Média · Livre","Pesada · Livre"))</f>
        <v/>
      </c>
      <c r="FY35" s="141">
        <f>IF(OR($DG35=0,$DK35=0),"","−"&amp;INDEX($I$2:$N$8,$CX35,$DK35)&amp;" · "&amp;CHOOSE($DK35,"Leve","Média","Pesada","Leve · Livre","Média · Livre","Pesada · Livre"))</f>
        <v/>
      </c>
      <c r="FZ35" s="141">
        <f>IF(OR($DG35=0,$DL35=0),"","−"&amp;INDEX($I$2:$N$8,$CX35,$DL35)&amp;" · "&amp;CHOOSE($DL35,"Leve","Média","Pesada","Leve · Livre","Média · Livre","Pesada · Livre"))</f>
        <v/>
      </c>
      <c r="GA35" s="141">
        <f>IF(OR($DG35=0,$DM35=0),"","−"&amp;INDEX($I$2:$N$8,$CX35,$DM35)&amp;" · "&amp;CHOOSE($DM35,"Leve","Média","Pesada","Leve · Livre","Média · Livre","Pesada · Livre"))</f>
        <v/>
      </c>
      <c r="GB35" s="141">
        <f>IF(OR($DG35=0,$DE35=""),"","+"&amp;IF($DW35=1,CEILING($CX35/2,1),$CX35))</f>
        <v/>
      </c>
      <c r="GC35" s="141">
        <f>IF(OR($DG35=0,$DF35=""),"","+"&amp;IF($DX35=1,CEILING($CX35/2,1),$CX35))</f>
        <v/>
      </c>
      <c r="GE35" s="114" t="inlineStr">
        <is>
          <t>dados da técnica máxima</t>
        </is>
      </c>
      <c r="GF35" s="141">
        <f>IFERROR(VLOOKUP($GF$2,$CF$2:$CH$4,2,TRUE),0)</f>
        <v/>
      </c>
      <c r="HJ35" s="114" t="inlineStr">
        <is>
          <t>G357</t>
        </is>
      </c>
      <c r="HK35" s="141">
        <f>DADOS_AM!$GF$32&amp;IF(DADOS_AM!$GF$32&gt;1," rodadas"," rodada")</f>
        <v/>
      </c>
    </row>
    <row r="36">
      <c r="AU36" s="114" t="inlineStr">
        <is>
          <t>Guarda</t>
        </is>
      </c>
      <c r="AV36" s="114" t="inlineStr">
        <is>
          <t>Auxiliares</t>
        </is>
      </c>
      <c r="AW36" s="141" t="n">
        <v>2</v>
      </c>
      <c r="AX36" s="141">
        <f>$AW36+3*IFERROR(VLOOKUP($AV36,$A$2:$D$10,3,FALSE),0)</f>
        <v/>
      </c>
      <c r="AY36" s="141">
        <f>IFERROR(VLOOKUP($AV36,$A$2:$D$10,4,FALSE),0)</f>
        <v/>
      </c>
      <c r="AZ36" s="141" t="n">
        <v>0</v>
      </c>
      <c r="BA36" s="141">
        <f>IF($AY36=1,"",$AU36)</f>
        <v/>
      </c>
      <c r="BB36" s="141">
        <f>IF(AND($AW36=1,$AY36=0),$AU36,"")</f>
        <v/>
      </c>
      <c r="CU36" s="114" t="inlineStr">
        <is>
          <t>Feitiço 35</t>
        </is>
      </c>
      <c r="CV36" s="141" t="n">
        <v>0</v>
      </c>
      <c r="CW36" s="141" t="n">
        <v>35</v>
      </c>
      <c r="CX36" s="141">
        <f>MAX(1,MIN(7,N('FICHA AMALDIÇOADA'!$J$280)))</f>
        <v/>
      </c>
      <c r="CY36" s="141">
        <f>'FICHA AMALDIÇOADA'!$K$280&amp;""</f>
        <v/>
      </c>
      <c r="CZ36" s="141">
        <f>'FICHA AMALDIÇOADA'!$J$287&amp;""</f>
        <v/>
      </c>
      <c r="DA36" s="141">
        <f>'FICHA AMALDIÇOADA'!$K$289&amp;""</f>
        <v/>
      </c>
      <c r="DB36" s="141">
        <f>'FICHA AMALDIÇOADA'!$K$290&amp;""</f>
        <v/>
      </c>
      <c r="DC36" s="141">
        <f>'FICHA AMALDIÇOADA'!$K$291&amp;""</f>
        <v/>
      </c>
      <c r="DD36" s="141">
        <f>'FICHA AMALDIÇOADA'!$K$292&amp;""</f>
        <v/>
      </c>
      <c r="DE36" s="141">
        <f>'FICHA AMALDIÇOADA'!$K$293&amp;""</f>
        <v/>
      </c>
      <c r="DF36" s="141">
        <f>'FICHA AMALDIÇOADA'!$K$294&amp;""</f>
        <v/>
      </c>
      <c r="DG36" s="141">
        <f>IF($CY36&lt;&gt;"",1,0)</f>
        <v/>
      </c>
      <c r="DH36" s="141">
        <f>IFERROR(MATCH($CZ36,$Q$2:$Q$11,0),0)</f>
        <v/>
      </c>
      <c r="DI36" s="141">
        <f>IF($DH36=0,0,INDEX($T$2:$T$11,$DH36))</f>
        <v/>
      </c>
      <c r="DJ36" s="141">
        <f>IFERROR(VLOOKUP($DA36,$AU$2:$BB$84,4,FALSE),0)</f>
        <v/>
      </c>
      <c r="DK36" s="141">
        <f>IFERROR(VLOOKUP($DB36,$AU$2:$BB$84,4,FALSE),0)</f>
        <v/>
      </c>
      <c r="DL36" s="141">
        <f>IFERROR(VLOOKUP($DC36,$AU$2:$BB$84,4,FALSE),0)</f>
        <v/>
      </c>
      <c r="DM36" s="141">
        <f>IFERROR(VLOOKUP($DD36,$AU$2:$BB$84,4,FALSE),0)</f>
        <v/>
      </c>
      <c r="DN36" s="141">
        <f>IF($DH36=0,0,INDEX($U$2:$U$11,$DH36))</f>
        <v/>
      </c>
      <c r="DO36" s="141">
        <f>IFERROR(VLOOKUP($DA36,$AU$2:$BB$84,5,FALSE),0)</f>
        <v/>
      </c>
      <c r="DP36" s="141">
        <f>IFERROR(VLOOKUP($DB36,$AU$2:$BB$84,5,FALSE),0)</f>
        <v/>
      </c>
      <c r="DQ36" s="141">
        <f>IFERROR(VLOOKUP($DC36,$AU$2:$BB$84,5,FALSE),0)</f>
        <v/>
      </c>
      <c r="DR36" s="141">
        <f>IFERROR(VLOOKUP($DD36,$AU$2:$BB$84,5,FALSE),0)</f>
        <v/>
      </c>
      <c r="DS36" s="141">
        <f>IFERROR(VLOOKUP($DA36,$AU$2:$BB$84,6,FALSE),0)+IFERROR(VLOOKUP($DB36,$AU$2:$BB$84,6,FALSE),0)+IFERROR(VLOOKUP($DC36,$AU$2:$BB$84,6,FALSE),0)+IFERROR(VLOOKUP($DD36,$AU$2:$BB$84,6,FALSE),0)</f>
        <v/>
      </c>
      <c r="DT36" s="141">
        <f>IF($DH36=0,0,INDEX($V$2:$V$11,$DH36))</f>
        <v/>
      </c>
      <c r="DU36" s="141">
        <f>IF($DH36=0,0,INDEX($W$2:$W$11,$DH36))</f>
        <v/>
      </c>
      <c r="DV36" s="141">
        <f>IF($DH36=0,0,INDEX($Y$2:$Y$11,$DH36))</f>
        <v/>
      </c>
      <c r="DW36" s="141">
        <f>IFERROR(VLOOKUP($DE36,$BD$2:$BH$24,3,FALSE),0)</f>
        <v/>
      </c>
      <c r="DX36" s="141">
        <f>IFERROR(VLOOKUP($DF36,$BD$2:$BH$24,3,FALSE),0)</f>
        <v/>
      </c>
      <c r="DY36" s="141">
        <f>IFERROR(VLOOKUP($DE36,$BD$2:$BH$24,2,FALSE),"")</f>
        <v/>
      </c>
      <c r="DZ36" s="141">
        <f>IFERROR(VLOOKUP($DF36,$BD$2:$BH$24,2,FALSE),"")</f>
        <v/>
      </c>
      <c r="EA36" s="141">
        <f>COUNTIF($DI36:$DM36,1)</f>
        <v/>
      </c>
      <c r="EB36" s="141">
        <f>COUNTIF($DI36:$DM36,2)</f>
        <v/>
      </c>
      <c r="EC36" s="141">
        <f>COUNTIF($DI36:$DM36,3)</f>
        <v/>
      </c>
      <c r="ED36" s="141">
        <f>COUNTIF($DI36:$DM36,4)</f>
        <v/>
      </c>
      <c r="EE36" s="141">
        <f>COUNTIF($DI36:$DM36,5)</f>
        <v/>
      </c>
      <c r="EF36" s="141">
        <f>COUNTIF($DI36:$DM36,6)</f>
        <v/>
      </c>
      <c r="EG36" s="141">
        <f>COUNTIF($DW36:$DX36,1)</f>
        <v/>
      </c>
      <c r="EH36" s="141">
        <f>COUNTIF($DW36:$DX36,2)+$DT36</f>
        <v/>
      </c>
      <c r="EI36" s="141">
        <f>COUNTIF($DA36:$DD36,"?*")</f>
        <v/>
      </c>
      <c r="EJ36" s="141">
        <f>COUNTIF($DE36:$DF36,"?*")+$DT36</f>
        <v/>
      </c>
      <c r="EK36" s="141">
        <f>SUMPRODUCT($EA36:$EF36,INDEX($I$2:$N$8,$CX36,0))</f>
        <v/>
      </c>
      <c r="EL36" s="141">
        <f>$EG36*CEILING($CX36/2,1)+$EH36*$CX36</f>
        <v/>
      </c>
      <c r="EM36" s="141">
        <f>MIN(2*$CX36,$EL36)</f>
        <v/>
      </c>
      <c r="EN36" s="141">
        <f>MIN($EM36,$EK36)</f>
        <v/>
      </c>
      <c r="EO36" s="141">
        <f>$EM36-$EN36</f>
        <v/>
      </c>
      <c r="EP36" s="141">
        <f>3*$CX36-$EK36+$EN36</f>
        <v/>
      </c>
      <c r="EQ36" s="141">
        <f>MAX(0,$EP36)+$CV36*$CX36</f>
        <v/>
      </c>
      <c r="ER36" s="141">
        <f>(IF(COUNTIF($DA36:$DD36,"Salto")&gt;0,1,0)+IF(COUNTIF($DA36:$DD36,"Queima")&gt;0,1,0))*FLOOR($EQ36/2,1)</f>
        <v/>
      </c>
      <c r="ES36" s="141">
        <f>MAX(0,3-SUMPRODUCT($EA36:$EF36,$I$2:$N$2)+MIN(2,$EG36*1+$EH36*1,SUMPRODUCT($EA36:$EF36,$I$2:$N$2)))+$CV36*1</f>
        <v/>
      </c>
      <c r="ET36" s="141">
        <f>MAX(0,6-SUMPRODUCT($EA36:$EF36,$I$3:$N$3)+MIN(4,$EG36*1+$EH36*2,SUMPRODUCT($EA36:$EF36,$I$3:$N$3)))+$CV36*2</f>
        <v/>
      </c>
      <c r="EU36" s="141">
        <f>MAX(0,9-SUMPRODUCT($EA36:$EF36,$I$4:$N$4)+MIN(6,$EG36*2+$EH36*3,SUMPRODUCT($EA36:$EF36,$I$4:$N$4)))+$CV36*3</f>
        <v/>
      </c>
      <c r="EV36" s="141">
        <f>MAX(0,12-SUMPRODUCT($EA36:$EF36,$I$5:$N$5)+MIN(8,$EG36*2+$EH36*4,SUMPRODUCT($EA36:$EF36,$I$5:$N$5)))+$CV36*4</f>
        <v/>
      </c>
      <c r="EW36" s="141">
        <f>MAX(0,15-SUMPRODUCT($EA36:$EF36,$I$6:$N$6)+MIN(10,$EG36*3+$EH36*5,SUMPRODUCT($EA36:$EF36,$I$6:$N$6)))+$CV36*5</f>
        <v/>
      </c>
      <c r="EX36" s="141">
        <f>MAX(0,18-SUMPRODUCT($EA36:$EF36,$I$7:$N$7)+MIN(12,$EG36*3+$EH36*6,SUMPRODUCT($EA36:$EF36,$I$7:$N$7)))+$CV36*6</f>
        <v/>
      </c>
      <c r="EY36" s="141">
        <f>MAX(0,21-SUMPRODUCT($EA36:$EF36,$I$8:$N$8)+MIN(14,$EG36*4+$EH36*7,SUMPRODUCT($EA36:$EF36,$I$8:$N$8)))+$CV36*7</f>
        <v/>
      </c>
      <c r="EZ36" s="141">
        <f>IF($DU36=2,3*$ES36&amp;" de vida temp.",IF($DU36=3,"sem dano",IF($ES36=0,IF($DU36=1,"sem cura","sem dano"),IF($DU36=1,"cura ","")&amp;$ES36&amp;"d8")))</f>
        <v/>
      </c>
      <c r="FA36" s="141">
        <f>IF($DU36=2,3*$ET36&amp;" de vida temp.",IF($DU36=3,"sem dano",IF($ET36=0,IF($DU36=1,"sem cura","sem dano"),IF($DU36=1,"cura ","")&amp;$ET36&amp;"d8")))</f>
        <v/>
      </c>
      <c r="FB36" s="141">
        <f>IF($DU36=2,3*$EU36&amp;" de vida temp.",IF($DU36=3,"sem dano",IF($EU36=0,IF($DU36=1,"sem cura","sem dano"),IF($DU36=1,"cura ","")&amp;$EU36&amp;"d8")))</f>
        <v/>
      </c>
      <c r="FC36" s="141">
        <f>IF($DU36=2,3*$EV36&amp;" de vida temp.",IF($DU36=3,"sem dano",IF($EV36=0,IF($DU36=1,"sem cura","sem dano"),IF($DU36=1,"cura ","")&amp;$EV36&amp;"d8")))</f>
        <v/>
      </c>
      <c r="FD36" s="141">
        <f>IF($DU36=2,3*$EW36&amp;" de vida temp.",IF($DU36=3,"sem dano",IF($EW36=0,IF($DU36=1,"sem cura","sem dano"),IF($DU36=1,"cura ","")&amp;$EW36&amp;"d8")))</f>
        <v/>
      </c>
      <c r="FE36" s="141">
        <f>IF($DU36=2,3*$EX36&amp;" de vida temp.",IF($DU36=3,"sem dano",IF($EX36=0,IF($DU36=1,"sem cura","sem dano"),IF($DU36=1,"cura ","")&amp;$EX36&amp;"d8")))</f>
        <v/>
      </c>
      <c r="FF36" s="141">
        <f>IF($DU36=2,3*$EY36&amp;" de vida temp.",IF($DU36=3,"sem dano",IF($EY36=0,IF($DU36=1,"sem cura","sem dano"),IF($DU36=1,"cura ","")&amp;$EY36&amp;"d8")))</f>
        <v/>
      </c>
      <c r="FG36" s="141">
        <f>IF($DG36=0,"",TEXTJOIN(" · ",TRUE,IF(AND($CV36=1,$CW36&gt;$GF$9),"O nível "&amp;$GF$2&amp;" dá "&amp;$GF$9&amp;" Liberação Máxima",""),IF($CX36&gt;$GF$4,"Classe "&amp;$CX36&amp;": o nível "&amp;$GF$2&amp;" libera até a "&amp;$GF$4,""),IF($DN36=1,"Família Fechada: a Forma "&amp;$CZ36,""),IF($DO36=1,"Família Fechada: "&amp;$DA36,""),IF($DP36=1,"Família Fechada: "&amp;$DB36,""),IF($DQ36=1,"Família Fechada: "&amp;$DC36,""),IF($DR36=1,"Família Fechada: "&amp;$DD36,""),IF($EI36&gt;INDEX($O$2:$O$8,$CX36),$EI36&amp;" Melhorias: a Classe "&amp;$CX36&amp;" aceita "&amp;INDEX($O$2:$O$8,$CX36),""),IF($EJ36&gt;2,$EJ36&amp;" Restrições"&amp;IF($DT36=1,", contando a que a Forma "&amp;$CZ36&amp;" já traz","")&amp;": o limite é 2",""),IF($EP36&lt;0,"Orçamento estourado: faltam "&amp;(-$EP36)&amp;IF($EP36&lt;-1," pontos"," ponto"),""),IF(IFERROR(VLOOKUP($DE36,$BD$2:$BH$24,4,FALSE),0)+IFERROR(VLOOKUP($DF36,$BD$2:$BH$24,4,FALSE),0)&gt;1,$DY36&amp;" e "&amp;$DZ36&amp;" são as duas de frequência",""),IF(AND((COUNTIF($DA36:$DD36,"Rápido")+COUNTIF($DY36:$DZ36,"Rápido"))&gt;0,(COUNTIF($DA36:$DD36,"Reação")+COUNTIF($DY36:$DZ36,"Reação"))&gt;0),"Rápido não entra com Reação",""),IF(AND((COUNTIF($DA36:$DD36,"Rápido")+COUNTIF($DY36:$DZ36,"Rápido"))&gt;0,(COUNTIF($DA36:$DD36,"Atrasar")+COUNTIF($DY36:$DZ36,"Atrasar"))&gt;0),"Rápido não entra com Atrasar",""),IF(AND((COUNTIF($DA36:$DD36,"Reação")+COUNTIF($DY36:$DZ36,"Reação"))&gt;0,(COUNTIF($DA36:$DD36,"Atrasar")+COUNTIF($DY36:$DZ36,"Atrasar"))&gt;0),"Reação não entra com Atrasar",""),IF(AND((COUNTIF($DA36:$DD36,"Reação")+COUNTIF($DY36:$DZ36,"Reação"))&gt;0,(COUNTIF($DA36:$DD36,"Parado")+COUNTIF($DY36:$DZ36,"Parado"))&gt;0),"Reação não entra com Parado",""),IF(AND(COUNTIF($DY36:$DZ36,"Corpo a Corpo")&gt;0,$DT36=0,OR($CZ36="Cone",$CZ36="Linha")),"Corpo a Corpo não entra em "&amp;$CZ36,""),IF(AND(COUNTIF($DY36:$DZ36,"Corpo a Corpo")&gt;0,$DT36=1),"A Forma "&amp;$CZ36&amp;" já traz o Corpo a Corpo",""),IF(AND(COUNTIF($DY36:$DZ36,"Tudo ou Nada")&gt;0,$DV36=0),"Tudo ou Nada só entra em feitiço de Teste de Resistência",""),IF(AND(COUNTIF($DA36:$DD36,"Inescapável")&gt;0,OR($EI36&gt;1,$EJ36&gt;0)),"Inescapável não aceita outra peça",""),IF(AND($CV36=1,$CX36&lt;3),"Liberação Máxima é de Classe 3 ou mais",""),IF(AND($CV36=1,OR($DU36=1,$DU36=2)),"Liberação Máxima não serve para cura",""),IF(AND($CV36=1,COUNTIF($DA36:$DD36,"Inescapável")+COUNTIF($DA36:$DD36,"Toca a Alma")&gt;0),"Esta peça não entra numa Liberação Máxima",""),IF($EQ36+$ER36&gt;4*$CX36,($EQ36+$ER36)&amp;" dados somando alvos e repetições: o teto da Classe "&amp;$CX36&amp;" é "&amp;4*$CX36,"")))</f>
        <v/>
      </c>
      <c r="FH36" s="141">
        <f>IF($FG36="",0,(LEN($FG36)-LEN(SUBSTITUTE($FG36," · ","")))/3+1)</f>
        <v/>
      </c>
      <c r="FI36" s="141">
        <f>IF($DG36=0,"",TEXTJOIN(" · ",TRUE,IF($EL36&gt;2*$CX36,"A devolução parou no teto de "&amp;2*$CX36,""),IF($EO36&gt;0,"Devolução perdida: "&amp;$EO36&amp;IF($EO36&gt;1," pontos"," ponto")&amp;" sem peça para pagar",""),IF(AND($DS36&gt;0,$EQ36=0),"Controle sem dano: uma rodada a mais e CD +2",""),IF(AND($DS36&gt;0,$EQ36&gt;0,$EQ36&lt;=$CX36),"Controle com um quarto do teto: uma rodada a mais","")))</f>
        <v/>
      </c>
      <c r="FJ36" s="141">
        <f>IF($FI36="",0,(LEN($FI36)-LEN(SUBSTITUTE($FI36," · ","")))/3+1)</f>
        <v/>
      </c>
      <c r="FK36" s="141">
        <f>IF($DG36=0,IF($EI36+$EJ36-$DT36&gt;0,"Dê um nome",""),IF($FH36&gt;0,"⚠ "&amp;$FH36&amp;IF($FH36&gt;1," erros"," erro"),IF($FJ36&gt;0,"! "&amp;$FJ36&amp;IF($FJ36&gt;1," avisos"," aviso"),"Na regra")))</f>
        <v/>
      </c>
      <c r="FL36" s="141">
        <f>IF($DG36=0,"",IF($FH36+$FJ36=0,"Dentro das regras que a ficha confere",$FG36&amp;IF(AND($FH36&gt;0,$FJ36&gt;0)," · ","")&amp;$FI36))</f>
        <v/>
      </c>
      <c r="FM36" s="141">
        <f>IF($DG36=0,"",IF($CV36=1,CEILING(4.5*$CX36,1),3*$CX36)&amp;" PE")</f>
        <v/>
      </c>
      <c r="FN36" s="141">
        <f>IF($DG36=0,"",IF($CV36=1,"Rodada inteira",IF(COUNTIF($DY36:$DZ36,"Atrasar")&gt;0,IF(COUNTIF($DY36:$DZ36,"Carregar")&gt;0,"Rodada +1 turno","Rodada inteira"),IF(COUNTIF($DA36:$DD36,"Rápido")&gt;0,"Bônus",IF(COUNTIF($DA36:$DD36,"Reação")&gt;0,"Reação","Padrão"))&amp;IF(COUNTIF($DY36:$DZ36,"Carregar")&gt;0," +1 turno",""))))</f>
        <v/>
      </c>
      <c r="FO36" s="141">
        <f>IF(OR($DG36=0,$DH36=0),"",IF(COUNTIF($DA36:$DD36,"Inescapável")&gt;0,"Automático",IF(COUNTIF($DA36:$DD36,"Certeiro")&gt;0,"TR para metade",INDEX($X$2:$X$11,$DH36))))</f>
        <v/>
      </c>
      <c r="FP36" s="141">
        <f>IF(OR($DG36=0,$DH36=0),"",IF(OR($DU36&gt;=2,$EQ36=0),UPPER(LEFT(INDEX($EZ36:$FF36,1,$CX36),1))&amp;MID(INDEX($EZ36:$FF36,1,$CX36),2,99),UPPER(LEFT(INDEX($EZ36:$FF36,1,$CX36),1))&amp;MID(INDEX($EZ36:$FF36,1,$CX36),2,99)&amp;" = "&amp;FLOOR($EQ36*4.5,1)&amp;IF($ER36&gt;0," · +"&amp;$ER36&amp;"d8","")))</f>
        <v/>
      </c>
      <c r="FQ36" s="141">
        <f>COUNTIF($DA36:$DD36,"Longe")+3*COUNTIF($DA36:$DD36,"Muito Longe")</f>
        <v/>
      </c>
      <c r="FR36" s="141">
        <f>COUNTIF($DA36:$DD36,"Maior")+3*COUNTIF($DA36:$DD36,"Muito Maior")</f>
        <v/>
      </c>
      <c r="FS36" s="141">
        <f>IF($DH36=0,0,CHOOSE(1+INDEX($Z$2:$Z$11,$DH36),0,$FQ36,$FR36,$FQ36+$FR36))</f>
        <v/>
      </c>
      <c r="FT36" s="141">
        <f>IF($DH36=0,0,CHOOSE(1+INDEX($AA$2:$AA$11,$DH36),0,$FQ36,$FR36,$FQ36+$FR36))</f>
        <v/>
      </c>
      <c r="FU36" s="141">
        <f>IF(OR($DG36=0,$DH36=0),"",INDEX($AH$2:$AM$31,($DH36-1)*3+IF($CX36&gt;=6,3,2),1+MIN(5,$FS36))&amp;INDEX($AN$2:$AS$31,($DH36-1)*3+IF($CX36&gt;=6,3,2),1+MIN(5,$FT36))&amp;IF(INDEX($AB$2:$AB$11,$DH36)=1,IF(COUNTIF($DA36:$DD36,"Mais Um")&gt;0," · +"&amp;COUNTIF($DA36:$DD36,"Mais Um")&amp;IF(COUNTIF($DA36:$DD36,"Mais Um")&gt;1," alvos"," alvo"),"")&amp;IF(COUNTIF($DA36:$DD36,"Rajada")&gt;0," · "&amp;($CX36+1)&amp;" tiros",""),""))</f>
        <v/>
      </c>
      <c r="FV36" s="141">
        <f>IF($DG36=0,"",3*$CX36&amp;" − "&amp;$EK36&amp;" + "&amp;$EN36&amp;IF($CV36=1," + "&amp;$CX36,"")&amp;" = "&amp;$EQ36&amp;"d8 · teto "&amp;4*$CX36&amp;IF($DT36=1," · a Forma devolve "&amp;$CX36,"")&amp;IF($EO36&gt;0," · perde "&amp;$EO36,""))</f>
        <v/>
      </c>
      <c r="FW36" s="141">
        <f>IF($DG36=0,"",IF($CX36&gt;=$GF$4,"Já está na maior Classe que o nível liberou",TEXTJOIN(" · ",TRUE,IF(AND(2&gt;$CX36,2&lt;=$GF$4),"2 → "&amp;$FA36&amp;", "&amp;IF($CV36=1,9,6)&amp;" PE",""),IF(AND(3&gt;$CX36,3&lt;=$GF$4),"3 → "&amp;$FB36&amp;", "&amp;IF($CV36=1,14,9)&amp;" PE",""),IF(AND(4&gt;$CX36,4&lt;=$GF$4),"4 → "&amp;$FC36&amp;", "&amp;IF($CV36=1,18,12)&amp;" PE",""),IF(AND(5&gt;$CX36,5&lt;=$GF$4),"5 → "&amp;$FD36&amp;", "&amp;IF($CV36=1,23,15)&amp;" PE",""),IF(AND(6&gt;$CX36,6&lt;=$GF$4),"6 → "&amp;$FE36&amp;", "&amp;IF($CV36=1,27,18)&amp;" PE",""),IF(AND(7&gt;$CX36,7&lt;=$GF$4),"7 → "&amp;$FF36&amp;", "&amp;IF($CV36=1,32,21)&amp;" PE",""))))</f>
        <v/>
      </c>
      <c r="FX36" s="141">
        <f>IF(OR($DG36=0,$DJ36=0),"","−"&amp;INDEX($I$2:$N$8,$CX36,$DJ36)&amp;" · "&amp;CHOOSE($DJ36,"Leve","Média","Pesada","Leve · Livre","Média · Livre","Pesada · Livre"))</f>
        <v/>
      </c>
      <c r="FY36" s="141">
        <f>IF(OR($DG36=0,$DK36=0),"","−"&amp;INDEX($I$2:$N$8,$CX36,$DK36)&amp;" · "&amp;CHOOSE($DK36,"Leve","Média","Pesada","Leve · Livre","Média · Livre","Pesada · Livre"))</f>
        <v/>
      </c>
      <c r="FZ36" s="141">
        <f>IF(OR($DG36=0,$DL36=0),"","−"&amp;INDEX($I$2:$N$8,$CX36,$DL36)&amp;" · "&amp;CHOOSE($DL36,"Leve","Média","Pesada","Leve · Livre","Média · Livre","Pesada · Livre"))</f>
        <v/>
      </c>
      <c r="GA36" s="141">
        <f>IF(OR($DG36=0,$DM36=0),"","−"&amp;INDEX($I$2:$N$8,$CX36,$DM36)&amp;" · "&amp;CHOOSE($DM36,"Leve","Média","Pesada","Leve · Livre","Média · Livre","Pesada · Livre"))</f>
        <v/>
      </c>
      <c r="GB36" s="141">
        <f>IF(OR($DG36=0,$DE36=""),"","+"&amp;IF($DW36=1,CEILING($CX36/2,1),$CX36))</f>
        <v/>
      </c>
      <c r="GC36" s="141">
        <f>IF(OR($DG36=0,$DF36=""),"","+"&amp;IF($DX36=1,CEILING($CX36/2,1),$CX36))</f>
        <v/>
      </c>
      <c r="GE36" s="114" t="inlineStr">
        <is>
          <t>montagem da técnica máxima</t>
        </is>
      </c>
      <c r="GF36" s="141">
        <f>IFERROR(VLOOKUP($GF$2,$CF$2:$CH$4,3,TRUE),0)</f>
        <v/>
      </c>
      <c r="HJ36" s="114" t="inlineStr">
        <is>
          <t>K357</t>
        </is>
      </c>
      <c r="HK36" s="141">
        <f>"−"&amp;2*DADOS_AM!$GF$3&amp;" PE"</f>
        <v/>
      </c>
    </row>
    <row r="37">
      <c r="AU37" s="114" t="inlineStr">
        <is>
          <t>Pressa</t>
        </is>
      </c>
      <c r="AV37" s="114" t="inlineStr">
        <is>
          <t>Auxiliares</t>
        </is>
      </c>
      <c r="AW37" s="141" t="n">
        <v>2</v>
      </c>
      <c r="AX37" s="141">
        <f>$AW37+3*IFERROR(VLOOKUP($AV37,$A$2:$D$10,3,FALSE),0)</f>
        <v/>
      </c>
      <c r="AY37" s="141">
        <f>IFERROR(VLOOKUP($AV37,$A$2:$D$10,4,FALSE),0)</f>
        <v/>
      </c>
      <c r="AZ37" s="141" t="n">
        <v>0</v>
      </c>
      <c r="BA37" s="141">
        <f>IF($AY37=1,"",$AU37)</f>
        <v/>
      </c>
      <c r="BB37" s="141">
        <f>IF(AND($AW37=1,$AY37=0),$AU37,"")</f>
        <v/>
      </c>
      <c r="CU37" s="114" t="inlineStr">
        <is>
          <t>Feitiço 36</t>
        </is>
      </c>
      <c r="CV37" s="141" t="n">
        <v>0</v>
      </c>
      <c r="CW37" s="141" t="n">
        <v>36</v>
      </c>
      <c r="CX37" s="141">
        <f>MAX(1,MIN(7,N('FICHA AMALDIÇOADA'!$P$280)))</f>
        <v/>
      </c>
      <c r="CY37" s="141">
        <f>'FICHA AMALDIÇOADA'!$Q$280&amp;""</f>
        <v/>
      </c>
      <c r="CZ37" s="141">
        <f>'FICHA AMALDIÇOADA'!$P$287&amp;""</f>
        <v/>
      </c>
      <c r="DA37" s="141">
        <f>'FICHA AMALDIÇOADA'!$Q$289&amp;""</f>
        <v/>
      </c>
      <c r="DB37" s="141">
        <f>'FICHA AMALDIÇOADA'!$Q$290&amp;""</f>
        <v/>
      </c>
      <c r="DC37" s="141">
        <f>'FICHA AMALDIÇOADA'!$Q$291&amp;""</f>
        <v/>
      </c>
      <c r="DD37" s="141">
        <f>'FICHA AMALDIÇOADA'!$Q$292&amp;""</f>
        <v/>
      </c>
      <c r="DE37" s="141">
        <f>'FICHA AMALDIÇOADA'!$Q$293&amp;""</f>
        <v/>
      </c>
      <c r="DF37" s="141">
        <f>'FICHA AMALDIÇOADA'!$Q$294&amp;""</f>
        <v/>
      </c>
      <c r="DG37" s="141">
        <f>IF($CY37&lt;&gt;"",1,0)</f>
        <v/>
      </c>
      <c r="DH37" s="141">
        <f>IFERROR(MATCH($CZ37,$Q$2:$Q$11,0),0)</f>
        <v/>
      </c>
      <c r="DI37" s="141">
        <f>IF($DH37=0,0,INDEX($T$2:$T$11,$DH37))</f>
        <v/>
      </c>
      <c r="DJ37" s="141">
        <f>IFERROR(VLOOKUP($DA37,$AU$2:$BB$84,4,FALSE),0)</f>
        <v/>
      </c>
      <c r="DK37" s="141">
        <f>IFERROR(VLOOKUP($DB37,$AU$2:$BB$84,4,FALSE),0)</f>
        <v/>
      </c>
      <c r="DL37" s="141">
        <f>IFERROR(VLOOKUP($DC37,$AU$2:$BB$84,4,FALSE),0)</f>
        <v/>
      </c>
      <c r="DM37" s="141">
        <f>IFERROR(VLOOKUP($DD37,$AU$2:$BB$84,4,FALSE),0)</f>
        <v/>
      </c>
      <c r="DN37" s="141">
        <f>IF($DH37=0,0,INDEX($U$2:$U$11,$DH37))</f>
        <v/>
      </c>
      <c r="DO37" s="141">
        <f>IFERROR(VLOOKUP($DA37,$AU$2:$BB$84,5,FALSE),0)</f>
        <v/>
      </c>
      <c r="DP37" s="141">
        <f>IFERROR(VLOOKUP($DB37,$AU$2:$BB$84,5,FALSE),0)</f>
        <v/>
      </c>
      <c r="DQ37" s="141">
        <f>IFERROR(VLOOKUP($DC37,$AU$2:$BB$84,5,FALSE),0)</f>
        <v/>
      </c>
      <c r="DR37" s="141">
        <f>IFERROR(VLOOKUP($DD37,$AU$2:$BB$84,5,FALSE),0)</f>
        <v/>
      </c>
      <c r="DS37" s="141">
        <f>IFERROR(VLOOKUP($DA37,$AU$2:$BB$84,6,FALSE),0)+IFERROR(VLOOKUP($DB37,$AU$2:$BB$84,6,FALSE),0)+IFERROR(VLOOKUP($DC37,$AU$2:$BB$84,6,FALSE),0)+IFERROR(VLOOKUP($DD37,$AU$2:$BB$84,6,FALSE),0)</f>
        <v/>
      </c>
      <c r="DT37" s="141">
        <f>IF($DH37=0,0,INDEX($V$2:$V$11,$DH37))</f>
        <v/>
      </c>
      <c r="DU37" s="141">
        <f>IF($DH37=0,0,INDEX($W$2:$W$11,$DH37))</f>
        <v/>
      </c>
      <c r="DV37" s="141">
        <f>IF($DH37=0,0,INDEX($Y$2:$Y$11,$DH37))</f>
        <v/>
      </c>
      <c r="DW37" s="141">
        <f>IFERROR(VLOOKUP($DE37,$BD$2:$BH$24,3,FALSE),0)</f>
        <v/>
      </c>
      <c r="DX37" s="141">
        <f>IFERROR(VLOOKUP($DF37,$BD$2:$BH$24,3,FALSE),0)</f>
        <v/>
      </c>
      <c r="DY37" s="141">
        <f>IFERROR(VLOOKUP($DE37,$BD$2:$BH$24,2,FALSE),"")</f>
        <v/>
      </c>
      <c r="DZ37" s="141">
        <f>IFERROR(VLOOKUP($DF37,$BD$2:$BH$24,2,FALSE),"")</f>
        <v/>
      </c>
      <c r="EA37" s="141">
        <f>COUNTIF($DI37:$DM37,1)</f>
        <v/>
      </c>
      <c r="EB37" s="141">
        <f>COUNTIF($DI37:$DM37,2)</f>
        <v/>
      </c>
      <c r="EC37" s="141">
        <f>COUNTIF($DI37:$DM37,3)</f>
        <v/>
      </c>
      <c r="ED37" s="141">
        <f>COUNTIF($DI37:$DM37,4)</f>
        <v/>
      </c>
      <c r="EE37" s="141">
        <f>COUNTIF($DI37:$DM37,5)</f>
        <v/>
      </c>
      <c r="EF37" s="141">
        <f>COUNTIF($DI37:$DM37,6)</f>
        <v/>
      </c>
      <c r="EG37" s="141">
        <f>COUNTIF($DW37:$DX37,1)</f>
        <v/>
      </c>
      <c r="EH37" s="141">
        <f>COUNTIF($DW37:$DX37,2)+$DT37</f>
        <v/>
      </c>
      <c r="EI37" s="141">
        <f>COUNTIF($DA37:$DD37,"?*")</f>
        <v/>
      </c>
      <c r="EJ37" s="141">
        <f>COUNTIF($DE37:$DF37,"?*")+$DT37</f>
        <v/>
      </c>
      <c r="EK37" s="141">
        <f>SUMPRODUCT($EA37:$EF37,INDEX($I$2:$N$8,$CX37,0))</f>
        <v/>
      </c>
      <c r="EL37" s="141">
        <f>$EG37*CEILING($CX37/2,1)+$EH37*$CX37</f>
        <v/>
      </c>
      <c r="EM37" s="141">
        <f>MIN(2*$CX37,$EL37)</f>
        <v/>
      </c>
      <c r="EN37" s="141">
        <f>MIN($EM37,$EK37)</f>
        <v/>
      </c>
      <c r="EO37" s="141">
        <f>$EM37-$EN37</f>
        <v/>
      </c>
      <c r="EP37" s="141">
        <f>3*$CX37-$EK37+$EN37</f>
        <v/>
      </c>
      <c r="EQ37" s="141">
        <f>MAX(0,$EP37)+$CV37*$CX37</f>
        <v/>
      </c>
      <c r="ER37" s="141">
        <f>(IF(COUNTIF($DA37:$DD37,"Salto")&gt;0,1,0)+IF(COUNTIF($DA37:$DD37,"Queima")&gt;0,1,0))*FLOOR($EQ37/2,1)</f>
        <v/>
      </c>
      <c r="ES37" s="141">
        <f>MAX(0,3-SUMPRODUCT($EA37:$EF37,$I$2:$N$2)+MIN(2,$EG37*1+$EH37*1,SUMPRODUCT($EA37:$EF37,$I$2:$N$2)))+$CV37*1</f>
        <v/>
      </c>
      <c r="ET37" s="141">
        <f>MAX(0,6-SUMPRODUCT($EA37:$EF37,$I$3:$N$3)+MIN(4,$EG37*1+$EH37*2,SUMPRODUCT($EA37:$EF37,$I$3:$N$3)))+$CV37*2</f>
        <v/>
      </c>
      <c r="EU37" s="141">
        <f>MAX(0,9-SUMPRODUCT($EA37:$EF37,$I$4:$N$4)+MIN(6,$EG37*2+$EH37*3,SUMPRODUCT($EA37:$EF37,$I$4:$N$4)))+$CV37*3</f>
        <v/>
      </c>
      <c r="EV37" s="141">
        <f>MAX(0,12-SUMPRODUCT($EA37:$EF37,$I$5:$N$5)+MIN(8,$EG37*2+$EH37*4,SUMPRODUCT($EA37:$EF37,$I$5:$N$5)))+$CV37*4</f>
        <v/>
      </c>
      <c r="EW37" s="141">
        <f>MAX(0,15-SUMPRODUCT($EA37:$EF37,$I$6:$N$6)+MIN(10,$EG37*3+$EH37*5,SUMPRODUCT($EA37:$EF37,$I$6:$N$6)))+$CV37*5</f>
        <v/>
      </c>
      <c r="EX37" s="141">
        <f>MAX(0,18-SUMPRODUCT($EA37:$EF37,$I$7:$N$7)+MIN(12,$EG37*3+$EH37*6,SUMPRODUCT($EA37:$EF37,$I$7:$N$7)))+$CV37*6</f>
        <v/>
      </c>
      <c r="EY37" s="141">
        <f>MAX(0,21-SUMPRODUCT($EA37:$EF37,$I$8:$N$8)+MIN(14,$EG37*4+$EH37*7,SUMPRODUCT($EA37:$EF37,$I$8:$N$8)))+$CV37*7</f>
        <v/>
      </c>
      <c r="EZ37" s="141">
        <f>IF($DU37=2,3*$ES37&amp;" de vida temp.",IF($DU37=3,"sem dano",IF($ES37=0,IF($DU37=1,"sem cura","sem dano"),IF($DU37=1,"cura ","")&amp;$ES37&amp;"d8")))</f>
        <v/>
      </c>
      <c r="FA37" s="141">
        <f>IF($DU37=2,3*$ET37&amp;" de vida temp.",IF($DU37=3,"sem dano",IF($ET37=0,IF($DU37=1,"sem cura","sem dano"),IF($DU37=1,"cura ","")&amp;$ET37&amp;"d8")))</f>
        <v/>
      </c>
      <c r="FB37" s="141">
        <f>IF($DU37=2,3*$EU37&amp;" de vida temp.",IF($DU37=3,"sem dano",IF($EU37=0,IF($DU37=1,"sem cura","sem dano"),IF($DU37=1,"cura ","")&amp;$EU37&amp;"d8")))</f>
        <v/>
      </c>
      <c r="FC37" s="141">
        <f>IF($DU37=2,3*$EV37&amp;" de vida temp.",IF($DU37=3,"sem dano",IF($EV37=0,IF($DU37=1,"sem cura","sem dano"),IF($DU37=1,"cura ","")&amp;$EV37&amp;"d8")))</f>
        <v/>
      </c>
      <c r="FD37" s="141">
        <f>IF($DU37=2,3*$EW37&amp;" de vida temp.",IF($DU37=3,"sem dano",IF($EW37=0,IF($DU37=1,"sem cura","sem dano"),IF($DU37=1,"cura ","")&amp;$EW37&amp;"d8")))</f>
        <v/>
      </c>
      <c r="FE37" s="141">
        <f>IF($DU37=2,3*$EX37&amp;" de vida temp.",IF($DU37=3,"sem dano",IF($EX37=0,IF($DU37=1,"sem cura","sem dano"),IF($DU37=1,"cura ","")&amp;$EX37&amp;"d8")))</f>
        <v/>
      </c>
      <c r="FF37" s="141">
        <f>IF($DU37=2,3*$EY37&amp;" de vida temp.",IF($DU37=3,"sem dano",IF($EY37=0,IF($DU37=1,"sem cura","sem dano"),IF($DU37=1,"cura ","")&amp;$EY37&amp;"d8")))</f>
        <v/>
      </c>
      <c r="FG37" s="141">
        <f>IF($DG37=0,"",TEXTJOIN(" · ",TRUE,IF(AND($CV37=1,$CW37&gt;$GF$9),"O nível "&amp;$GF$2&amp;" dá "&amp;$GF$9&amp;" Liberação Máxima",""),IF($CX37&gt;$GF$4,"Classe "&amp;$CX37&amp;": o nível "&amp;$GF$2&amp;" libera até a "&amp;$GF$4,""),IF($DN37=1,"Família Fechada: a Forma "&amp;$CZ37,""),IF($DO37=1,"Família Fechada: "&amp;$DA37,""),IF($DP37=1,"Família Fechada: "&amp;$DB37,""),IF($DQ37=1,"Família Fechada: "&amp;$DC37,""),IF($DR37=1,"Família Fechada: "&amp;$DD37,""),IF($EI37&gt;INDEX($O$2:$O$8,$CX37),$EI37&amp;" Melhorias: a Classe "&amp;$CX37&amp;" aceita "&amp;INDEX($O$2:$O$8,$CX37),""),IF($EJ37&gt;2,$EJ37&amp;" Restrições"&amp;IF($DT37=1,", contando a que a Forma "&amp;$CZ37&amp;" já traz","")&amp;": o limite é 2",""),IF($EP37&lt;0,"Orçamento estourado: faltam "&amp;(-$EP37)&amp;IF($EP37&lt;-1," pontos"," ponto"),""),IF(IFERROR(VLOOKUP($DE37,$BD$2:$BH$24,4,FALSE),0)+IFERROR(VLOOKUP($DF37,$BD$2:$BH$24,4,FALSE),0)&gt;1,$DY37&amp;" e "&amp;$DZ37&amp;" são as duas de frequência",""),IF(AND((COUNTIF($DA37:$DD37,"Rápido")+COUNTIF($DY37:$DZ37,"Rápido"))&gt;0,(COUNTIF($DA37:$DD37,"Reação")+COUNTIF($DY37:$DZ37,"Reação"))&gt;0),"Rápido não entra com Reação",""),IF(AND((COUNTIF($DA37:$DD37,"Rápido")+COUNTIF($DY37:$DZ37,"Rápido"))&gt;0,(COUNTIF($DA37:$DD37,"Atrasar")+COUNTIF($DY37:$DZ37,"Atrasar"))&gt;0),"Rápido não entra com Atrasar",""),IF(AND((COUNTIF($DA37:$DD37,"Reação")+COUNTIF($DY37:$DZ37,"Reação"))&gt;0,(COUNTIF($DA37:$DD37,"Atrasar")+COUNTIF($DY37:$DZ37,"Atrasar"))&gt;0),"Reação não entra com Atrasar",""),IF(AND((COUNTIF($DA37:$DD37,"Reação")+COUNTIF($DY37:$DZ37,"Reação"))&gt;0,(COUNTIF($DA37:$DD37,"Parado")+COUNTIF($DY37:$DZ37,"Parado"))&gt;0),"Reação não entra com Parado",""),IF(AND(COUNTIF($DY37:$DZ37,"Corpo a Corpo")&gt;0,$DT37=0,OR($CZ37="Cone",$CZ37="Linha")),"Corpo a Corpo não entra em "&amp;$CZ37,""),IF(AND(COUNTIF($DY37:$DZ37,"Corpo a Corpo")&gt;0,$DT37=1),"A Forma "&amp;$CZ37&amp;" já traz o Corpo a Corpo",""),IF(AND(COUNTIF($DY37:$DZ37,"Tudo ou Nada")&gt;0,$DV37=0),"Tudo ou Nada só entra em feitiço de Teste de Resistência",""),IF(AND(COUNTIF($DA37:$DD37,"Inescapável")&gt;0,OR($EI37&gt;1,$EJ37&gt;0)),"Inescapável não aceita outra peça",""),IF(AND($CV37=1,$CX37&lt;3),"Liberação Máxima é de Classe 3 ou mais",""),IF(AND($CV37=1,OR($DU37=1,$DU37=2)),"Liberação Máxima não serve para cura",""),IF(AND($CV37=1,COUNTIF($DA37:$DD37,"Inescapável")+COUNTIF($DA37:$DD37,"Toca a Alma")&gt;0),"Esta peça não entra numa Liberação Máxima",""),IF($EQ37+$ER37&gt;4*$CX37,($EQ37+$ER37)&amp;" dados somando alvos e repetições: o teto da Classe "&amp;$CX37&amp;" é "&amp;4*$CX37,"")))</f>
        <v/>
      </c>
      <c r="FH37" s="141">
        <f>IF($FG37="",0,(LEN($FG37)-LEN(SUBSTITUTE($FG37," · ","")))/3+1)</f>
        <v/>
      </c>
      <c r="FI37" s="141">
        <f>IF($DG37=0,"",TEXTJOIN(" · ",TRUE,IF($EL37&gt;2*$CX37,"A devolução parou no teto de "&amp;2*$CX37,""),IF($EO37&gt;0,"Devolução perdida: "&amp;$EO37&amp;IF($EO37&gt;1," pontos"," ponto")&amp;" sem peça para pagar",""),IF(AND($DS37&gt;0,$EQ37=0),"Controle sem dano: uma rodada a mais e CD +2",""),IF(AND($DS37&gt;0,$EQ37&gt;0,$EQ37&lt;=$CX37),"Controle com um quarto do teto: uma rodada a mais","")))</f>
        <v/>
      </c>
      <c r="FJ37" s="141">
        <f>IF($FI37="",0,(LEN($FI37)-LEN(SUBSTITUTE($FI37," · ","")))/3+1)</f>
        <v/>
      </c>
      <c r="FK37" s="141">
        <f>IF($DG37=0,IF($EI37+$EJ37-$DT37&gt;0,"Dê um nome",""),IF($FH37&gt;0,"⚠ "&amp;$FH37&amp;IF($FH37&gt;1," erros"," erro"),IF($FJ37&gt;0,"! "&amp;$FJ37&amp;IF($FJ37&gt;1," avisos"," aviso"),"Na regra")))</f>
        <v/>
      </c>
      <c r="FL37" s="141">
        <f>IF($DG37=0,"",IF($FH37+$FJ37=0,"Dentro das regras que a ficha confere",$FG37&amp;IF(AND($FH37&gt;0,$FJ37&gt;0)," · ","")&amp;$FI37))</f>
        <v/>
      </c>
      <c r="FM37" s="141">
        <f>IF($DG37=0,"",IF($CV37=1,CEILING(4.5*$CX37,1),3*$CX37)&amp;" PE")</f>
        <v/>
      </c>
      <c r="FN37" s="141">
        <f>IF($DG37=0,"",IF($CV37=1,"Rodada inteira",IF(COUNTIF($DY37:$DZ37,"Atrasar")&gt;0,IF(COUNTIF($DY37:$DZ37,"Carregar")&gt;0,"Rodada +1 turno","Rodada inteira"),IF(COUNTIF($DA37:$DD37,"Rápido")&gt;0,"Bônus",IF(COUNTIF($DA37:$DD37,"Reação")&gt;0,"Reação","Padrão"))&amp;IF(COUNTIF($DY37:$DZ37,"Carregar")&gt;0," +1 turno",""))))</f>
        <v/>
      </c>
      <c r="FO37" s="141">
        <f>IF(OR($DG37=0,$DH37=0),"",IF(COUNTIF($DA37:$DD37,"Inescapável")&gt;0,"Automático",IF(COUNTIF($DA37:$DD37,"Certeiro")&gt;0,"TR para metade",INDEX($X$2:$X$11,$DH37))))</f>
        <v/>
      </c>
      <c r="FP37" s="141">
        <f>IF(OR($DG37=0,$DH37=0),"",IF(OR($DU37&gt;=2,$EQ37=0),UPPER(LEFT(INDEX($EZ37:$FF37,1,$CX37),1))&amp;MID(INDEX($EZ37:$FF37,1,$CX37),2,99),UPPER(LEFT(INDEX($EZ37:$FF37,1,$CX37),1))&amp;MID(INDEX($EZ37:$FF37,1,$CX37),2,99)&amp;" = "&amp;FLOOR($EQ37*4.5,1)&amp;IF($ER37&gt;0," · +"&amp;$ER37&amp;"d8","")))</f>
        <v/>
      </c>
      <c r="FQ37" s="141">
        <f>COUNTIF($DA37:$DD37,"Longe")+3*COUNTIF($DA37:$DD37,"Muito Longe")</f>
        <v/>
      </c>
      <c r="FR37" s="141">
        <f>COUNTIF($DA37:$DD37,"Maior")+3*COUNTIF($DA37:$DD37,"Muito Maior")</f>
        <v/>
      </c>
      <c r="FS37" s="141">
        <f>IF($DH37=0,0,CHOOSE(1+INDEX($Z$2:$Z$11,$DH37),0,$FQ37,$FR37,$FQ37+$FR37))</f>
        <v/>
      </c>
      <c r="FT37" s="141">
        <f>IF($DH37=0,0,CHOOSE(1+INDEX($AA$2:$AA$11,$DH37),0,$FQ37,$FR37,$FQ37+$FR37))</f>
        <v/>
      </c>
      <c r="FU37" s="141">
        <f>IF(OR($DG37=0,$DH37=0),"",INDEX($AH$2:$AM$31,($DH37-1)*3+IF($CX37&gt;=6,3,2),1+MIN(5,$FS37))&amp;INDEX($AN$2:$AS$31,($DH37-1)*3+IF($CX37&gt;=6,3,2),1+MIN(5,$FT37))&amp;IF(INDEX($AB$2:$AB$11,$DH37)=1,IF(COUNTIF($DA37:$DD37,"Mais Um")&gt;0," · +"&amp;COUNTIF($DA37:$DD37,"Mais Um")&amp;IF(COUNTIF($DA37:$DD37,"Mais Um")&gt;1," alvos"," alvo"),"")&amp;IF(COUNTIF($DA37:$DD37,"Rajada")&gt;0," · "&amp;($CX37+1)&amp;" tiros",""),""))</f>
        <v/>
      </c>
      <c r="FV37" s="141">
        <f>IF($DG37=0,"",3*$CX37&amp;" − "&amp;$EK37&amp;" + "&amp;$EN37&amp;IF($CV37=1," + "&amp;$CX37,"")&amp;" = "&amp;$EQ37&amp;"d8 · teto "&amp;4*$CX37&amp;IF($DT37=1," · a Forma devolve "&amp;$CX37,"")&amp;IF($EO37&gt;0," · perde "&amp;$EO37,""))</f>
        <v/>
      </c>
      <c r="FW37" s="141">
        <f>IF($DG37=0,"",IF($CX37&gt;=$GF$4,"Já está na maior Classe que o nível liberou",TEXTJOIN(" · ",TRUE,IF(AND(2&gt;$CX37,2&lt;=$GF$4),"2 → "&amp;$FA37&amp;", "&amp;IF($CV37=1,9,6)&amp;" PE",""),IF(AND(3&gt;$CX37,3&lt;=$GF$4),"3 → "&amp;$FB37&amp;", "&amp;IF($CV37=1,14,9)&amp;" PE",""),IF(AND(4&gt;$CX37,4&lt;=$GF$4),"4 → "&amp;$FC37&amp;", "&amp;IF($CV37=1,18,12)&amp;" PE",""),IF(AND(5&gt;$CX37,5&lt;=$GF$4),"5 → "&amp;$FD37&amp;", "&amp;IF($CV37=1,23,15)&amp;" PE",""),IF(AND(6&gt;$CX37,6&lt;=$GF$4),"6 → "&amp;$FE37&amp;", "&amp;IF($CV37=1,27,18)&amp;" PE",""),IF(AND(7&gt;$CX37,7&lt;=$GF$4),"7 → "&amp;$FF37&amp;", "&amp;IF($CV37=1,32,21)&amp;" PE",""))))</f>
        <v/>
      </c>
      <c r="FX37" s="141">
        <f>IF(OR($DG37=0,$DJ37=0),"","−"&amp;INDEX($I$2:$N$8,$CX37,$DJ37)&amp;" · "&amp;CHOOSE($DJ37,"Leve","Média","Pesada","Leve · Livre","Média · Livre","Pesada · Livre"))</f>
        <v/>
      </c>
      <c r="FY37" s="141">
        <f>IF(OR($DG37=0,$DK37=0),"","−"&amp;INDEX($I$2:$N$8,$CX37,$DK37)&amp;" · "&amp;CHOOSE($DK37,"Leve","Média","Pesada","Leve · Livre","Média · Livre","Pesada · Livre"))</f>
        <v/>
      </c>
      <c r="FZ37" s="141">
        <f>IF(OR($DG37=0,$DL37=0),"","−"&amp;INDEX($I$2:$N$8,$CX37,$DL37)&amp;" · "&amp;CHOOSE($DL37,"Leve","Média","Pesada","Leve · Livre","Média · Livre","Pesada · Livre"))</f>
        <v/>
      </c>
      <c r="GA37" s="141">
        <f>IF(OR($DG37=0,$DM37=0),"","−"&amp;INDEX($I$2:$N$8,$CX37,$DM37)&amp;" · "&amp;CHOOSE($DM37,"Leve","Média","Pesada","Leve · Livre","Média · Livre","Pesada · Livre"))</f>
        <v/>
      </c>
      <c r="GB37" s="141">
        <f>IF(OR($DG37=0,$DE37=""),"","+"&amp;IF($DW37=1,CEILING($CX37/2,1),$CX37))</f>
        <v/>
      </c>
      <c r="GC37" s="141">
        <f>IF(OR($DG37=0,$DF37=""),"","+"&amp;IF($DX37=1,CEILING($CX37/2,1),$CX37))</f>
        <v/>
      </c>
      <c r="GE37" s="114" t="inlineStr">
        <is>
          <t>gasto da técnica máxima</t>
        </is>
      </c>
      <c r="GF37" s="141">
        <f>IF(IFERROR(VLOOKUP('FICHA AMALDIÇOADA'!$J$337,$Q$2:$T$11,4,FALSE),0)=0,0,INDEX($I$2:$N$8,$GF$4,IFERROR(VLOOKUP('FICHA AMALDIÇOADA'!$J$337,$Q$2:$T$11,4,FALSE),0)))+IF(IFERROR(VLOOKUP('FICHA AMALDIÇOADA'!$J$340,$AU$2:$BB$84,4,FALSE),0)=0,0,INDEX($I$2:$N$8,$GF$4,IFERROR(VLOOKUP('FICHA AMALDIÇOADA'!$J$340,$AU$2:$BB$84,4,FALSE),0)))+IF(IFERROR(VLOOKUP('FICHA AMALDIÇOADA'!$L$340,$AU$2:$BB$84,4,FALSE),0)=0,0,INDEX($I$2:$N$8,$GF$4,IFERROR(VLOOKUP('FICHA AMALDIÇOADA'!$L$340,$AU$2:$BB$84,4,FALSE),0)))+IF(IFERROR(VLOOKUP('FICHA AMALDIÇOADA'!$P$340,$AU$2:$BB$84,4,FALSE),0)=0,0,INDEX($I$2:$N$8,$GF$4,IFERROR(VLOOKUP('FICHA AMALDIÇOADA'!$P$340,$AU$2:$BB$84,4,FALSE),0)))+IF(IFERROR(VLOOKUP('FICHA AMALDIÇOADA'!$R$340,$AU$2:$BB$84,4,FALSE),0)=0,0,INDEX($I$2:$N$8,$GF$4,IFERROR(VLOOKUP('FICHA AMALDIÇOADA'!$R$340,$AU$2:$BB$84,4,FALSE),0)))</f>
        <v/>
      </c>
      <c r="HJ37" s="114" t="inlineStr">
        <is>
          <t>F418</t>
        </is>
      </c>
      <c r="HK37" s="141">
        <f>IF(DADOS_AM!$GF$25&gt;DADOS_AM!$GF$26,"⚠ ","")&amp;DADOS_AM!$GF$25&amp;" de "&amp;DADOS_AM!$GF$26</f>
        <v/>
      </c>
    </row>
    <row r="38">
      <c r="AU38" s="114" t="inlineStr">
        <is>
          <t>Enfraquece</t>
        </is>
      </c>
      <c r="AV38" s="114" t="inlineStr">
        <is>
          <t>Auxiliares</t>
        </is>
      </c>
      <c r="AW38" s="141" t="n">
        <v>2</v>
      </c>
      <c r="AX38" s="141">
        <f>$AW38+3*IFERROR(VLOOKUP($AV38,$A$2:$D$10,3,FALSE),0)</f>
        <v/>
      </c>
      <c r="AY38" s="141">
        <f>IFERROR(VLOOKUP($AV38,$A$2:$D$10,4,FALSE),0)</f>
        <v/>
      </c>
      <c r="AZ38" s="141" t="n">
        <v>0</v>
      </c>
      <c r="BA38" s="141">
        <f>IF($AY38=1,"",$AU38)</f>
        <v/>
      </c>
      <c r="BB38" s="141">
        <f>IF(AND($AW38=1,$AY38=0),$AU38,"")</f>
        <v/>
      </c>
      <c r="CU38" s="114" t="inlineStr">
        <is>
          <t>Liberação 1</t>
        </is>
      </c>
      <c r="CV38" s="141" t="n">
        <v>1</v>
      </c>
      <c r="CW38" s="141" t="n">
        <v>1</v>
      </c>
      <c r="CX38" s="141">
        <f>MAX(1,MIN(7,N('FICHA AMALDIÇOADA'!$D$313)))</f>
        <v/>
      </c>
      <c r="CY38" s="141">
        <f>'FICHA AMALDIÇOADA'!$E$313&amp;""</f>
        <v/>
      </c>
      <c r="CZ38" s="141">
        <f>'FICHA AMALDIÇOADA'!$D$320&amp;""</f>
        <v/>
      </c>
      <c r="DA38" s="141">
        <f>'FICHA AMALDIÇOADA'!$E$322&amp;""</f>
        <v/>
      </c>
      <c r="DB38" s="141">
        <f>'FICHA AMALDIÇOADA'!$E$323&amp;""</f>
        <v/>
      </c>
      <c r="DC38" s="141">
        <f>'FICHA AMALDIÇOADA'!$E$324&amp;""</f>
        <v/>
      </c>
      <c r="DD38" s="141">
        <f>'FICHA AMALDIÇOADA'!$E$325&amp;""</f>
        <v/>
      </c>
      <c r="DE38" s="141">
        <f>'FICHA AMALDIÇOADA'!$E$326&amp;""</f>
        <v/>
      </c>
      <c r="DF38" s="141">
        <f>'FICHA AMALDIÇOADA'!$E$327&amp;""</f>
        <v/>
      </c>
      <c r="DG38" s="141">
        <f>IF($CY38&lt;&gt;"",1,0)</f>
        <v/>
      </c>
      <c r="DH38" s="141">
        <f>IFERROR(MATCH($CZ38,$Q$2:$Q$11,0),0)</f>
        <v/>
      </c>
      <c r="DI38" s="141">
        <f>IF($DH38=0,0,INDEX($T$2:$T$11,$DH38))</f>
        <v/>
      </c>
      <c r="DJ38" s="141">
        <f>IFERROR(VLOOKUP($DA38,$AU$2:$BB$84,4,FALSE),0)</f>
        <v/>
      </c>
      <c r="DK38" s="141">
        <f>IFERROR(VLOOKUP($DB38,$AU$2:$BB$84,4,FALSE),0)</f>
        <v/>
      </c>
      <c r="DL38" s="141">
        <f>IFERROR(VLOOKUP($DC38,$AU$2:$BB$84,4,FALSE),0)</f>
        <v/>
      </c>
      <c r="DM38" s="141">
        <f>IFERROR(VLOOKUP($DD38,$AU$2:$BB$84,4,FALSE),0)</f>
        <v/>
      </c>
      <c r="DN38" s="141">
        <f>IF($DH38=0,0,INDEX($U$2:$U$11,$DH38))</f>
        <v/>
      </c>
      <c r="DO38" s="141">
        <f>IFERROR(VLOOKUP($DA38,$AU$2:$BB$84,5,FALSE),0)</f>
        <v/>
      </c>
      <c r="DP38" s="141">
        <f>IFERROR(VLOOKUP($DB38,$AU$2:$BB$84,5,FALSE),0)</f>
        <v/>
      </c>
      <c r="DQ38" s="141">
        <f>IFERROR(VLOOKUP($DC38,$AU$2:$BB$84,5,FALSE),0)</f>
        <v/>
      </c>
      <c r="DR38" s="141">
        <f>IFERROR(VLOOKUP($DD38,$AU$2:$BB$84,5,FALSE),0)</f>
        <v/>
      </c>
      <c r="DS38" s="141">
        <f>IFERROR(VLOOKUP($DA38,$AU$2:$BB$84,6,FALSE),0)+IFERROR(VLOOKUP($DB38,$AU$2:$BB$84,6,FALSE),0)+IFERROR(VLOOKUP($DC38,$AU$2:$BB$84,6,FALSE),0)+IFERROR(VLOOKUP($DD38,$AU$2:$BB$84,6,FALSE),0)</f>
        <v/>
      </c>
      <c r="DT38" s="141">
        <f>IF($DH38=0,0,INDEX($V$2:$V$11,$DH38))</f>
        <v/>
      </c>
      <c r="DU38" s="141">
        <f>IF($DH38=0,0,INDEX($W$2:$W$11,$DH38))</f>
        <v/>
      </c>
      <c r="DV38" s="141">
        <f>IF($DH38=0,0,INDEX($Y$2:$Y$11,$DH38))</f>
        <v/>
      </c>
      <c r="DW38" s="141">
        <f>IFERROR(VLOOKUP($DE38,$BD$2:$BH$24,3,FALSE),0)</f>
        <v/>
      </c>
      <c r="DX38" s="141">
        <f>IFERROR(VLOOKUP($DF38,$BD$2:$BH$24,3,FALSE),0)</f>
        <v/>
      </c>
      <c r="DY38" s="141">
        <f>IFERROR(VLOOKUP($DE38,$BD$2:$BH$24,2,FALSE),"")</f>
        <v/>
      </c>
      <c r="DZ38" s="141">
        <f>IFERROR(VLOOKUP($DF38,$BD$2:$BH$24,2,FALSE),"")</f>
        <v/>
      </c>
      <c r="EA38" s="141">
        <f>COUNTIF($DI38:$DM38,1)</f>
        <v/>
      </c>
      <c r="EB38" s="141">
        <f>COUNTIF($DI38:$DM38,2)</f>
        <v/>
      </c>
      <c r="EC38" s="141">
        <f>COUNTIF($DI38:$DM38,3)</f>
        <v/>
      </c>
      <c r="ED38" s="141">
        <f>COUNTIF($DI38:$DM38,4)</f>
        <v/>
      </c>
      <c r="EE38" s="141">
        <f>COUNTIF($DI38:$DM38,5)</f>
        <v/>
      </c>
      <c r="EF38" s="141">
        <f>COUNTIF($DI38:$DM38,6)</f>
        <v/>
      </c>
      <c r="EG38" s="141">
        <f>COUNTIF($DW38:$DX38,1)</f>
        <v/>
      </c>
      <c r="EH38" s="141">
        <f>COUNTIF($DW38:$DX38,2)+$DT38</f>
        <v/>
      </c>
      <c r="EI38" s="141">
        <f>COUNTIF($DA38:$DD38,"?*")</f>
        <v/>
      </c>
      <c r="EJ38" s="141">
        <f>COUNTIF($DE38:$DF38,"?*")+$DT38</f>
        <v/>
      </c>
      <c r="EK38" s="141">
        <f>SUMPRODUCT($EA38:$EF38,INDEX($I$2:$N$8,$CX38,0))</f>
        <v/>
      </c>
      <c r="EL38" s="141">
        <f>$EG38*CEILING($CX38/2,1)+$EH38*$CX38</f>
        <v/>
      </c>
      <c r="EM38" s="141">
        <f>MIN(2*$CX38,$EL38)</f>
        <v/>
      </c>
      <c r="EN38" s="141">
        <f>MIN($EM38,$EK38)</f>
        <v/>
      </c>
      <c r="EO38" s="141">
        <f>$EM38-$EN38</f>
        <v/>
      </c>
      <c r="EP38" s="141">
        <f>3*$CX38-$EK38+$EN38</f>
        <v/>
      </c>
      <c r="EQ38" s="141">
        <f>MAX(0,$EP38)+$CV38*$CX38</f>
        <v/>
      </c>
      <c r="ER38" s="141">
        <f>(IF(COUNTIF($DA38:$DD38,"Salto")&gt;0,1,0)+IF(COUNTIF($DA38:$DD38,"Queima")&gt;0,1,0))*FLOOR($EQ38/2,1)</f>
        <v/>
      </c>
      <c r="ES38" s="141">
        <f>MAX(0,3-SUMPRODUCT($EA38:$EF38,$I$2:$N$2)+MIN(2,$EG38*1+$EH38*1,SUMPRODUCT($EA38:$EF38,$I$2:$N$2)))+$CV38*1</f>
        <v/>
      </c>
      <c r="ET38" s="141">
        <f>MAX(0,6-SUMPRODUCT($EA38:$EF38,$I$3:$N$3)+MIN(4,$EG38*1+$EH38*2,SUMPRODUCT($EA38:$EF38,$I$3:$N$3)))+$CV38*2</f>
        <v/>
      </c>
      <c r="EU38" s="141">
        <f>MAX(0,9-SUMPRODUCT($EA38:$EF38,$I$4:$N$4)+MIN(6,$EG38*2+$EH38*3,SUMPRODUCT($EA38:$EF38,$I$4:$N$4)))+$CV38*3</f>
        <v/>
      </c>
      <c r="EV38" s="141">
        <f>MAX(0,12-SUMPRODUCT($EA38:$EF38,$I$5:$N$5)+MIN(8,$EG38*2+$EH38*4,SUMPRODUCT($EA38:$EF38,$I$5:$N$5)))+$CV38*4</f>
        <v/>
      </c>
      <c r="EW38" s="141">
        <f>MAX(0,15-SUMPRODUCT($EA38:$EF38,$I$6:$N$6)+MIN(10,$EG38*3+$EH38*5,SUMPRODUCT($EA38:$EF38,$I$6:$N$6)))+$CV38*5</f>
        <v/>
      </c>
      <c r="EX38" s="141">
        <f>MAX(0,18-SUMPRODUCT($EA38:$EF38,$I$7:$N$7)+MIN(12,$EG38*3+$EH38*6,SUMPRODUCT($EA38:$EF38,$I$7:$N$7)))+$CV38*6</f>
        <v/>
      </c>
      <c r="EY38" s="141">
        <f>MAX(0,21-SUMPRODUCT($EA38:$EF38,$I$8:$N$8)+MIN(14,$EG38*4+$EH38*7,SUMPRODUCT($EA38:$EF38,$I$8:$N$8)))+$CV38*7</f>
        <v/>
      </c>
      <c r="EZ38" s="141">
        <f>IF($DU38=2,3*$ES38&amp;" de vida temp.",IF($DU38=3,"sem dano",IF($ES38=0,IF($DU38=1,"sem cura","sem dano"),IF($DU38=1,"cura ","")&amp;$ES38&amp;"d8")))</f>
        <v/>
      </c>
      <c r="FA38" s="141">
        <f>IF($DU38=2,3*$ET38&amp;" de vida temp.",IF($DU38=3,"sem dano",IF($ET38=0,IF($DU38=1,"sem cura","sem dano"),IF($DU38=1,"cura ","")&amp;$ET38&amp;"d8")))</f>
        <v/>
      </c>
      <c r="FB38" s="141">
        <f>IF($DU38=2,3*$EU38&amp;" de vida temp.",IF($DU38=3,"sem dano",IF($EU38=0,IF($DU38=1,"sem cura","sem dano"),IF($DU38=1,"cura ","")&amp;$EU38&amp;"d8")))</f>
        <v/>
      </c>
      <c r="FC38" s="141">
        <f>IF($DU38=2,3*$EV38&amp;" de vida temp.",IF($DU38=3,"sem dano",IF($EV38=0,IF($DU38=1,"sem cura","sem dano"),IF($DU38=1,"cura ","")&amp;$EV38&amp;"d8")))</f>
        <v/>
      </c>
      <c r="FD38" s="141">
        <f>IF($DU38=2,3*$EW38&amp;" de vida temp.",IF($DU38=3,"sem dano",IF($EW38=0,IF($DU38=1,"sem cura","sem dano"),IF($DU38=1,"cura ","")&amp;$EW38&amp;"d8")))</f>
        <v/>
      </c>
      <c r="FE38" s="141">
        <f>IF($DU38=2,3*$EX38&amp;" de vida temp.",IF($DU38=3,"sem dano",IF($EX38=0,IF($DU38=1,"sem cura","sem dano"),IF($DU38=1,"cura ","")&amp;$EX38&amp;"d8")))</f>
        <v/>
      </c>
      <c r="FF38" s="141">
        <f>IF($DU38=2,3*$EY38&amp;" de vida temp.",IF($DU38=3,"sem dano",IF($EY38=0,IF($DU38=1,"sem cura","sem dano"),IF($DU38=1,"cura ","")&amp;$EY38&amp;"d8")))</f>
        <v/>
      </c>
      <c r="FG38" s="141">
        <f>IF($DG38=0,"",TEXTJOIN(" · ",TRUE,IF(AND($CV38=1,$CW38&gt;$GF$9),"O nível "&amp;$GF$2&amp;" dá "&amp;$GF$9&amp;" Liberação Máxima",""),IF($CX38&gt;$GF$4,"Classe "&amp;$CX38&amp;": o nível "&amp;$GF$2&amp;" libera até a "&amp;$GF$4,""),IF($DN38=1,"Família Fechada: a Forma "&amp;$CZ38,""),IF($DO38=1,"Família Fechada: "&amp;$DA38,""),IF($DP38=1,"Família Fechada: "&amp;$DB38,""),IF($DQ38=1,"Família Fechada: "&amp;$DC38,""),IF($DR38=1,"Família Fechada: "&amp;$DD38,""),IF($EI38&gt;INDEX($O$2:$O$8,$CX38),$EI38&amp;" Melhorias: a Classe "&amp;$CX38&amp;" aceita "&amp;INDEX($O$2:$O$8,$CX38),""),IF($EJ38&gt;2,$EJ38&amp;" Restrições"&amp;IF($DT38=1,", contando a que a Forma "&amp;$CZ38&amp;" já traz","")&amp;": o limite é 2",""),IF($EP38&lt;0,"Orçamento estourado: faltam "&amp;(-$EP38)&amp;IF($EP38&lt;-1," pontos"," ponto"),""),IF(IFERROR(VLOOKUP($DE38,$BD$2:$BH$24,4,FALSE),0)+IFERROR(VLOOKUP($DF38,$BD$2:$BH$24,4,FALSE),0)&gt;1,$DY38&amp;" e "&amp;$DZ38&amp;" são as duas de frequência",""),IF(AND((COUNTIF($DA38:$DD38,"Rápido")+COUNTIF($DY38:$DZ38,"Rápido"))&gt;0,(COUNTIF($DA38:$DD38,"Reação")+COUNTIF($DY38:$DZ38,"Reação"))&gt;0),"Rápido não entra com Reação",""),IF(AND((COUNTIF($DA38:$DD38,"Rápido")+COUNTIF($DY38:$DZ38,"Rápido"))&gt;0,(COUNTIF($DA38:$DD38,"Atrasar")+COUNTIF($DY38:$DZ38,"Atrasar"))&gt;0),"Rápido não entra com Atrasar",""),IF(AND((COUNTIF($DA38:$DD38,"Reação")+COUNTIF($DY38:$DZ38,"Reação"))&gt;0,(COUNTIF($DA38:$DD38,"Atrasar")+COUNTIF($DY38:$DZ38,"Atrasar"))&gt;0),"Reação não entra com Atrasar",""),IF(AND((COUNTIF($DA38:$DD38,"Reação")+COUNTIF($DY38:$DZ38,"Reação"))&gt;0,(COUNTIF($DA38:$DD38,"Parado")+COUNTIF($DY38:$DZ38,"Parado"))&gt;0),"Reação não entra com Parado",""),IF(AND(COUNTIF($DY38:$DZ38,"Corpo a Corpo")&gt;0,$DT38=0,OR($CZ38="Cone",$CZ38="Linha")),"Corpo a Corpo não entra em "&amp;$CZ38,""),IF(AND(COUNTIF($DY38:$DZ38,"Corpo a Corpo")&gt;0,$DT38=1),"A Forma "&amp;$CZ38&amp;" já traz o Corpo a Corpo",""),IF(AND(COUNTIF($DY38:$DZ38,"Tudo ou Nada")&gt;0,$DV38=0),"Tudo ou Nada só entra em feitiço de Teste de Resistência",""),IF(AND(COUNTIF($DA38:$DD38,"Inescapável")&gt;0,OR($EI38&gt;1,$EJ38&gt;0)),"Inescapável não aceita outra peça",""),IF(AND($CV38=1,$CX38&lt;3),"Liberação Máxima é de Classe 3 ou mais",""),IF(AND($CV38=1,OR($DU38=1,$DU38=2)),"Liberação Máxima não serve para cura",""),IF(AND($CV38=1,COUNTIF($DA38:$DD38,"Inescapável")+COUNTIF($DA38:$DD38,"Toca a Alma")&gt;0),"Esta peça não entra numa Liberação Máxima",""),IF($EQ38+$ER38&gt;4*$CX38,($EQ38+$ER38)&amp;" dados somando alvos e repetições: o teto da Classe "&amp;$CX38&amp;" é "&amp;4*$CX38,"")))</f>
        <v/>
      </c>
      <c r="FH38" s="141">
        <f>IF($FG38="",0,(LEN($FG38)-LEN(SUBSTITUTE($FG38," · ","")))/3+1)</f>
        <v/>
      </c>
      <c r="FI38" s="141">
        <f>IF($DG38=0,"",TEXTJOIN(" · ",TRUE,IF($EL38&gt;2*$CX38,"A devolução parou no teto de "&amp;2*$CX38,""),IF($EO38&gt;0,"Devolução perdida: "&amp;$EO38&amp;IF($EO38&gt;1," pontos"," ponto")&amp;" sem peça para pagar",""),IF(AND($DS38&gt;0,$EQ38=0),"Controle sem dano: uma rodada a mais e CD +2",""),IF(AND($DS38&gt;0,$EQ38&gt;0,$EQ38&lt;=$CX38),"Controle com um quarto do teto: uma rodada a mais","")))</f>
        <v/>
      </c>
      <c r="FJ38" s="141">
        <f>IF($FI38="",0,(LEN($FI38)-LEN(SUBSTITUTE($FI38," · ","")))/3+1)</f>
        <v/>
      </c>
      <c r="FK38" s="141">
        <f>IF($DG38=0,IF($EI38+$EJ38-$DT38&gt;0,"Dê um nome",""),IF($FH38&gt;0,"⚠ "&amp;$FH38&amp;IF($FH38&gt;1," erros"," erro"),IF($FJ38&gt;0,"! "&amp;$FJ38&amp;IF($FJ38&gt;1," avisos"," aviso"),"Na regra")))</f>
        <v/>
      </c>
      <c r="FL38" s="141">
        <f>IF($DG38=0,"",IF($FH38+$FJ38=0,"Dentro das regras que a ficha confere",$FG38&amp;IF(AND($FH38&gt;0,$FJ38&gt;0)," · ","")&amp;$FI38))</f>
        <v/>
      </c>
      <c r="FM38" s="141">
        <f>IF($DG38=0,"",IF($CV38=1,CEILING(4.5*$CX38,1),3*$CX38)&amp;" PE")</f>
        <v/>
      </c>
      <c r="FN38" s="141">
        <f>IF($DG38=0,"",IF($CV38=1,"Rodada inteira",IF(COUNTIF($DY38:$DZ38,"Atrasar")&gt;0,IF(COUNTIF($DY38:$DZ38,"Carregar")&gt;0,"Rodada +1 turno","Rodada inteira"),IF(COUNTIF($DA38:$DD38,"Rápido")&gt;0,"Bônus",IF(COUNTIF($DA38:$DD38,"Reação")&gt;0,"Reação","Padrão"))&amp;IF(COUNTIF($DY38:$DZ38,"Carregar")&gt;0," +1 turno",""))))</f>
        <v/>
      </c>
      <c r="FO38" s="141">
        <f>IF(OR($DG38=0,$DH38=0),"",IF(COUNTIF($DA38:$DD38,"Inescapável")&gt;0,"Automático",IF(COUNTIF($DA38:$DD38,"Certeiro")&gt;0,"TR para metade",INDEX($X$2:$X$11,$DH38))))</f>
        <v/>
      </c>
      <c r="FP38" s="141">
        <f>IF(OR($DG38=0,$DH38=0),"",IF(OR($DU38&gt;=2,$EQ38=0),UPPER(LEFT(INDEX($EZ38:$FF38,1,$CX38),1))&amp;MID(INDEX($EZ38:$FF38,1,$CX38),2,99),UPPER(LEFT(INDEX($EZ38:$FF38,1,$CX38),1))&amp;MID(INDEX($EZ38:$FF38,1,$CX38),2,99)&amp;" = "&amp;FLOOR($EQ38*4.5,1)&amp;IF($ER38&gt;0," · +"&amp;$ER38&amp;"d8","")))</f>
        <v/>
      </c>
      <c r="FQ38" s="141">
        <f>COUNTIF($DA38:$DD38,"Longe")+3*COUNTIF($DA38:$DD38,"Muito Longe")</f>
        <v/>
      </c>
      <c r="FR38" s="141">
        <f>COUNTIF($DA38:$DD38,"Maior")+3*COUNTIF($DA38:$DD38,"Muito Maior")</f>
        <v/>
      </c>
      <c r="FS38" s="141">
        <f>IF($DH38=0,0,CHOOSE(1+INDEX($Z$2:$Z$11,$DH38),0,$FQ38,$FR38,$FQ38+$FR38))</f>
        <v/>
      </c>
      <c r="FT38" s="141">
        <f>IF($DH38=0,0,CHOOSE(1+INDEX($AA$2:$AA$11,$DH38),0,$FQ38,$FR38,$FQ38+$FR38))</f>
        <v/>
      </c>
      <c r="FU38" s="141">
        <f>IF(OR($DG38=0,$DH38=0),"",INDEX($AH$2:$AM$31,($DH38-1)*3+IF($CX38&gt;=6,3,2),1+MIN(5,$FS38))&amp;INDEX($AN$2:$AS$31,($DH38-1)*3+IF($CX38&gt;=6,3,2),1+MIN(5,$FT38))&amp;IF(INDEX($AB$2:$AB$11,$DH38)=1,IF(COUNTIF($DA38:$DD38,"Mais Um")&gt;0," · +"&amp;COUNTIF($DA38:$DD38,"Mais Um")&amp;IF(COUNTIF($DA38:$DD38,"Mais Um")&gt;1," alvos"," alvo"),"")&amp;IF(COUNTIF($DA38:$DD38,"Rajada")&gt;0," · "&amp;($CX38+1)&amp;" tiros",""),""))</f>
        <v/>
      </c>
      <c r="FV38" s="141">
        <f>IF($DG38=0,"",3*$CX38&amp;" − "&amp;$EK38&amp;" + "&amp;$EN38&amp;IF($CV38=1," + "&amp;$CX38,"")&amp;" = "&amp;$EQ38&amp;"d8 · teto "&amp;4*$CX38&amp;IF($DT38=1," · a Forma devolve "&amp;$CX38,"")&amp;IF($EO38&gt;0," · perde "&amp;$EO38,""))</f>
        <v/>
      </c>
      <c r="FW38" s="141">
        <f>IF($DG38=0,"",IF($CX38&gt;=$GF$4,"Já está na maior Classe que o nível liberou",TEXTJOIN(" · ",TRUE,IF(AND(2&gt;$CX38,2&lt;=$GF$4),"2 → "&amp;$FA38&amp;", "&amp;IF($CV38=1,9,6)&amp;" PE",""),IF(AND(3&gt;$CX38,3&lt;=$GF$4),"3 → "&amp;$FB38&amp;", "&amp;IF($CV38=1,14,9)&amp;" PE",""),IF(AND(4&gt;$CX38,4&lt;=$GF$4),"4 → "&amp;$FC38&amp;", "&amp;IF($CV38=1,18,12)&amp;" PE",""),IF(AND(5&gt;$CX38,5&lt;=$GF$4),"5 → "&amp;$FD38&amp;", "&amp;IF($CV38=1,23,15)&amp;" PE",""),IF(AND(6&gt;$CX38,6&lt;=$GF$4),"6 → "&amp;$FE38&amp;", "&amp;IF($CV38=1,27,18)&amp;" PE",""),IF(AND(7&gt;$CX38,7&lt;=$GF$4),"7 → "&amp;$FF38&amp;", "&amp;IF($CV38=1,32,21)&amp;" PE",""))))</f>
        <v/>
      </c>
      <c r="FX38" s="141">
        <f>IF(OR($DG38=0,$DJ38=0),"","−"&amp;INDEX($I$2:$N$8,$CX38,$DJ38)&amp;" · "&amp;CHOOSE($DJ38,"Leve","Média","Pesada","Leve · Livre","Média · Livre","Pesada · Livre"))</f>
        <v/>
      </c>
      <c r="FY38" s="141">
        <f>IF(OR($DG38=0,$DK38=0),"","−"&amp;INDEX($I$2:$N$8,$CX38,$DK38)&amp;" · "&amp;CHOOSE($DK38,"Leve","Média","Pesada","Leve · Livre","Média · Livre","Pesada · Livre"))</f>
        <v/>
      </c>
      <c r="FZ38" s="141">
        <f>IF(OR($DG38=0,$DL38=0),"","−"&amp;INDEX($I$2:$N$8,$CX38,$DL38)&amp;" · "&amp;CHOOSE($DL38,"Leve","Média","Pesada","Leve · Livre","Média · Livre","Pesada · Livre"))</f>
        <v/>
      </c>
      <c r="GA38" s="141">
        <f>IF(OR($DG38=0,$DM38=0),"","−"&amp;INDEX($I$2:$N$8,$CX38,$DM38)&amp;" · "&amp;CHOOSE($DM38,"Leve","Média","Pesada","Leve · Livre","Média · Livre","Pesada · Livre"))</f>
        <v/>
      </c>
      <c r="GB38" s="141">
        <f>IF(OR($DG38=0,$DE38=""),"","+"&amp;IF($DW38=1,CEILING($CX38/2,1),$CX38))</f>
        <v/>
      </c>
      <c r="GC38" s="141">
        <f>IF(OR($DG38=0,$DF38=""),"","+"&amp;IF($DX38=1,CEILING($CX38/2,1),$CX38))</f>
        <v/>
      </c>
      <c r="GE38" s="114" t="inlineStr">
        <is>
          <t>fechada na técnica máxima</t>
        </is>
      </c>
      <c r="GF38" s="141">
        <f>IFERROR(VLOOKUP('FICHA AMALDIÇOADA'!$J$337,$Q$2:$U$11,5,FALSE),0)+IFERROR(VLOOKUP('FICHA AMALDIÇOADA'!$J$340,$AU$2:$BB$84,5,FALSE),0)+IFERROR(VLOOKUP('FICHA AMALDIÇOADA'!$L$340,$AU$2:$BB$84,5,FALSE),0)+IFERROR(VLOOKUP('FICHA AMALDIÇOADA'!$P$340,$AU$2:$BB$84,5,FALSE),0)+IFERROR(VLOOKUP('FICHA AMALDIÇOADA'!$R$340,$AU$2:$BB$84,5,FALSE),0)</f>
        <v/>
      </c>
      <c r="HJ38" s="114" t="inlineStr">
        <is>
          <t>J418</t>
        </is>
      </c>
      <c r="HK38" s="141">
        <f>"Proteção "&amp;(FLOOR(DADOS_AM!$GF$6/3,1)+1)</f>
        <v/>
      </c>
    </row>
    <row r="39">
      <c r="AU39" s="114" t="inlineStr">
        <is>
          <t>Ecoa</t>
        </is>
      </c>
      <c r="AV39" s="114" t="inlineStr">
        <is>
          <t>Auxiliares</t>
        </is>
      </c>
      <c r="AW39" s="141" t="n">
        <v>2</v>
      </c>
      <c r="AX39" s="141">
        <f>$AW39+3*IFERROR(VLOOKUP($AV39,$A$2:$D$10,3,FALSE),0)</f>
        <v/>
      </c>
      <c r="AY39" s="141">
        <f>IFERROR(VLOOKUP($AV39,$A$2:$D$10,4,FALSE),0)</f>
        <v/>
      </c>
      <c r="AZ39" s="141" t="n">
        <v>0</v>
      </c>
      <c r="BA39" s="141">
        <f>IF($AY39=1,"",$AU39)</f>
        <v/>
      </c>
      <c r="BB39" s="141">
        <f>IF(AND($AW39=1,$AY39=0),$AU39,"")</f>
        <v/>
      </c>
      <c r="CU39" s="114" t="inlineStr">
        <is>
          <t>Liberação 2</t>
        </is>
      </c>
      <c r="CV39" s="141" t="n">
        <v>1</v>
      </c>
      <c r="CW39" s="141" t="n">
        <v>2</v>
      </c>
      <c r="CX39" s="141">
        <f>MAX(1,MIN(7,N('FICHA AMALDIÇOADA'!$J$313)))</f>
        <v/>
      </c>
      <c r="CY39" s="141">
        <f>'FICHA AMALDIÇOADA'!$K$313&amp;""</f>
        <v/>
      </c>
      <c r="CZ39" s="141">
        <f>'FICHA AMALDIÇOADA'!$J$320&amp;""</f>
        <v/>
      </c>
      <c r="DA39" s="141">
        <f>'FICHA AMALDIÇOADA'!$K$322&amp;""</f>
        <v/>
      </c>
      <c r="DB39" s="141">
        <f>'FICHA AMALDIÇOADA'!$K$323&amp;""</f>
        <v/>
      </c>
      <c r="DC39" s="141">
        <f>'FICHA AMALDIÇOADA'!$K$324&amp;""</f>
        <v/>
      </c>
      <c r="DD39" s="141">
        <f>'FICHA AMALDIÇOADA'!$K$325&amp;""</f>
        <v/>
      </c>
      <c r="DE39" s="141">
        <f>'FICHA AMALDIÇOADA'!$K$326&amp;""</f>
        <v/>
      </c>
      <c r="DF39" s="141">
        <f>'FICHA AMALDIÇOADA'!$K$327&amp;""</f>
        <v/>
      </c>
      <c r="DG39" s="141">
        <f>IF($CY39&lt;&gt;"",1,0)</f>
        <v/>
      </c>
      <c r="DH39" s="141">
        <f>IFERROR(MATCH($CZ39,$Q$2:$Q$11,0),0)</f>
        <v/>
      </c>
      <c r="DI39" s="141">
        <f>IF($DH39=0,0,INDEX($T$2:$T$11,$DH39))</f>
        <v/>
      </c>
      <c r="DJ39" s="141">
        <f>IFERROR(VLOOKUP($DA39,$AU$2:$BB$84,4,FALSE),0)</f>
        <v/>
      </c>
      <c r="DK39" s="141">
        <f>IFERROR(VLOOKUP($DB39,$AU$2:$BB$84,4,FALSE),0)</f>
        <v/>
      </c>
      <c r="DL39" s="141">
        <f>IFERROR(VLOOKUP($DC39,$AU$2:$BB$84,4,FALSE),0)</f>
        <v/>
      </c>
      <c r="DM39" s="141">
        <f>IFERROR(VLOOKUP($DD39,$AU$2:$BB$84,4,FALSE),0)</f>
        <v/>
      </c>
      <c r="DN39" s="141">
        <f>IF($DH39=0,0,INDEX($U$2:$U$11,$DH39))</f>
        <v/>
      </c>
      <c r="DO39" s="141">
        <f>IFERROR(VLOOKUP($DA39,$AU$2:$BB$84,5,FALSE),0)</f>
        <v/>
      </c>
      <c r="DP39" s="141">
        <f>IFERROR(VLOOKUP($DB39,$AU$2:$BB$84,5,FALSE),0)</f>
        <v/>
      </c>
      <c r="DQ39" s="141">
        <f>IFERROR(VLOOKUP($DC39,$AU$2:$BB$84,5,FALSE),0)</f>
        <v/>
      </c>
      <c r="DR39" s="141">
        <f>IFERROR(VLOOKUP($DD39,$AU$2:$BB$84,5,FALSE),0)</f>
        <v/>
      </c>
      <c r="DS39" s="141">
        <f>IFERROR(VLOOKUP($DA39,$AU$2:$BB$84,6,FALSE),0)+IFERROR(VLOOKUP($DB39,$AU$2:$BB$84,6,FALSE),0)+IFERROR(VLOOKUP($DC39,$AU$2:$BB$84,6,FALSE),0)+IFERROR(VLOOKUP($DD39,$AU$2:$BB$84,6,FALSE),0)</f>
        <v/>
      </c>
      <c r="DT39" s="141">
        <f>IF($DH39=0,0,INDEX($V$2:$V$11,$DH39))</f>
        <v/>
      </c>
      <c r="DU39" s="141">
        <f>IF($DH39=0,0,INDEX($W$2:$W$11,$DH39))</f>
        <v/>
      </c>
      <c r="DV39" s="141">
        <f>IF($DH39=0,0,INDEX($Y$2:$Y$11,$DH39))</f>
        <v/>
      </c>
      <c r="DW39" s="141">
        <f>IFERROR(VLOOKUP($DE39,$BD$2:$BH$24,3,FALSE),0)</f>
        <v/>
      </c>
      <c r="DX39" s="141">
        <f>IFERROR(VLOOKUP($DF39,$BD$2:$BH$24,3,FALSE),0)</f>
        <v/>
      </c>
      <c r="DY39" s="141">
        <f>IFERROR(VLOOKUP($DE39,$BD$2:$BH$24,2,FALSE),"")</f>
        <v/>
      </c>
      <c r="DZ39" s="141">
        <f>IFERROR(VLOOKUP($DF39,$BD$2:$BH$24,2,FALSE),"")</f>
        <v/>
      </c>
      <c r="EA39" s="141">
        <f>COUNTIF($DI39:$DM39,1)</f>
        <v/>
      </c>
      <c r="EB39" s="141">
        <f>COUNTIF($DI39:$DM39,2)</f>
        <v/>
      </c>
      <c r="EC39" s="141">
        <f>COUNTIF($DI39:$DM39,3)</f>
        <v/>
      </c>
      <c r="ED39" s="141">
        <f>COUNTIF($DI39:$DM39,4)</f>
        <v/>
      </c>
      <c r="EE39" s="141">
        <f>COUNTIF($DI39:$DM39,5)</f>
        <v/>
      </c>
      <c r="EF39" s="141">
        <f>COUNTIF($DI39:$DM39,6)</f>
        <v/>
      </c>
      <c r="EG39" s="141">
        <f>COUNTIF($DW39:$DX39,1)</f>
        <v/>
      </c>
      <c r="EH39" s="141">
        <f>COUNTIF($DW39:$DX39,2)+$DT39</f>
        <v/>
      </c>
      <c r="EI39" s="141">
        <f>COUNTIF($DA39:$DD39,"?*")</f>
        <v/>
      </c>
      <c r="EJ39" s="141">
        <f>COUNTIF($DE39:$DF39,"?*")+$DT39</f>
        <v/>
      </c>
      <c r="EK39" s="141">
        <f>SUMPRODUCT($EA39:$EF39,INDEX($I$2:$N$8,$CX39,0))</f>
        <v/>
      </c>
      <c r="EL39" s="141">
        <f>$EG39*CEILING($CX39/2,1)+$EH39*$CX39</f>
        <v/>
      </c>
      <c r="EM39" s="141">
        <f>MIN(2*$CX39,$EL39)</f>
        <v/>
      </c>
      <c r="EN39" s="141">
        <f>MIN($EM39,$EK39)</f>
        <v/>
      </c>
      <c r="EO39" s="141">
        <f>$EM39-$EN39</f>
        <v/>
      </c>
      <c r="EP39" s="141">
        <f>3*$CX39-$EK39+$EN39</f>
        <v/>
      </c>
      <c r="EQ39" s="141">
        <f>MAX(0,$EP39)+$CV39*$CX39</f>
        <v/>
      </c>
      <c r="ER39" s="141">
        <f>(IF(COUNTIF($DA39:$DD39,"Salto")&gt;0,1,0)+IF(COUNTIF($DA39:$DD39,"Queima")&gt;0,1,0))*FLOOR($EQ39/2,1)</f>
        <v/>
      </c>
      <c r="ES39" s="141">
        <f>MAX(0,3-SUMPRODUCT($EA39:$EF39,$I$2:$N$2)+MIN(2,$EG39*1+$EH39*1,SUMPRODUCT($EA39:$EF39,$I$2:$N$2)))+$CV39*1</f>
        <v/>
      </c>
      <c r="ET39" s="141">
        <f>MAX(0,6-SUMPRODUCT($EA39:$EF39,$I$3:$N$3)+MIN(4,$EG39*1+$EH39*2,SUMPRODUCT($EA39:$EF39,$I$3:$N$3)))+$CV39*2</f>
        <v/>
      </c>
      <c r="EU39" s="141">
        <f>MAX(0,9-SUMPRODUCT($EA39:$EF39,$I$4:$N$4)+MIN(6,$EG39*2+$EH39*3,SUMPRODUCT($EA39:$EF39,$I$4:$N$4)))+$CV39*3</f>
        <v/>
      </c>
      <c r="EV39" s="141">
        <f>MAX(0,12-SUMPRODUCT($EA39:$EF39,$I$5:$N$5)+MIN(8,$EG39*2+$EH39*4,SUMPRODUCT($EA39:$EF39,$I$5:$N$5)))+$CV39*4</f>
        <v/>
      </c>
      <c r="EW39" s="141">
        <f>MAX(0,15-SUMPRODUCT($EA39:$EF39,$I$6:$N$6)+MIN(10,$EG39*3+$EH39*5,SUMPRODUCT($EA39:$EF39,$I$6:$N$6)))+$CV39*5</f>
        <v/>
      </c>
      <c r="EX39" s="141">
        <f>MAX(0,18-SUMPRODUCT($EA39:$EF39,$I$7:$N$7)+MIN(12,$EG39*3+$EH39*6,SUMPRODUCT($EA39:$EF39,$I$7:$N$7)))+$CV39*6</f>
        <v/>
      </c>
      <c r="EY39" s="141">
        <f>MAX(0,21-SUMPRODUCT($EA39:$EF39,$I$8:$N$8)+MIN(14,$EG39*4+$EH39*7,SUMPRODUCT($EA39:$EF39,$I$8:$N$8)))+$CV39*7</f>
        <v/>
      </c>
      <c r="EZ39" s="141">
        <f>IF($DU39=2,3*$ES39&amp;" de vida temp.",IF($DU39=3,"sem dano",IF($ES39=0,IF($DU39=1,"sem cura","sem dano"),IF($DU39=1,"cura ","")&amp;$ES39&amp;"d8")))</f>
        <v/>
      </c>
      <c r="FA39" s="141">
        <f>IF($DU39=2,3*$ET39&amp;" de vida temp.",IF($DU39=3,"sem dano",IF($ET39=0,IF($DU39=1,"sem cura","sem dano"),IF($DU39=1,"cura ","")&amp;$ET39&amp;"d8")))</f>
        <v/>
      </c>
      <c r="FB39" s="141">
        <f>IF($DU39=2,3*$EU39&amp;" de vida temp.",IF($DU39=3,"sem dano",IF($EU39=0,IF($DU39=1,"sem cura","sem dano"),IF($DU39=1,"cura ","")&amp;$EU39&amp;"d8")))</f>
        <v/>
      </c>
      <c r="FC39" s="141">
        <f>IF($DU39=2,3*$EV39&amp;" de vida temp.",IF($DU39=3,"sem dano",IF($EV39=0,IF($DU39=1,"sem cura","sem dano"),IF($DU39=1,"cura ","")&amp;$EV39&amp;"d8")))</f>
        <v/>
      </c>
      <c r="FD39" s="141">
        <f>IF($DU39=2,3*$EW39&amp;" de vida temp.",IF($DU39=3,"sem dano",IF($EW39=0,IF($DU39=1,"sem cura","sem dano"),IF($DU39=1,"cura ","")&amp;$EW39&amp;"d8")))</f>
        <v/>
      </c>
      <c r="FE39" s="141">
        <f>IF($DU39=2,3*$EX39&amp;" de vida temp.",IF($DU39=3,"sem dano",IF($EX39=0,IF($DU39=1,"sem cura","sem dano"),IF($DU39=1,"cura ","")&amp;$EX39&amp;"d8")))</f>
        <v/>
      </c>
      <c r="FF39" s="141">
        <f>IF($DU39=2,3*$EY39&amp;" de vida temp.",IF($DU39=3,"sem dano",IF($EY39=0,IF($DU39=1,"sem cura","sem dano"),IF($DU39=1,"cura ","")&amp;$EY39&amp;"d8")))</f>
        <v/>
      </c>
      <c r="FG39" s="141">
        <f>IF($DG39=0,"",TEXTJOIN(" · ",TRUE,IF(AND($CV39=1,$CW39&gt;$GF$9),"O nível "&amp;$GF$2&amp;" dá "&amp;$GF$9&amp;" Liberação Máxima",""),IF($CX39&gt;$GF$4,"Classe "&amp;$CX39&amp;": o nível "&amp;$GF$2&amp;" libera até a "&amp;$GF$4,""),IF($DN39=1,"Família Fechada: a Forma "&amp;$CZ39,""),IF($DO39=1,"Família Fechada: "&amp;$DA39,""),IF($DP39=1,"Família Fechada: "&amp;$DB39,""),IF($DQ39=1,"Família Fechada: "&amp;$DC39,""),IF($DR39=1,"Família Fechada: "&amp;$DD39,""),IF($EI39&gt;INDEX($O$2:$O$8,$CX39),$EI39&amp;" Melhorias: a Classe "&amp;$CX39&amp;" aceita "&amp;INDEX($O$2:$O$8,$CX39),""),IF($EJ39&gt;2,$EJ39&amp;" Restrições"&amp;IF($DT39=1,", contando a que a Forma "&amp;$CZ39&amp;" já traz","")&amp;": o limite é 2",""),IF($EP39&lt;0,"Orçamento estourado: faltam "&amp;(-$EP39)&amp;IF($EP39&lt;-1," pontos"," ponto"),""),IF(IFERROR(VLOOKUP($DE39,$BD$2:$BH$24,4,FALSE),0)+IFERROR(VLOOKUP($DF39,$BD$2:$BH$24,4,FALSE),0)&gt;1,$DY39&amp;" e "&amp;$DZ39&amp;" são as duas de frequência",""),IF(AND((COUNTIF($DA39:$DD39,"Rápido")+COUNTIF($DY39:$DZ39,"Rápido"))&gt;0,(COUNTIF($DA39:$DD39,"Reação")+COUNTIF($DY39:$DZ39,"Reação"))&gt;0),"Rápido não entra com Reação",""),IF(AND((COUNTIF($DA39:$DD39,"Rápido")+COUNTIF($DY39:$DZ39,"Rápido"))&gt;0,(COUNTIF($DA39:$DD39,"Atrasar")+COUNTIF($DY39:$DZ39,"Atrasar"))&gt;0),"Rápido não entra com Atrasar",""),IF(AND((COUNTIF($DA39:$DD39,"Reação")+COUNTIF($DY39:$DZ39,"Reação"))&gt;0,(COUNTIF($DA39:$DD39,"Atrasar")+COUNTIF($DY39:$DZ39,"Atrasar"))&gt;0),"Reação não entra com Atrasar",""),IF(AND((COUNTIF($DA39:$DD39,"Reação")+COUNTIF($DY39:$DZ39,"Reação"))&gt;0,(COUNTIF($DA39:$DD39,"Parado")+COUNTIF($DY39:$DZ39,"Parado"))&gt;0),"Reação não entra com Parado",""),IF(AND(COUNTIF($DY39:$DZ39,"Corpo a Corpo")&gt;0,$DT39=0,OR($CZ39="Cone",$CZ39="Linha")),"Corpo a Corpo não entra em "&amp;$CZ39,""),IF(AND(COUNTIF($DY39:$DZ39,"Corpo a Corpo")&gt;0,$DT39=1),"A Forma "&amp;$CZ39&amp;" já traz o Corpo a Corpo",""),IF(AND(COUNTIF($DY39:$DZ39,"Tudo ou Nada")&gt;0,$DV39=0),"Tudo ou Nada só entra em feitiço de Teste de Resistência",""),IF(AND(COUNTIF($DA39:$DD39,"Inescapável")&gt;0,OR($EI39&gt;1,$EJ39&gt;0)),"Inescapável não aceita outra peça",""),IF(AND($CV39=1,$CX39&lt;3),"Liberação Máxima é de Classe 3 ou mais",""),IF(AND($CV39=1,OR($DU39=1,$DU39=2)),"Liberação Máxima não serve para cura",""),IF(AND($CV39=1,COUNTIF($DA39:$DD39,"Inescapável")+COUNTIF($DA39:$DD39,"Toca a Alma")&gt;0),"Esta peça não entra numa Liberação Máxima",""),IF($EQ39+$ER39&gt;4*$CX39,($EQ39+$ER39)&amp;" dados somando alvos e repetições: o teto da Classe "&amp;$CX39&amp;" é "&amp;4*$CX39,"")))</f>
        <v/>
      </c>
      <c r="FH39" s="141">
        <f>IF($FG39="",0,(LEN($FG39)-LEN(SUBSTITUTE($FG39," · ","")))/3+1)</f>
        <v/>
      </c>
      <c r="FI39" s="141">
        <f>IF($DG39=0,"",TEXTJOIN(" · ",TRUE,IF($EL39&gt;2*$CX39,"A devolução parou no teto de "&amp;2*$CX39,""),IF($EO39&gt;0,"Devolução perdida: "&amp;$EO39&amp;IF($EO39&gt;1," pontos"," ponto")&amp;" sem peça para pagar",""),IF(AND($DS39&gt;0,$EQ39=0),"Controle sem dano: uma rodada a mais e CD +2",""),IF(AND($DS39&gt;0,$EQ39&gt;0,$EQ39&lt;=$CX39),"Controle com um quarto do teto: uma rodada a mais","")))</f>
        <v/>
      </c>
      <c r="FJ39" s="141">
        <f>IF($FI39="",0,(LEN($FI39)-LEN(SUBSTITUTE($FI39," · ","")))/3+1)</f>
        <v/>
      </c>
      <c r="FK39" s="141">
        <f>IF($DG39=0,IF($EI39+$EJ39-$DT39&gt;0,"Dê um nome",""),IF($FH39&gt;0,"⚠ "&amp;$FH39&amp;IF($FH39&gt;1," erros"," erro"),IF($FJ39&gt;0,"! "&amp;$FJ39&amp;IF($FJ39&gt;1," avisos"," aviso"),"Na regra")))</f>
        <v/>
      </c>
      <c r="FL39" s="141">
        <f>IF($DG39=0,"",IF($FH39+$FJ39=0,"Dentro das regras que a ficha confere",$FG39&amp;IF(AND($FH39&gt;0,$FJ39&gt;0)," · ","")&amp;$FI39))</f>
        <v/>
      </c>
      <c r="FM39" s="141">
        <f>IF($DG39=0,"",IF($CV39=1,CEILING(4.5*$CX39,1),3*$CX39)&amp;" PE")</f>
        <v/>
      </c>
      <c r="FN39" s="141">
        <f>IF($DG39=0,"",IF($CV39=1,"Rodada inteira",IF(COUNTIF($DY39:$DZ39,"Atrasar")&gt;0,IF(COUNTIF($DY39:$DZ39,"Carregar")&gt;0,"Rodada +1 turno","Rodada inteira"),IF(COUNTIF($DA39:$DD39,"Rápido")&gt;0,"Bônus",IF(COUNTIF($DA39:$DD39,"Reação")&gt;0,"Reação","Padrão"))&amp;IF(COUNTIF($DY39:$DZ39,"Carregar")&gt;0," +1 turno",""))))</f>
        <v/>
      </c>
      <c r="FO39" s="141">
        <f>IF(OR($DG39=0,$DH39=0),"",IF(COUNTIF($DA39:$DD39,"Inescapável")&gt;0,"Automático",IF(COUNTIF($DA39:$DD39,"Certeiro")&gt;0,"TR para metade",INDEX($X$2:$X$11,$DH39))))</f>
        <v/>
      </c>
      <c r="FP39" s="141">
        <f>IF(OR($DG39=0,$DH39=0),"",IF(OR($DU39&gt;=2,$EQ39=0),UPPER(LEFT(INDEX($EZ39:$FF39,1,$CX39),1))&amp;MID(INDEX($EZ39:$FF39,1,$CX39),2,99),UPPER(LEFT(INDEX($EZ39:$FF39,1,$CX39),1))&amp;MID(INDEX($EZ39:$FF39,1,$CX39),2,99)&amp;" = "&amp;FLOOR($EQ39*4.5,1)&amp;IF($ER39&gt;0," · +"&amp;$ER39&amp;"d8","")))</f>
        <v/>
      </c>
      <c r="FQ39" s="141">
        <f>COUNTIF($DA39:$DD39,"Longe")+3*COUNTIF($DA39:$DD39,"Muito Longe")</f>
        <v/>
      </c>
      <c r="FR39" s="141">
        <f>COUNTIF($DA39:$DD39,"Maior")+3*COUNTIF($DA39:$DD39,"Muito Maior")</f>
        <v/>
      </c>
      <c r="FS39" s="141">
        <f>IF($DH39=0,0,CHOOSE(1+INDEX($Z$2:$Z$11,$DH39),0,$FQ39,$FR39,$FQ39+$FR39))</f>
        <v/>
      </c>
      <c r="FT39" s="141">
        <f>IF($DH39=0,0,CHOOSE(1+INDEX($AA$2:$AA$11,$DH39),0,$FQ39,$FR39,$FQ39+$FR39))</f>
        <v/>
      </c>
      <c r="FU39" s="141">
        <f>IF(OR($DG39=0,$DH39=0),"",INDEX($AH$2:$AM$31,($DH39-1)*3+IF($CX39&gt;=6,3,2),1+MIN(5,$FS39))&amp;INDEX($AN$2:$AS$31,($DH39-1)*3+IF($CX39&gt;=6,3,2),1+MIN(5,$FT39))&amp;IF(INDEX($AB$2:$AB$11,$DH39)=1,IF(COUNTIF($DA39:$DD39,"Mais Um")&gt;0," · +"&amp;COUNTIF($DA39:$DD39,"Mais Um")&amp;IF(COUNTIF($DA39:$DD39,"Mais Um")&gt;1," alvos"," alvo"),"")&amp;IF(COUNTIF($DA39:$DD39,"Rajada")&gt;0," · "&amp;($CX39+1)&amp;" tiros",""),""))</f>
        <v/>
      </c>
      <c r="FV39" s="141">
        <f>IF($DG39=0,"",3*$CX39&amp;" − "&amp;$EK39&amp;" + "&amp;$EN39&amp;IF($CV39=1," + "&amp;$CX39,"")&amp;" = "&amp;$EQ39&amp;"d8 · teto "&amp;4*$CX39&amp;IF($DT39=1," · a Forma devolve "&amp;$CX39,"")&amp;IF($EO39&gt;0," · perde "&amp;$EO39,""))</f>
        <v/>
      </c>
      <c r="FW39" s="141">
        <f>IF($DG39=0,"",IF($CX39&gt;=$GF$4,"Já está na maior Classe que o nível liberou",TEXTJOIN(" · ",TRUE,IF(AND(2&gt;$CX39,2&lt;=$GF$4),"2 → "&amp;$FA39&amp;", "&amp;IF($CV39=1,9,6)&amp;" PE",""),IF(AND(3&gt;$CX39,3&lt;=$GF$4),"3 → "&amp;$FB39&amp;", "&amp;IF($CV39=1,14,9)&amp;" PE",""),IF(AND(4&gt;$CX39,4&lt;=$GF$4),"4 → "&amp;$FC39&amp;", "&amp;IF($CV39=1,18,12)&amp;" PE",""),IF(AND(5&gt;$CX39,5&lt;=$GF$4),"5 → "&amp;$FD39&amp;", "&amp;IF($CV39=1,23,15)&amp;" PE",""),IF(AND(6&gt;$CX39,6&lt;=$GF$4),"6 → "&amp;$FE39&amp;", "&amp;IF($CV39=1,27,18)&amp;" PE",""),IF(AND(7&gt;$CX39,7&lt;=$GF$4),"7 → "&amp;$FF39&amp;", "&amp;IF($CV39=1,32,21)&amp;" PE",""))))</f>
        <v/>
      </c>
      <c r="FX39" s="141">
        <f>IF(OR($DG39=0,$DJ39=0),"","−"&amp;INDEX($I$2:$N$8,$CX39,$DJ39)&amp;" · "&amp;CHOOSE($DJ39,"Leve","Média","Pesada","Leve · Livre","Média · Livre","Pesada · Livre"))</f>
        <v/>
      </c>
      <c r="FY39" s="141">
        <f>IF(OR($DG39=0,$DK39=0),"","−"&amp;INDEX($I$2:$N$8,$CX39,$DK39)&amp;" · "&amp;CHOOSE($DK39,"Leve","Média","Pesada","Leve · Livre","Média · Livre","Pesada · Livre"))</f>
        <v/>
      </c>
      <c r="FZ39" s="141">
        <f>IF(OR($DG39=0,$DL39=0),"","−"&amp;INDEX($I$2:$N$8,$CX39,$DL39)&amp;" · "&amp;CHOOSE($DL39,"Leve","Média","Pesada","Leve · Livre","Média · Livre","Pesada · Livre"))</f>
        <v/>
      </c>
      <c r="GA39" s="141">
        <f>IF(OR($DG39=0,$DM39=0),"","−"&amp;INDEX($I$2:$N$8,$CX39,$DM39)&amp;" · "&amp;CHOOSE($DM39,"Leve","Média","Pesada","Leve · Livre","Média · Livre","Pesada · Livre"))</f>
        <v/>
      </c>
      <c r="GB39" s="141">
        <f>IF(OR($DG39=0,$DE39=""),"","+"&amp;IF($DW39=1,CEILING($CX39/2,1),$CX39))</f>
        <v/>
      </c>
      <c r="GC39" s="141">
        <f>IF(OR($DG39=0,$DF39=""),"","+"&amp;IF($DX39=1,CEILING($CX39/2,1),$CX39))</f>
        <v/>
      </c>
      <c r="HJ39" s="114" t="inlineStr">
        <is>
          <t>L418</t>
        </is>
      </c>
      <c r="HK39" s="141">
        <f>"+"&amp;IF(DADOS_AM!$GF$6&gt;=9,4,IF(DADOS_AM!$GF$6&gt;=6,3,IF(DADOS_AM!$GF$6&gt;=3,2,1)))&amp;IF(DADOS_AM!$GF$6&gt;=10,"d6","d4")&amp;" na arma"</f>
        <v/>
      </c>
    </row>
    <row r="40">
      <c r="AU40" s="114" t="inlineStr">
        <is>
          <t>Queima</t>
        </is>
      </c>
      <c r="AV40" s="114" t="inlineStr">
        <is>
          <t>Castigo</t>
        </is>
      </c>
      <c r="AW40" s="141" t="n">
        <v>2</v>
      </c>
      <c r="AX40" s="141">
        <f>$AW40+3*IFERROR(VLOOKUP($AV40,$A$2:$D$10,3,FALSE),0)</f>
        <v/>
      </c>
      <c r="AY40" s="141">
        <f>IFERROR(VLOOKUP($AV40,$A$2:$D$10,4,FALSE),0)</f>
        <v/>
      </c>
      <c r="AZ40" s="141" t="n">
        <v>0</v>
      </c>
      <c r="BA40" s="141">
        <f>IF($AY40=1,"",$AU40)</f>
        <v/>
      </c>
      <c r="BB40" s="141">
        <f>IF(AND($AW40=1,$AY40=0),$AU40,"")</f>
        <v/>
      </c>
      <c r="CU40" s="114" t="inlineStr">
        <is>
          <t>Liberação 3</t>
        </is>
      </c>
      <c r="CV40" s="141" t="n">
        <v>1</v>
      </c>
      <c r="CW40" s="141" t="n">
        <v>3</v>
      </c>
      <c r="CX40" s="141">
        <f>MAX(1,MIN(7,N('FICHA AMALDIÇOADA'!$P$313)))</f>
        <v/>
      </c>
      <c r="CY40" s="141">
        <f>'FICHA AMALDIÇOADA'!$Q$313&amp;""</f>
        <v/>
      </c>
      <c r="CZ40" s="141">
        <f>'FICHA AMALDIÇOADA'!$P$320&amp;""</f>
        <v/>
      </c>
      <c r="DA40" s="141">
        <f>'FICHA AMALDIÇOADA'!$Q$322&amp;""</f>
        <v/>
      </c>
      <c r="DB40" s="141">
        <f>'FICHA AMALDIÇOADA'!$Q$323&amp;""</f>
        <v/>
      </c>
      <c r="DC40" s="141">
        <f>'FICHA AMALDIÇOADA'!$Q$324&amp;""</f>
        <v/>
      </c>
      <c r="DD40" s="141">
        <f>'FICHA AMALDIÇOADA'!$Q$325&amp;""</f>
        <v/>
      </c>
      <c r="DE40" s="141">
        <f>'FICHA AMALDIÇOADA'!$Q$326&amp;""</f>
        <v/>
      </c>
      <c r="DF40" s="141">
        <f>'FICHA AMALDIÇOADA'!$Q$327&amp;""</f>
        <v/>
      </c>
      <c r="DG40" s="141">
        <f>IF($CY40&lt;&gt;"",1,0)</f>
        <v/>
      </c>
      <c r="DH40" s="141">
        <f>IFERROR(MATCH($CZ40,$Q$2:$Q$11,0),0)</f>
        <v/>
      </c>
      <c r="DI40" s="141">
        <f>IF($DH40=0,0,INDEX($T$2:$T$11,$DH40))</f>
        <v/>
      </c>
      <c r="DJ40" s="141">
        <f>IFERROR(VLOOKUP($DA40,$AU$2:$BB$84,4,FALSE),0)</f>
        <v/>
      </c>
      <c r="DK40" s="141">
        <f>IFERROR(VLOOKUP($DB40,$AU$2:$BB$84,4,FALSE),0)</f>
        <v/>
      </c>
      <c r="DL40" s="141">
        <f>IFERROR(VLOOKUP($DC40,$AU$2:$BB$84,4,FALSE),0)</f>
        <v/>
      </c>
      <c r="DM40" s="141">
        <f>IFERROR(VLOOKUP($DD40,$AU$2:$BB$84,4,FALSE),0)</f>
        <v/>
      </c>
      <c r="DN40" s="141">
        <f>IF($DH40=0,0,INDEX($U$2:$U$11,$DH40))</f>
        <v/>
      </c>
      <c r="DO40" s="141">
        <f>IFERROR(VLOOKUP($DA40,$AU$2:$BB$84,5,FALSE),0)</f>
        <v/>
      </c>
      <c r="DP40" s="141">
        <f>IFERROR(VLOOKUP($DB40,$AU$2:$BB$84,5,FALSE),0)</f>
        <v/>
      </c>
      <c r="DQ40" s="141">
        <f>IFERROR(VLOOKUP($DC40,$AU$2:$BB$84,5,FALSE),0)</f>
        <v/>
      </c>
      <c r="DR40" s="141">
        <f>IFERROR(VLOOKUP($DD40,$AU$2:$BB$84,5,FALSE),0)</f>
        <v/>
      </c>
      <c r="DS40" s="141">
        <f>IFERROR(VLOOKUP($DA40,$AU$2:$BB$84,6,FALSE),0)+IFERROR(VLOOKUP($DB40,$AU$2:$BB$84,6,FALSE),0)+IFERROR(VLOOKUP($DC40,$AU$2:$BB$84,6,FALSE),0)+IFERROR(VLOOKUP($DD40,$AU$2:$BB$84,6,FALSE),0)</f>
        <v/>
      </c>
      <c r="DT40" s="141">
        <f>IF($DH40=0,0,INDEX($V$2:$V$11,$DH40))</f>
        <v/>
      </c>
      <c r="DU40" s="141">
        <f>IF($DH40=0,0,INDEX($W$2:$W$11,$DH40))</f>
        <v/>
      </c>
      <c r="DV40" s="141">
        <f>IF($DH40=0,0,INDEX($Y$2:$Y$11,$DH40))</f>
        <v/>
      </c>
      <c r="DW40" s="141">
        <f>IFERROR(VLOOKUP($DE40,$BD$2:$BH$24,3,FALSE),0)</f>
        <v/>
      </c>
      <c r="DX40" s="141">
        <f>IFERROR(VLOOKUP($DF40,$BD$2:$BH$24,3,FALSE),0)</f>
        <v/>
      </c>
      <c r="DY40" s="141">
        <f>IFERROR(VLOOKUP($DE40,$BD$2:$BH$24,2,FALSE),"")</f>
        <v/>
      </c>
      <c r="DZ40" s="141">
        <f>IFERROR(VLOOKUP($DF40,$BD$2:$BH$24,2,FALSE),"")</f>
        <v/>
      </c>
      <c r="EA40" s="141">
        <f>COUNTIF($DI40:$DM40,1)</f>
        <v/>
      </c>
      <c r="EB40" s="141">
        <f>COUNTIF($DI40:$DM40,2)</f>
        <v/>
      </c>
      <c r="EC40" s="141">
        <f>COUNTIF($DI40:$DM40,3)</f>
        <v/>
      </c>
      <c r="ED40" s="141">
        <f>COUNTIF($DI40:$DM40,4)</f>
        <v/>
      </c>
      <c r="EE40" s="141">
        <f>COUNTIF($DI40:$DM40,5)</f>
        <v/>
      </c>
      <c r="EF40" s="141">
        <f>COUNTIF($DI40:$DM40,6)</f>
        <v/>
      </c>
      <c r="EG40" s="141">
        <f>COUNTIF($DW40:$DX40,1)</f>
        <v/>
      </c>
      <c r="EH40" s="141">
        <f>COUNTIF($DW40:$DX40,2)+$DT40</f>
        <v/>
      </c>
      <c r="EI40" s="141">
        <f>COUNTIF($DA40:$DD40,"?*")</f>
        <v/>
      </c>
      <c r="EJ40" s="141">
        <f>COUNTIF($DE40:$DF40,"?*")+$DT40</f>
        <v/>
      </c>
      <c r="EK40" s="141">
        <f>SUMPRODUCT($EA40:$EF40,INDEX($I$2:$N$8,$CX40,0))</f>
        <v/>
      </c>
      <c r="EL40" s="141">
        <f>$EG40*CEILING($CX40/2,1)+$EH40*$CX40</f>
        <v/>
      </c>
      <c r="EM40" s="141">
        <f>MIN(2*$CX40,$EL40)</f>
        <v/>
      </c>
      <c r="EN40" s="141">
        <f>MIN($EM40,$EK40)</f>
        <v/>
      </c>
      <c r="EO40" s="141">
        <f>$EM40-$EN40</f>
        <v/>
      </c>
      <c r="EP40" s="141">
        <f>3*$CX40-$EK40+$EN40</f>
        <v/>
      </c>
      <c r="EQ40" s="141">
        <f>MAX(0,$EP40)+$CV40*$CX40</f>
        <v/>
      </c>
      <c r="ER40" s="141">
        <f>(IF(COUNTIF($DA40:$DD40,"Salto")&gt;0,1,0)+IF(COUNTIF($DA40:$DD40,"Queima")&gt;0,1,0))*FLOOR($EQ40/2,1)</f>
        <v/>
      </c>
      <c r="ES40" s="141">
        <f>MAX(0,3-SUMPRODUCT($EA40:$EF40,$I$2:$N$2)+MIN(2,$EG40*1+$EH40*1,SUMPRODUCT($EA40:$EF40,$I$2:$N$2)))+$CV40*1</f>
        <v/>
      </c>
      <c r="ET40" s="141">
        <f>MAX(0,6-SUMPRODUCT($EA40:$EF40,$I$3:$N$3)+MIN(4,$EG40*1+$EH40*2,SUMPRODUCT($EA40:$EF40,$I$3:$N$3)))+$CV40*2</f>
        <v/>
      </c>
      <c r="EU40" s="141">
        <f>MAX(0,9-SUMPRODUCT($EA40:$EF40,$I$4:$N$4)+MIN(6,$EG40*2+$EH40*3,SUMPRODUCT($EA40:$EF40,$I$4:$N$4)))+$CV40*3</f>
        <v/>
      </c>
      <c r="EV40" s="141">
        <f>MAX(0,12-SUMPRODUCT($EA40:$EF40,$I$5:$N$5)+MIN(8,$EG40*2+$EH40*4,SUMPRODUCT($EA40:$EF40,$I$5:$N$5)))+$CV40*4</f>
        <v/>
      </c>
      <c r="EW40" s="141">
        <f>MAX(0,15-SUMPRODUCT($EA40:$EF40,$I$6:$N$6)+MIN(10,$EG40*3+$EH40*5,SUMPRODUCT($EA40:$EF40,$I$6:$N$6)))+$CV40*5</f>
        <v/>
      </c>
      <c r="EX40" s="141">
        <f>MAX(0,18-SUMPRODUCT($EA40:$EF40,$I$7:$N$7)+MIN(12,$EG40*3+$EH40*6,SUMPRODUCT($EA40:$EF40,$I$7:$N$7)))+$CV40*6</f>
        <v/>
      </c>
      <c r="EY40" s="141">
        <f>MAX(0,21-SUMPRODUCT($EA40:$EF40,$I$8:$N$8)+MIN(14,$EG40*4+$EH40*7,SUMPRODUCT($EA40:$EF40,$I$8:$N$8)))+$CV40*7</f>
        <v/>
      </c>
      <c r="EZ40" s="141">
        <f>IF($DU40=2,3*$ES40&amp;" de vida temp.",IF($DU40=3,"sem dano",IF($ES40=0,IF($DU40=1,"sem cura","sem dano"),IF($DU40=1,"cura ","")&amp;$ES40&amp;"d8")))</f>
        <v/>
      </c>
      <c r="FA40" s="141">
        <f>IF($DU40=2,3*$ET40&amp;" de vida temp.",IF($DU40=3,"sem dano",IF($ET40=0,IF($DU40=1,"sem cura","sem dano"),IF($DU40=1,"cura ","")&amp;$ET40&amp;"d8")))</f>
        <v/>
      </c>
      <c r="FB40" s="141">
        <f>IF($DU40=2,3*$EU40&amp;" de vida temp.",IF($DU40=3,"sem dano",IF($EU40=0,IF($DU40=1,"sem cura","sem dano"),IF($DU40=1,"cura ","")&amp;$EU40&amp;"d8")))</f>
        <v/>
      </c>
      <c r="FC40" s="141">
        <f>IF($DU40=2,3*$EV40&amp;" de vida temp.",IF($DU40=3,"sem dano",IF($EV40=0,IF($DU40=1,"sem cura","sem dano"),IF($DU40=1,"cura ","")&amp;$EV40&amp;"d8")))</f>
        <v/>
      </c>
      <c r="FD40" s="141">
        <f>IF($DU40=2,3*$EW40&amp;" de vida temp.",IF($DU40=3,"sem dano",IF($EW40=0,IF($DU40=1,"sem cura","sem dano"),IF($DU40=1,"cura ","")&amp;$EW40&amp;"d8")))</f>
        <v/>
      </c>
      <c r="FE40" s="141">
        <f>IF($DU40=2,3*$EX40&amp;" de vida temp.",IF($DU40=3,"sem dano",IF($EX40=0,IF($DU40=1,"sem cura","sem dano"),IF($DU40=1,"cura ","")&amp;$EX40&amp;"d8")))</f>
        <v/>
      </c>
      <c r="FF40" s="141">
        <f>IF($DU40=2,3*$EY40&amp;" de vida temp.",IF($DU40=3,"sem dano",IF($EY40=0,IF($DU40=1,"sem cura","sem dano"),IF($DU40=1,"cura ","")&amp;$EY40&amp;"d8")))</f>
        <v/>
      </c>
      <c r="FG40" s="141">
        <f>IF($DG40=0,"",TEXTJOIN(" · ",TRUE,IF(AND($CV40=1,$CW40&gt;$GF$9),"O nível "&amp;$GF$2&amp;" dá "&amp;$GF$9&amp;" Liberação Máxima",""),IF($CX40&gt;$GF$4,"Classe "&amp;$CX40&amp;": o nível "&amp;$GF$2&amp;" libera até a "&amp;$GF$4,""),IF($DN40=1,"Família Fechada: a Forma "&amp;$CZ40,""),IF($DO40=1,"Família Fechada: "&amp;$DA40,""),IF($DP40=1,"Família Fechada: "&amp;$DB40,""),IF($DQ40=1,"Família Fechada: "&amp;$DC40,""),IF($DR40=1,"Família Fechada: "&amp;$DD40,""),IF($EI40&gt;INDEX($O$2:$O$8,$CX40),$EI40&amp;" Melhorias: a Classe "&amp;$CX40&amp;" aceita "&amp;INDEX($O$2:$O$8,$CX40),""),IF($EJ40&gt;2,$EJ40&amp;" Restrições"&amp;IF($DT40=1,", contando a que a Forma "&amp;$CZ40&amp;" já traz","")&amp;": o limite é 2",""),IF($EP40&lt;0,"Orçamento estourado: faltam "&amp;(-$EP40)&amp;IF($EP40&lt;-1," pontos"," ponto"),""),IF(IFERROR(VLOOKUP($DE40,$BD$2:$BH$24,4,FALSE),0)+IFERROR(VLOOKUP($DF40,$BD$2:$BH$24,4,FALSE),0)&gt;1,$DY40&amp;" e "&amp;$DZ40&amp;" são as duas de frequência",""),IF(AND((COUNTIF($DA40:$DD40,"Rápido")+COUNTIF($DY40:$DZ40,"Rápido"))&gt;0,(COUNTIF($DA40:$DD40,"Reação")+COUNTIF($DY40:$DZ40,"Reação"))&gt;0),"Rápido não entra com Reação",""),IF(AND((COUNTIF($DA40:$DD40,"Rápido")+COUNTIF($DY40:$DZ40,"Rápido"))&gt;0,(COUNTIF($DA40:$DD40,"Atrasar")+COUNTIF($DY40:$DZ40,"Atrasar"))&gt;0),"Rápido não entra com Atrasar",""),IF(AND((COUNTIF($DA40:$DD40,"Reação")+COUNTIF($DY40:$DZ40,"Reação"))&gt;0,(COUNTIF($DA40:$DD40,"Atrasar")+COUNTIF($DY40:$DZ40,"Atrasar"))&gt;0),"Reação não entra com Atrasar",""),IF(AND((COUNTIF($DA40:$DD40,"Reação")+COUNTIF($DY40:$DZ40,"Reação"))&gt;0,(COUNTIF($DA40:$DD40,"Parado")+COUNTIF($DY40:$DZ40,"Parado"))&gt;0),"Reação não entra com Parado",""),IF(AND(COUNTIF($DY40:$DZ40,"Corpo a Corpo")&gt;0,$DT40=0,OR($CZ40="Cone",$CZ40="Linha")),"Corpo a Corpo não entra em "&amp;$CZ40,""),IF(AND(COUNTIF($DY40:$DZ40,"Corpo a Corpo")&gt;0,$DT40=1),"A Forma "&amp;$CZ40&amp;" já traz o Corpo a Corpo",""),IF(AND(COUNTIF($DY40:$DZ40,"Tudo ou Nada")&gt;0,$DV40=0),"Tudo ou Nada só entra em feitiço de Teste de Resistência",""),IF(AND(COUNTIF($DA40:$DD40,"Inescapável")&gt;0,OR($EI40&gt;1,$EJ40&gt;0)),"Inescapável não aceita outra peça",""),IF(AND($CV40=1,$CX40&lt;3),"Liberação Máxima é de Classe 3 ou mais",""),IF(AND($CV40=1,OR($DU40=1,$DU40=2)),"Liberação Máxima não serve para cura",""),IF(AND($CV40=1,COUNTIF($DA40:$DD40,"Inescapável")+COUNTIF($DA40:$DD40,"Toca a Alma")&gt;0),"Esta peça não entra numa Liberação Máxima",""),IF($EQ40+$ER40&gt;4*$CX40,($EQ40+$ER40)&amp;" dados somando alvos e repetições: o teto da Classe "&amp;$CX40&amp;" é "&amp;4*$CX40,"")))</f>
        <v/>
      </c>
      <c r="FH40" s="141">
        <f>IF($FG40="",0,(LEN($FG40)-LEN(SUBSTITUTE($FG40," · ","")))/3+1)</f>
        <v/>
      </c>
      <c r="FI40" s="141">
        <f>IF($DG40=0,"",TEXTJOIN(" · ",TRUE,IF($EL40&gt;2*$CX40,"A devolução parou no teto de "&amp;2*$CX40,""),IF($EO40&gt;0,"Devolução perdida: "&amp;$EO40&amp;IF($EO40&gt;1," pontos"," ponto")&amp;" sem peça para pagar",""),IF(AND($DS40&gt;0,$EQ40=0),"Controle sem dano: uma rodada a mais e CD +2",""),IF(AND($DS40&gt;0,$EQ40&gt;0,$EQ40&lt;=$CX40),"Controle com um quarto do teto: uma rodada a mais","")))</f>
        <v/>
      </c>
      <c r="FJ40" s="141">
        <f>IF($FI40="",0,(LEN($FI40)-LEN(SUBSTITUTE($FI40," · ","")))/3+1)</f>
        <v/>
      </c>
      <c r="FK40" s="141">
        <f>IF($DG40=0,IF($EI40+$EJ40-$DT40&gt;0,"Dê um nome",""),IF($FH40&gt;0,"⚠ "&amp;$FH40&amp;IF($FH40&gt;1," erros"," erro"),IF($FJ40&gt;0,"! "&amp;$FJ40&amp;IF($FJ40&gt;1," avisos"," aviso"),"Na regra")))</f>
        <v/>
      </c>
      <c r="FL40" s="141">
        <f>IF($DG40=0,"",IF($FH40+$FJ40=0,"Dentro das regras que a ficha confere",$FG40&amp;IF(AND($FH40&gt;0,$FJ40&gt;0)," · ","")&amp;$FI40))</f>
        <v/>
      </c>
      <c r="FM40" s="141">
        <f>IF($DG40=0,"",IF($CV40=1,CEILING(4.5*$CX40,1),3*$CX40)&amp;" PE")</f>
        <v/>
      </c>
      <c r="FN40" s="141">
        <f>IF($DG40=0,"",IF($CV40=1,"Rodada inteira",IF(COUNTIF($DY40:$DZ40,"Atrasar")&gt;0,IF(COUNTIF($DY40:$DZ40,"Carregar")&gt;0,"Rodada +1 turno","Rodada inteira"),IF(COUNTIF($DA40:$DD40,"Rápido")&gt;0,"Bônus",IF(COUNTIF($DA40:$DD40,"Reação")&gt;0,"Reação","Padrão"))&amp;IF(COUNTIF($DY40:$DZ40,"Carregar")&gt;0," +1 turno",""))))</f>
        <v/>
      </c>
      <c r="FO40" s="141">
        <f>IF(OR($DG40=0,$DH40=0),"",IF(COUNTIF($DA40:$DD40,"Inescapável")&gt;0,"Automático",IF(COUNTIF($DA40:$DD40,"Certeiro")&gt;0,"TR para metade",INDEX($X$2:$X$11,$DH40))))</f>
        <v/>
      </c>
      <c r="FP40" s="141">
        <f>IF(OR($DG40=0,$DH40=0),"",IF(OR($DU40&gt;=2,$EQ40=0),UPPER(LEFT(INDEX($EZ40:$FF40,1,$CX40),1))&amp;MID(INDEX($EZ40:$FF40,1,$CX40),2,99),UPPER(LEFT(INDEX($EZ40:$FF40,1,$CX40),1))&amp;MID(INDEX($EZ40:$FF40,1,$CX40),2,99)&amp;" = "&amp;FLOOR($EQ40*4.5,1)&amp;IF($ER40&gt;0," · +"&amp;$ER40&amp;"d8","")))</f>
        <v/>
      </c>
      <c r="FQ40" s="141">
        <f>COUNTIF($DA40:$DD40,"Longe")+3*COUNTIF($DA40:$DD40,"Muito Longe")</f>
        <v/>
      </c>
      <c r="FR40" s="141">
        <f>COUNTIF($DA40:$DD40,"Maior")+3*COUNTIF($DA40:$DD40,"Muito Maior")</f>
        <v/>
      </c>
      <c r="FS40" s="141">
        <f>IF($DH40=0,0,CHOOSE(1+INDEX($Z$2:$Z$11,$DH40),0,$FQ40,$FR40,$FQ40+$FR40))</f>
        <v/>
      </c>
      <c r="FT40" s="141">
        <f>IF($DH40=0,0,CHOOSE(1+INDEX($AA$2:$AA$11,$DH40),0,$FQ40,$FR40,$FQ40+$FR40))</f>
        <v/>
      </c>
      <c r="FU40" s="141">
        <f>IF(OR($DG40=0,$DH40=0),"",INDEX($AH$2:$AM$31,($DH40-1)*3+IF($CX40&gt;=6,3,2),1+MIN(5,$FS40))&amp;INDEX($AN$2:$AS$31,($DH40-1)*3+IF($CX40&gt;=6,3,2),1+MIN(5,$FT40))&amp;IF(INDEX($AB$2:$AB$11,$DH40)=1,IF(COUNTIF($DA40:$DD40,"Mais Um")&gt;0," · +"&amp;COUNTIF($DA40:$DD40,"Mais Um")&amp;IF(COUNTIF($DA40:$DD40,"Mais Um")&gt;1," alvos"," alvo"),"")&amp;IF(COUNTIF($DA40:$DD40,"Rajada")&gt;0," · "&amp;($CX40+1)&amp;" tiros",""),""))</f>
        <v/>
      </c>
      <c r="FV40" s="141">
        <f>IF($DG40=0,"",3*$CX40&amp;" − "&amp;$EK40&amp;" + "&amp;$EN40&amp;IF($CV40=1," + "&amp;$CX40,"")&amp;" = "&amp;$EQ40&amp;"d8 · teto "&amp;4*$CX40&amp;IF($DT40=1," · a Forma devolve "&amp;$CX40,"")&amp;IF($EO40&gt;0," · perde "&amp;$EO40,""))</f>
        <v/>
      </c>
      <c r="FW40" s="141">
        <f>IF($DG40=0,"",IF($CX40&gt;=$GF$4,"Já está na maior Classe que o nível liberou",TEXTJOIN(" · ",TRUE,IF(AND(2&gt;$CX40,2&lt;=$GF$4),"2 → "&amp;$FA40&amp;", "&amp;IF($CV40=1,9,6)&amp;" PE",""),IF(AND(3&gt;$CX40,3&lt;=$GF$4),"3 → "&amp;$FB40&amp;", "&amp;IF($CV40=1,14,9)&amp;" PE",""),IF(AND(4&gt;$CX40,4&lt;=$GF$4),"4 → "&amp;$FC40&amp;", "&amp;IF($CV40=1,18,12)&amp;" PE",""),IF(AND(5&gt;$CX40,5&lt;=$GF$4),"5 → "&amp;$FD40&amp;", "&amp;IF($CV40=1,23,15)&amp;" PE",""),IF(AND(6&gt;$CX40,6&lt;=$GF$4),"6 → "&amp;$FE40&amp;", "&amp;IF($CV40=1,27,18)&amp;" PE",""),IF(AND(7&gt;$CX40,7&lt;=$GF$4),"7 → "&amp;$FF40&amp;", "&amp;IF($CV40=1,32,21)&amp;" PE",""))))</f>
        <v/>
      </c>
      <c r="FX40" s="141">
        <f>IF(OR($DG40=0,$DJ40=0),"","−"&amp;INDEX($I$2:$N$8,$CX40,$DJ40)&amp;" · "&amp;CHOOSE($DJ40,"Leve","Média","Pesada","Leve · Livre","Média · Livre","Pesada · Livre"))</f>
        <v/>
      </c>
      <c r="FY40" s="141">
        <f>IF(OR($DG40=0,$DK40=0),"","−"&amp;INDEX($I$2:$N$8,$CX40,$DK40)&amp;" · "&amp;CHOOSE($DK40,"Leve","Média","Pesada","Leve · Livre","Média · Livre","Pesada · Livre"))</f>
        <v/>
      </c>
      <c r="FZ40" s="141">
        <f>IF(OR($DG40=0,$DL40=0),"","−"&amp;INDEX($I$2:$N$8,$CX40,$DL40)&amp;" · "&amp;CHOOSE($DL40,"Leve","Média","Pesada","Leve · Livre","Média · Livre","Pesada · Livre"))</f>
        <v/>
      </c>
      <c r="GA40" s="141">
        <f>IF(OR($DG40=0,$DM40=0),"","−"&amp;INDEX($I$2:$N$8,$CX40,$DM40)&amp;" · "&amp;CHOOSE($DM40,"Leve","Média","Pesada","Leve · Livre","Média · Livre","Pesada · Livre"))</f>
        <v/>
      </c>
      <c r="GB40" s="141">
        <f>IF(OR($DG40=0,$DE40=""),"","+"&amp;IF($DW40=1,CEILING($CX40/2,1),$CX40))</f>
        <v/>
      </c>
      <c r="GC40" s="141">
        <f>IF(OR($DG40=0,$DF40=""),"","+"&amp;IF($DX40=1,CEILING($CX40/2,1),$CX40))</f>
        <v/>
      </c>
      <c r="HJ40" s="114" t="inlineStr">
        <is>
          <t>P418</t>
        </is>
      </c>
      <c r="HK40" s="141">
        <f>"RD "&amp;FLOOR(1.5*DADOS_AM!$GF$6,1)&amp;" por 2 PE"</f>
        <v/>
      </c>
    </row>
    <row r="41">
      <c r="AU41" s="114" t="inlineStr">
        <is>
          <t>Acúmulo</t>
        </is>
      </c>
      <c r="AV41" s="114" t="inlineStr">
        <is>
          <t>Castigo</t>
        </is>
      </c>
      <c r="AW41" s="141" t="n">
        <v>2</v>
      </c>
      <c r="AX41" s="141">
        <f>$AW41+3*IFERROR(VLOOKUP($AV41,$A$2:$D$10,3,FALSE),0)</f>
        <v/>
      </c>
      <c r="AY41" s="141">
        <f>IFERROR(VLOOKUP($AV41,$A$2:$D$10,4,FALSE),0)</f>
        <v/>
      </c>
      <c r="AZ41" s="141" t="n">
        <v>0</v>
      </c>
      <c r="BA41" s="141">
        <f>IF($AY41=1,"",$AU41)</f>
        <v/>
      </c>
      <c r="BB41" s="141">
        <f>IF(AND($AW41=1,$AY41=0),$AU41,"")</f>
        <v/>
      </c>
      <c r="HJ41" s="114" t="inlineStr">
        <is>
          <t>D506</t>
        </is>
      </c>
      <c r="HK41" s="141">
        <f>IF(DADOS_AM!$GF$27&gt;DADOS_AM!$GF$28,"⚠ ","")&amp;DADOS_AM!$GF$27&amp;" de "&amp;DADOS_AM!$GF$28</f>
        <v/>
      </c>
    </row>
    <row r="42">
      <c r="AU42" s="114" t="inlineStr">
        <is>
          <t>Remate</t>
        </is>
      </c>
      <c r="AV42" s="114" t="inlineStr">
        <is>
          <t>Castigo</t>
        </is>
      </c>
      <c r="AW42" s="141" t="n">
        <v>2</v>
      </c>
      <c r="AX42" s="141">
        <f>$AW42+3*IFERROR(VLOOKUP($AV42,$A$2:$D$10,3,FALSE),0)</f>
        <v/>
      </c>
      <c r="AY42" s="141">
        <f>IFERROR(VLOOKUP($AV42,$A$2:$D$10,4,FALSE),0)</f>
        <v/>
      </c>
      <c r="AZ42" s="141" t="n">
        <v>0</v>
      </c>
      <c r="BA42" s="141">
        <f>IF($AY42=1,"",$AU42)</f>
        <v/>
      </c>
      <c r="BB42" s="141">
        <f>IF(AND($AW42=1,$AY42=0),$AU42,"")</f>
        <v/>
      </c>
    </row>
    <row r="43">
      <c r="AU43" s="114" t="inlineStr">
        <is>
          <t>Estilhaço</t>
        </is>
      </c>
      <c r="AV43" s="114" t="inlineStr">
        <is>
          <t>Castigo</t>
        </is>
      </c>
      <c r="AW43" s="141" t="n">
        <v>1</v>
      </c>
      <c r="AX43" s="141">
        <f>$AW43+3*IFERROR(VLOOKUP($AV43,$A$2:$D$10,3,FALSE),0)</f>
        <v/>
      </c>
      <c r="AY43" s="141">
        <f>IFERROR(VLOOKUP($AV43,$A$2:$D$10,4,FALSE),0)</f>
        <v/>
      </c>
      <c r="AZ43" s="141" t="n">
        <v>0</v>
      </c>
      <c r="BA43" s="141">
        <f>IF($AY43=1,"",$AU43)</f>
        <v/>
      </c>
      <c r="BB43" s="141">
        <f>IF(AND($AW43=1,$AY43=0),$AU43,"")</f>
        <v/>
      </c>
    </row>
    <row r="44">
      <c r="AU44" s="114" t="inlineStr">
        <is>
          <t>Quebra Coisa</t>
        </is>
      </c>
      <c r="AV44" s="114" t="inlineStr">
        <is>
          <t>Castigo</t>
        </is>
      </c>
      <c r="AW44" s="141" t="n">
        <v>1</v>
      </c>
      <c r="AX44" s="141">
        <f>$AW44+3*IFERROR(VLOOKUP($AV44,$A$2:$D$10,3,FALSE),0)</f>
        <v/>
      </c>
      <c r="AY44" s="141">
        <f>IFERROR(VLOOKUP($AV44,$A$2:$D$10,4,FALSE),0)</f>
        <v/>
      </c>
      <c r="AZ44" s="141" t="n">
        <v>0</v>
      </c>
      <c r="BA44" s="141">
        <f>IF($AY44=1,"",$AU44)</f>
        <v/>
      </c>
      <c r="BB44" s="141">
        <f>IF(AND($AW44=1,$AY44=0),$AU44,"")</f>
        <v/>
      </c>
    </row>
    <row r="45">
      <c r="AU45" s="114" t="inlineStr">
        <is>
          <t>Rasga Escudo</t>
        </is>
      </c>
      <c r="AV45" s="114" t="inlineStr">
        <is>
          <t>Castigo</t>
        </is>
      </c>
      <c r="AW45" s="141" t="n">
        <v>2</v>
      </c>
      <c r="AX45" s="141">
        <f>$AW45+3*IFERROR(VLOOKUP($AV45,$A$2:$D$10,3,FALSE),0)</f>
        <v/>
      </c>
      <c r="AY45" s="141">
        <f>IFERROR(VLOOKUP($AV45,$A$2:$D$10,4,FALSE),0)</f>
        <v/>
      </c>
      <c r="AZ45" s="141" t="n">
        <v>0</v>
      </c>
      <c r="BA45" s="141">
        <f>IF($AY45=1,"",$AU45)</f>
        <v/>
      </c>
      <c r="BB45" s="141">
        <f>IF(AND($AW45=1,$AY45=0),$AU45,"")</f>
        <v/>
      </c>
    </row>
    <row r="46">
      <c r="AU46" s="114" t="inlineStr">
        <is>
          <t>Sem Cura</t>
        </is>
      </c>
      <c r="AV46" s="114" t="inlineStr">
        <is>
          <t>Castigo</t>
        </is>
      </c>
      <c r="AW46" s="141" t="n">
        <v>2</v>
      </c>
      <c r="AX46" s="141">
        <f>$AW46+3*IFERROR(VLOOKUP($AV46,$A$2:$D$10,3,FALSE),0)</f>
        <v/>
      </c>
      <c r="AY46" s="141">
        <f>IFERROR(VLOOKUP($AV46,$A$2:$D$10,4,FALSE),0)</f>
        <v/>
      </c>
      <c r="AZ46" s="141" t="n">
        <v>0</v>
      </c>
      <c r="BA46" s="141">
        <f>IF($AY46=1,"",$AU46)</f>
        <v/>
      </c>
      <c r="BB46" s="141">
        <f>IF(AND($AW46=1,$AY46=0),$AU46,"")</f>
        <v/>
      </c>
    </row>
    <row r="47">
      <c r="AU47" s="114" t="inlineStr">
        <is>
          <t>Rápido</t>
        </is>
      </c>
      <c r="AV47" s="114" t="inlineStr">
        <is>
          <t>Tempo</t>
        </is>
      </c>
      <c r="AW47" s="141" t="n">
        <v>3</v>
      </c>
      <c r="AX47" s="141">
        <f>$AW47+3*IFERROR(VLOOKUP($AV47,$A$2:$D$10,3,FALSE),0)</f>
        <v/>
      </c>
      <c r="AY47" s="141">
        <f>IFERROR(VLOOKUP($AV47,$A$2:$D$10,4,FALSE),0)</f>
        <v/>
      </c>
      <c r="AZ47" s="141" t="n">
        <v>0</v>
      </c>
      <c r="BA47" s="141">
        <f>IF($AY47=1,"",$AU47)</f>
        <v/>
      </c>
      <c r="BB47" s="141">
        <f>IF(AND($AW47=1,$AY47=0),$AU47,"")</f>
        <v/>
      </c>
    </row>
    <row r="48">
      <c r="AU48" s="114" t="inlineStr">
        <is>
          <t>Reação</t>
        </is>
      </c>
      <c r="AV48" s="114" t="inlineStr">
        <is>
          <t>Tempo</t>
        </is>
      </c>
      <c r="AW48" s="141" t="n">
        <v>3</v>
      </c>
      <c r="AX48" s="141">
        <f>$AW48+3*IFERROR(VLOOKUP($AV48,$A$2:$D$10,3,FALSE),0)</f>
        <v/>
      </c>
      <c r="AY48" s="141">
        <f>IFERROR(VLOOKUP($AV48,$A$2:$D$10,4,FALSE),0)</f>
        <v/>
      </c>
      <c r="AZ48" s="141" t="n">
        <v>0</v>
      </c>
      <c r="BA48" s="141">
        <f>IF($AY48=1,"",$AU48)</f>
        <v/>
      </c>
      <c r="BB48" s="141">
        <f>IF(AND($AW48=1,$AY48=0),$AU48,"")</f>
        <v/>
      </c>
    </row>
    <row r="49">
      <c r="AU49" s="114" t="inlineStr">
        <is>
          <t>Armado</t>
        </is>
      </c>
      <c r="AV49" s="114" t="inlineStr">
        <is>
          <t>Tempo</t>
        </is>
      </c>
      <c r="AW49" s="141" t="n">
        <v>1</v>
      </c>
      <c r="AX49" s="141">
        <f>$AW49+3*IFERROR(VLOOKUP($AV49,$A$2:$D$10,3,FALSE),0)</f>
        <v/>
      </c>
      <c r="AY49" s="141">
        <f>IFERROR(VLOOKUP($AV49,$A$2:$D$10,4,FALSE),0)</f>
        <v/>
      </c>
      <c r="AZ49" s="141" t="n">
        <v>0</v>
      </c>
      <c r="BA49" s="141">
        <f>IF($AY49=1,"",$AU49)</f>
        <v/>
      </c>
      <c r="BB49" s="141">
        <f>IF(AND($AW49=1,$AY49=0),$AU49,"")</f>
        <v/>
      </c>
    </row>
    <row r="50">
      <c r="AU50" s="114" t="inlineStr">
        <is>
          <t>Silencioso</t>
        </is>
      </c>
      <c r="AV50" s="114" t="inlineStr">
        <is>
          <t>Tempo</t>
        </is>
      </c>
      <c r="AW50" s="141" t="n">
        <v>1</v>
      </c>
      <c r="AX50" s="141">
        <f>$AW50+3*IFERROR(VLOOKUP($AV50,$A$2:$D$10,3,FALSE),0)</f>
        <v/>
      </c>
      <c r="AY50" s="141">
        <f>IFERROR(VLOOKUP($AV50,$A$2:$D$10,4,FALSE),0)</f>
        <v/>
      </c>
      <c r="AZ50" s="141" t="n">
        <v>0</v>
      </c>
      <c r="BA50" s="141">
        <f>IF($AY50=1,"",$AU50)</f>
        <v/>
      </c>
      <c r="BB50" s="141">
        <f>IF(AND($AW50=1,$AY50=0),$AU50,"")</f>
        <v/>
      </c>
    </row>
    <row r="51">
      <c r="AU51" s="114" t="inlineStr">
        <is>
          <t>Adianta</t>
        </is>
      </c>
      <c r="AV51" s="114" t="inlineStr">
        <is>
          <t>Tempo</t>
        </is>
      </c>
      <c r="AW51" s="141" t="n">
        <v>2</v>
      </c>
      <c r="AX51" s="141">
        <f>$AW51+3*IFERROR(VLOOKUP($AV51,$A$2:$D$10,3,FALSE),0)</f>
        <v/>
      </c>
      <c r="AY51" s="141">
        <f>IFERROR(VLOOKUP($AV51,$A$2:$D$10,4,FALSE),0)</f>
        <v/>
      </c>
      <c r="AZ51" s="141" t="n">
        <v>0</v>
      </c>
      <c r="BA51" s="141">
        <f>IF($AY51=1,"",$AU51)</f>
        <v/>
      </c>
      <c r="BB51" s="141">
        <f>IF(AND($AW51=1,$AY51=0),$AU51,"")</f>
        <v/>
      </c>
    </row>
    <row r="52">
      <c r="AU52" s="114" t="inlineStr">
        <is>
          <t>Segura</t>
        </is>
      </c>
      <c r="AV52" s="114" t="inlineStr">
        <is>
          <t>Tempo</t>
        </is>
      </c>
      <c r="AW52" s="141" t="n">
        <v>1</v>
      </c>
      <c r="AX52" s="141">
        <f>$AW52+3*IFERROR(VLOOKUP($AV52,$A$2:$D$10,3,FALSE),0)</f>
        <v/>
      </c>
      <c r="AY52" s="141">
        <f>IFERROR(VLOOKUP($AV52,$A$2:$D$10,4,FALSE),0)</f>
        <v/>
      </c>
      <c r="AZ52" s="141" t="n">
        <v>0</v>
      </c>
      <c r="BA52" s="141">
        <f>IF($AY52=1,"",$AU52)</f>
        <v/>
      </c>
      <c r="BB52" s="141">
        <f>IF(AND($AW52=1,$AY52=0),$AU52,"")</f>
        <v/>
      </c>
    </row>
    <row r="53">
      <c r="AU53" s="114" t="inlineStr">
        <is>
          <t>Concentrada</t>
        </is>
      </c>
      <c r="AV53" s="114" t="inlineStr">
        <is>
          <t>Tempo</t>
        </is>
      </c>
      <c r="AW53" s="141" t="n">
        <v>1</v>
      </c>
      <c r="AX53" s="141">
        <f>$AW53+3*IFERROR(VLOOKUP($AV53,$A$2:$D$10,3,FALSE),0)</f>
        <v/>
      </c>
      <c r="AY53" s="141">
        <f>IFERROR(VLOOKUP($AV53,$A$2:$D$10,4,FALSE),0)</f>
        <v/>
      </c>
      <c r="AZ53" s="141" t="n">
        <v>0</v>
      </c>
      <c r="BA53" s="141">
        <f>IF($AY53=1,"",$AU53)</f>
        <v/>
      </c>
      <c r="BB53" s="141">
        <f>IF(AND($AW53=1,$AY53=0),$AU53,"")</f>
        <v/>
      </c>
    </row>
    <row r="54">
      <c r="AU54" s="114" t="inlineStr">
        <is>
          <t>Duradoura</t>
        </is>
      </c>
      <c r="AV54" s="114" t="inlineStr">
        <is>
          <t>Tempo</t>
        </is>
      </c>
      <c r="AW54" s="141" t="n">
        <v>2</v>
      </c>
      <c r="AX54" s="141">
        <f>$AW54+3*IFERROR(VLOOKUP($AV54,$A$2:$D$10,3,FALSE),0)</f>
        <v/>
      </c>
      <c r="AY54" s="141">
        <f>IFERROR(VLOOKUP($AV54,$A$2:$D$10,4,FALSE),0)</f>
        <v/>
      </c>
      <c r="AZ54" s="141" t="n">
        <v>0</v>
      </c>
      <c r="BA54" s="141">
        <f>IF($AY54=1,"",$AU54)</f>
        <v/>
      </c>
      <c r="BB54" s="141">
        <f>IF(AND($AW54=1,$AY54=0),$AU54,"")</f>
        <v/>
      </c>
    </row>
    <row r="55">
      <c r="AU55" s="114" t="inlineStr">
        <is>
          <t>Marca</t>
        </is>
      </c>
      <c r="AV55" s="114" t="inlineStr">
        <is>
          <t>Marca</t>
        </is>
      </c>
      <c r="AW55" s="141" t="n">
        <v>1</v>
      </c>
      <c r="AX55" s="141">
        <f>$AW55+3*IFERROR(VLOOKUP($AV55,$A$2:$D$10,3,FALSE),0)</f>
        <v/>
      </c>
      <c r="AY55" s="141">
        <f>IFERROR(VLOOKUP($AV55,$A$2:$D$10,4,FALSE),0)</f>
        <v/>
      </c>
      <c r="AZ55" s="141" t="n">
        <v>0</v>
      </c>
      <c r="BA55" s="141">
        <f>IF($AY55=1,"",$AU55)</f>
        <v/>
      </c>
      <c r="BB55" s="141">
        <f>IF(AND($AW55=1,$AY55=0),$AU55,"")</f>
        <v/>
      </c>
    </row>
    <row r="56">
      <c r="AU56" s="114" t="inlineStr">
        <is>
          <t>Alvo de Caça</t>
        </is>
      </c>
      <c r="AV56" s="114" t="inlineStr">
        <is>
          <t>Marca</t>
        </is>
      </c>
      <c r="AW56" s="141" t="n">
        <v>1</v>
      </c>
      <c r="AX56" s="141">
        <f>$AW56+3*IFERROR(VLOOKUP($AV56,$A$2:$D$10,3,FALSE),0)</f>
        <v/>
      </c>
      <c r="AY56" s="141">
        <f>IFERROR(VLOOKUP($AV56,$A$2:$D$10,4,FALSE),0)</f>
        <v/>
      </c>
      <c r="AZ56" s="141" t="n">
        <v>0</v>
      </c>
      <c r="BA56" s="141">
        <f>IF($AY56=1,"",$AU56)</f>
        <v/>
      </c>
      <c r="BB56" s="141">
        <f>IF(AND($AW56=1,$AY56=0),$AU56,"")</f>
        <v/>
      </c>
    </row>
    <row r="57">
      <c r="AU57" s="114" t="inlineStr">
        <is>
          <t>Rastro</t>
        </is>
      </c>
      <c r="AV57" s="114" t="inlineStr">
        <is>
          <t>Marca</t>
        </is>
      </c>
      <c r="AW57" s="141" t="n">
        <v>1</v>
      </c>
      <c r="AX57" s="141">
        <f>$AW57+3*IFERROR(VLOOKUP($AV57,$A$2:$D$10,3,FALSE),0)</f>
        <v/>
      </c>
      <c r="AY57" s="141">
        <f>IFERROR(VLOOKUP($AV57,$A$2:$D$10,4,FALSE),0)</f>
        <v/>
      </c>
      <c r="AZ57" s="141" t="n">
        <v>0</v>
      </c>
      <c r="BA57" s="141">
        <f>IF($AY57=1,"",$AU57)</f>
        <v/>
      </c>
      <c r="BB57" s="141">
        <f>IF(AND($AW57=1,$AY57=0),$AU57,"")</f>
        <v/>
      </c>
    </row>
    <row r="58">
      <c r="AU58" s="114" t="inlineStr">
        <is>
          <t>Sugar</t>
        </is>
      </c>
      <c r="AV58" s="114" t="inlineStr">
        <is>
          <t>Marca</t>
        </is>
      </c>
      <c r="AW58" s="141" t="n">
        <v>2</v>
      </c>
      <c r="AX58" s="141">
        <f>$AW58+3*IFERROR(VLOOKUP($AV58,$A$2:$D$10,3,FALSE),0)</f>
        <v/>
      </c>
      <c r="AY58" s="141">
        <f>IFERROR(VLOOKUP($AV58,$A$2:$D$10,4,FALSE),0)</f>
        <v/>
      </c>
      <c r="AZ58" s="141" t="n">
        <v>0</v>
      </c>
      <c r="BA58" s="141">
        <f>IF($AY58=1,"",$AU58)</f>
        <v/>
      </c>
      <c r="BB58" s="141">
        <f>IF(AND($AW58=1,$AY58=0),$AU58,"")</f>
        <v/>
      </c>
    </row>
    <row r="59">
      <c r="AU59" s="114" t="inlineStr">
        <is>
          <t>Isca</t>
        </is>
      </c>
      <c r="AV59" s="114" t="inlineStr">
        <is>
          <t>Marca</t>
        </is>
      </c>
      <c r="AW59" s="141" t="n">
        <v>1</v>
      </c>
      <c r="AX59" s="141">
        <f>$AW59+3*IFERROR(VLOOKUP($AV59,$A$2:$D$10,3,FALSE),0)</f>
        <v/>
      </c>
      <c r="AY59" s="141">
        <f>IFERROR(VLOOKUP($AV59,$A$2:$D$10,4,FALSE),0)</f>
        <v/>
      </c>
      <c r="AZ59" s="141" t="n">
        <v>0</v>
      </c>
      <c r="BA59" s="141">
        <f>IF($AY59=1,"",$AU59)</f>
        <v/>
      </c>
      <c r="BB59" s="141">
        <f>IF(AND($AW59=1,$AY59=0),$AU59,"")</f>
        <v/>
      </c>
    </row>
    <row r="60">
      <c r="AU60" s="114" t="inlineStr">
        <is>
          <t>Cobrança</t>
        </is>
      </c>
      <c r="AV60" s="114" t="inlineStr">
        <is>
          <t>Marca</t>
        </is>
      </c>
      <c r="AW60" s="141" t="n">
        <v>2</v>
      </c>
      <c r="AX60" s="141">
        <f>$AW60+3*IFERROR(VLOOKUP($AV60,$A$2:$D$10,3,FALSE),0)</f>
        <v/>
      </c>
      <c r="AY60" s="141">
        <f>IFERROR(VLOOKUP($AV60,$A$2:$D$10,4,FALSE),0)</f>
        <v/>
      </c>
      <c r="AZ60" s="141" t="n">
        <v>0</v>
      </c>
      <c r="BA60" s="141">
        <f>IF($AY60=1,"",$AU60)</f>
        <v/>
      </c>
      <c r="BB60" s="141">
        <f>IF(AND($AW60=1,$AY60=0),$AU60,"")</f>
        <v/>
      </c>
    </row>
    <row r="61">
      <c r="AU61" s="114" t="inlineStr">
        <is>
          <t>Aviso</t>
        </is>
      </c>
      <c r="AV61" s="114" t="inlineStr">
        <is>
          <t>Marca</t>
        </is>
      </c>
      <c r="AW61" s="141" t="n">
        <v>1</v>
      </c>
      <c r="AX61" s="141">
        <f>$AW61+3*IFERROR(VLOOKUP($AV61,$A$2:$D$10,3,FALSE),0)</f>
        <v/>
      </c>
      <c r="AY61" s="141">
        <f>IFERROR(VLOOKUP($AV61,$A$2:$D$10,4,FALSE),0)</f>
        <v/>
      </c>
      <c r="AZ61" s="141" t="n">
        <v>0</v>
      </c>
      <c r="BA61" s="141">
        <f>IF($AY61=1,"",$AU61)</f>
        <v/>
      </c>
      <c r="BB61" s="141">
        <f>IF(AND($AW61=1,$AY61=0),$AU61,"")</f>
        <v/>
      </c>
    </row>
    <row r="62">
      <c r="AU62" s="114" t="inlineStr">
        <is>
          <t>Limpa</t>
        </is>
      </c>
      <c r="AV62" s="114" t="inlineStr">
        <is>
          <t>Amparo</t>
        </is>
      </c>
      <c r="AW62" s="141" t="n">
        <v>2</v>
      </c>
      <c r="AX62" s="141">
        <f>$AW62+3*IFERROR(VLOOKUP($AV62,$A$2:$D$10,3,FALSE),0)</f>
        <v/>
      </c>
      <c r="AY62" s="141">
        <f>IFERROR(VLOOKUP($AV62,$A$2:$D$10,4,FALSE),0)</f>
        <v/>
      </c>
      <c r="AZ62" s="141" t="n">
        <v>0</v>
      </c>
      <c r="BA62" s="141">
        <f>IF($AY62=1,"",$AU62)</f>
        <v/>
      </c>
      <c r="BB62" s="141">
        <f>IF(AND($AW62=1,$AY62=0),$AU62,"")</f>
        <v/>
      </c>
    </row>
    <row r="63">
      <c r="AU63" s="114" t="inlineStr">
        <is>
          <t>Limpa Fundo</t>
        </is>
      </c>
      <c r="AV63" s="114" t="inlineStr">
        <is>
          <t>Amparo</t>
        </is>
      </c>
      <c r="AW63" s="141" t="n">
        <v>3</v>
      </c>
      <c r="AX63" s="141">
        <f>$AW63+3*IFERROR(VLOOKUP($AV63,$A$2:$D$10,3,FALSE),0)</f>
        <v/>
      </c>
      <c r="AY63" s="141">
        <f>IFERROR(VLOOKUP($AV63,$A$2:$D$10,4,FALSE),0)</f>
        <v/>
      </c>
      <c r="AZ63" s="141" t="n">
        <v>0</v>
      </c>
      <c r="BA63" s="141">
        <f>IF($AY63=1,"",$AU63)</f>
        <v/>
      </c>
      <c r="BB63" s="141">
        <f>IF(AND($AW63=1,$AY63=0),$AU63,"")</f>
        <v/>
      </c>
    </row>
    <row r="64">
      <c r="AU64" s="114" t="inlineStr">
        <is>
          <t>Levanta</t>
        </is>
      </c>
      <c r="AV64" s="114" t="inlineStr">
        <is>
          <t>Amparo</t>
        </is>
      </c>
      <c r="AW64" s="141" t="n">
        <v>3</v>
      </c>
      <c r="AX64" s="141">
        <f>$AW64+3*IFERROR(VLOOKUP($AV64,$A$2:$D$10,3,FALSE),0)</f>
        <v/>
      </c>
      <c r="AY64" s="141">
        <f>IFERROR(VLOOKUP($AV64,$A$2:$D$10,4,FALSE),0)</f>
        <v/>
      </c>
      <c r="AZ64" s="141" t="n">
        <v>0</v>
      </c>
      <c r="BA64" s="141">
        <f>IF($AY64=1,"",$AU64)</f>
        <v/>
      </c>
      <c r="BB64" s="141">
        <f>IF(AND($AW64=1,$AY64=0),$AU64,"")</f>
        <v/>
      </c>
    </row>
    <row r="65">
      <c r="AU65" s="114" t="inlineStr">
        <is>
          <t>Divide</t>
        </is>
      </c>
      <c r="AV65" s="114" t="inlineStr">
        <is>
          <t>Amparo</t>
        </is>
      </c>
      <c r="AW65" s="141" t="n">
        <v>2</v>
      </c>
      <c r="AX65" s="141">
        <f>$AW65+3*IFERROR(VLOOKUP($AV65,$A$2:$D$10,3,FALSE),0)</f>
        <v/>
      </c>
      <c r="AY65" s="141">
        <f>IFERROR(VLOOKUP($AV65,$A$2:$D$10,4,FALSE),0)</f>
        <v/>
      </c>
      <c r="AZ65" s="141" t="n">
        <v>0</v>
      </c>
      <c r="BA65" s="141">
        <f>IF($AY65=1,"",$AU65)</f>
        <v/>
      </c>
      <c r="BB65" s="141">
        <f>IF(AND($AW65=1,$AY65=0),$AU65,"")</f>
        <v/>
      </c>
    </row>
    <row r="66">
      <c r="AU66" s="114" t="inlineStr">
        <is>
          <t>Junto</t>
        </is>
      </c>
      <c r="AV66" s="114" t="inlineStr">
        <is>
          <t>Amparo</t>
        </is>
      </c>
      <c r="AW66" s="141" t="n">
        <v>1</v>
      </c>
      <c r="AX66" s="141">
        <f>$AW66+3*IFERROR(VLOOKUP($AV66,$A$2:$D$10,3,FALSE),0)</f>
        <v/>
      </c>
      <c r="AY66" s="141">
        <f>IFERROR(VLOOKUP($AV66,$A$2:$D$10,4,FALSE),0)</f>
        <v/>
      </c>
      <c r="AZ66" s="141" t="n">
        <v>0</v>
      </c>
      <c r="BA66" s="141">
        <f>IF($AY66=1,"",$AU66)</f>
        <v/>
      </c>
      <c r="BB66" s="141">
        <f>IF(AND($AW66=1,$AY66=0),$AU66,"")</f>
        <v/>
      </c>
    </row>
    <row r="67">
      <c r="AU67" s="114" t="inlineStr">
        <is>
          <t>Reserva</t>
        </is>
      </c>
      <c r="AV67" s="114" t="inlineStr">
        <is>
          <t>Amparo</t>
        </is>
      </c>
      <c r="AW67" s="141" t="n">
        <v>2</v>
      </c>
      <c r="AX67" s="141">
        <f>$AW67+3*IFERROR(VLOOKUP($AV67,$A$2:$D$10,3,FALSE),0)</f>
        <v/>
      </c>
      <c r="AY67" s="141">
        <f>IFERROR(VLOOKUP($AV67,$A$2:$D$10,4,FALSE),0)</f>
        <v/>
      </c>
      <c r="AZ67" s="141" t="n">
        <v>0</v>
      </c>
      <c r="BA67" s="141">
        <f>IF($AY67=1,"",$AU67)</f>
        <v/>
      </c>
      <c r="BB67" s="141">
        <f>IF(AND($AW67=1,$AY67=0),$AU67,"")</f>
        <v/>
      </c>
    </row>
    <row r="68">
      <c r="AU68" s="114" t="inlineStr">
        <is>
          <t>Remenda</t>
        </is>
      </c>
      <c r="AV68" s="114" t="inlineStr">
        <is>
          <t>Amparo</t>
        </is>
      </c>
      <c r="AW68" s="141" t="n">
        <v>3</v>
      </c>
      <c r="AX68" s="141">
        <f>$AW68+3*IFERROR(VLOOKUP($AV68,$A$2:$D$10,3,FALSE),0)</f>
        <v/>
      </c>
      <c r="AY68" s="141">
        <f>IFERROR(VLOOKUP($AV68,$A$2:$D$10,4,FALSE),0)</f>
        <v/>
      </c>
      <c r="AZ68" s="141" t="n">
        <v>0</v>
      </c>
      <c r="BA68" s="141">
        <f>IF($AY68=1,"",$AU68)</f>
        <v/>
      </c>
      <c r="BB68" s="141">
        <f>IF(AND($AW68=1,$AY68=0),$AU68,"")</f>
        <v/>
      </c>
    </row>
    <row r="69">
      <c r="AU69" s="114" t="inlineStr">
        <is>
          <t>Lento</t>
        </is>
      </c>
      <c r="AV69" s="114" t="inlineStr">
        <is>
          <t>Controle</t>
        </is>
      </c>
      <c r="AW69" s="141" t="n">
        <v>1</v>
      </c>
      <c r="AX69" s="141">
        <f>$AW69+3*IFERROR(VLOOKUP($AV69,$A$2:$D$10,3,FALSE),0)</f>
        <v/>
      </c>
      <c r="AY69" s="141">
        <f>IFERROR(VLOOKUP($AV69,$A$2:$D$10,4,FALSE),0)</f>
        <v/>
      </c>
      <c r="AZ69" s="141" t="n">
        <v>1</v>
      </c>
      <c r="BA69" s="141">
        <f>IF($AY69=1,"",$AU69)</f>
        <v/>
      </c>
      <c r="BB69" s="141">
        <f>IF(AND($AW69=1,$AY69=0),$AU69,"")</f>
        <v/>
      </c>
    </row>
    <row r="70">
      <c r="AU70" s="114" t="inlineStr">
        <is>
          <t>Incapacitado</t>
        </is>
      </c>
      <c r="AV70" s="114" t="inlineStr">
        <is>
          <t>Controle</t>
        </is>
      </c>
      <c r="AW70" s="141" t="n">
        <v>1</v>
      </c>
      <c r="AX70" s="141">
        <f>$AW70+3*IFERROR(VLOOKUP($AV70,$A$2:$D$10,3,FALSE),0)</f>
        <v/>
      </c>
      <c r="AY70" s="141">
        <f>IFERROR(VLOOKUP($AV70,$A$2:$D$10,4,FALSE),0)</f>
        <v/>
      </c>
      <c r="AZ70" s="141" t="n">
        <v>1</v>
      </c>
      <c r="BA70" s="141">
        <f>IF($AY70=1,"",$AU70)</f>
        <v/>
      </c>
      <c r="BB70" s="141">
        <f>IF(AND($AW70=1,$AY70=0),$AU70,"")</f>
        <v/>
      </c>
    </row>
    <row r="71">
      <c r="AU71" s="114" t="inlineStr">
        <is>
          <t>Derrubado</t>
        </is>
      </c>
      <c r="AV71" s="114" t="inlineStr">
        <is>
          <t>Controle</t>
        </is>
      </c>
      <c r="AW71" s="141" t="n">
        <v>1</v>
      </c>
      <c r="AX71" s="141">
        <f>$AW71+3*IFERROR(VLOOKUP($AV71,$A$2:$D$10,3,FALSE),0)</f>
        <v/>
      </c>
      <c r="AY71" s="141">
        <f>IFERROR(VLOOKUP($AV71,$A$2:$D$10,4,FALSE),0)</f>
        <v/>
      </c>
      <c r="AZ71" s="141" t="n">
        <v>1</v>
      </c>
      <c r="BA71" s="141">
        <f>IF($AY71=1,"",$AU71)</f>
        <v/>
      </c>
      <c r="BB71" s="141">
        <f>IF(AND($AW71=1,$AY71=0),$AU71,"")</f>
        <v/>
      </c>
    </row>
    <row r="72">
      <c r="AU72" s="114" t="inlineStr">
        <is>
          <t>Agarrado</t>
        </is>
      </c>
      <c r="AV72" s="114" t="inlineStr">
        <is>
          <t>Controle</t>
        </is>
      </c>
      <c r="AW72" s="141" t="n">
        <v>1</v>
      </c>
      <c r="AX72" s="141">
        <f>$AW72+3*IFERROR(VLOOKUP($AV72,$A$2:$D$10,3,FALSE),0)</f>
        <v/>
      </c>
      <c r="AY72" s="141">
        <f>IFERROR(VLOOKUP($AV72,$A$2:$D$10,4,FALSE),0)</f>
        <v/>
      </c>
      <c r="AZ72" s="141" t="n">
        <v>1</v>
      </c>
      <c r="BA72" s="141">
        <f>IF($AY72=1,"",$AU72)</f>
        <v/>
      </c>
      <c r="BB72" s="141">
        <f>IF(AND($AW72=1,$AY72=0),$AU72,"")</f>
        <v/>
      </c>
    </row>
    <row r="73">
      <c r="AU73" s="114" t="inlineStr">
        <is>
          <t>Desarmado</t>
        </is>
      </c>
      <c r="AV73" s="114" t="inlineStr">
        <is>
          <t>Controle</t>
        </is>
      </c>
      <c r="AW73" s="141" t="n">
        <v>1</v>
      </c>
      <c r="AX73" s="141">
        <f>$AW73+3*IFERROR(VLOOKUP($AV73,$A$2:$D$10,3,FALSE),0)</f>
        <v/>
      </c>
      <c r="AY73" s="141">
        <f>IFERROR(VLOOKUP($AV73,$A$2:$D$10,4,FALSE),0)</f>
        <v/>
      </c>
      <c r="AZ73" s="141" t="n">
        <v>1</v>
      </c>
      <c r="BA73" s="141">
        <f>IF($AY73=1,"",$AU73)</f>
        <v/>
      </c>
      <c r="BB73" s="141">
        <f>IF(AND($AW73=1,$AY73=0),$AU73,"")</f>
        <v/>
      </c>
    </row>
    <row r="74">
      <c r="AU74" s="114" t="inlineStr">
        <is>
          <t>Surdo</t>
        </is>
      </c>
      <c r="AV74" s="114" t="inlineStr">
        <is>
          <t>Controle</t>
        </is>
      </c>
      <c r="AW74" s="141" t="n">
        <v>1</v>
      </c>
      <c r="AX74" s="141">
        <f>$AW74+3*IFERROR(VLOOKUP($AV74,$A$2:$D$10,3,FALSE),0)</f>
        <v/>
      </c>
      <c r="AY74" s="141">
        <f>IFERROR(VLOOKUP($AV74,$A$2:$D$10,4,FALSE),0)</f>
        <v/>
      </c>
      <c r="AZ74" s="141" t="n">
        <v>1</v>
      </c>
      <c r="BA74" s="141">
        <f>IF($AY74=1,"",$AU74)</f>
        <v/>
      </c>
      <c r="BB74" s="141">
        <f>IF(AND($AW74=1,$AY74=0),$AU74,"")</f>
        <v/>
      </c>
    </row>
    <row r="75">
      <c r="AU75" s="114" t="inlineStr">
        <is>
          <t>Calado</t>
        </is>
      </c>
      <c r="AV75" s="114" t="inlineStr">
        <is>
          <t>Controle</t>
        </is>
      </c>
      <c r="AW75" s="141" t="n">
        <v>2</v>
      </c>
      <c r="AX75" s="141">
        <f>$AW75+3*IFERROR(VLOOKUP($AV75,$A$2:$D$10,3,FALSE),0)</f>
        <v/>
      </c>
      <c r="AY75" s="141">
        <f>IFERROR(VLOOKUP($AV75,$A$2:$D$10,4,FALSE),0)</f>
        <v/>
      </c>
      <c r="AZ75" s="141" t="n">
        <v>1</v>
      </c>
      <c r="BA75" s="141">
        <f>IF($AY75=1,"",$AU75)</f>
        <v/>
      </c>
      <c r="BB75" s="141">
        <f>IF(AND($AW75=1,$AY75=0),$AU75,"")</f>
        <v/>
      </c>
    </row>
    <row r="76">
      <c r="AU76" s="114" t="inlineStr">
        <is>
          <t>Enfeitiçado</t>
        </is>
      </c>
      <c r="AV76" s="114" t="inlineStr">
        <is>
          <t>Controle</t>
        </is>
      </c>
      <c r="AW76" s="141" t="n">
        <v>2</v>
      </c>
      <c r="AX76" s="141">
        <f>$AW76+3*IFERROR(VLOOKUP($AV76,$A$2:$D$10,3,FALSE),0)</f>
        <v/>
      </c>
      <c r="AY76" s="141">
        <f>IFERROR(VLOOKUP($AV76,$A$2:$D$10,4,FALSE),0)</f>
        <v/>
      </c>
      <c r="AZ76" s="141" t="n">
        <v>1</v>
      </c>
      <c r="BA76" s="141">
        <f>IF($AY76=1,"",$AU76)</f>
        <v/>
      </c>
      <c r="BB76" s="141">
        <f>IF(AND($AW76=1,$AY76=0),$AU76,"")</f>
        <v/>
      </c>
    </row>
    <row r="77">
      <c r="AU77" s="114" t="inlineStr">
        <is>
          <t>Impedido</t>
        </is>
      </c>
      <c r="AV77" s="114" t="inlineStr">
        <is>
          <t>Controle</t>
        </is>
      </c>
      <c r="AW77" s="141" t="n">
        <v>3</v>
      </c>
      <c r="AX77" s="141">
        <f>$AW77+3*IFERROR(VLOOKUP($AV77,$A$2:$D$10,3,FALSE),0)</f>
        <v/>
      </c>
      <c r="AY77" s="141">
        <f>IFERROR(VLOOKUP($AV77,$A$2:$D$10,4,FALSE),0)</f>
        <v/>
      </c>
      <c r="AZ77" s="141" t="n">
        <v>1</v>
      </c>
      <c r="BA77" s="141">
        <f>IF($AY77=1,"",$AU77)</f>
        <v/>
      </c>
      <c r="BB77" s="141">
        <f>IF(AND($AW77=1,$AY77=0),$AU77,"")</f>
        <v/>
      </c>
    </row>
    <row r="78">
      <c r="AU78" s="114" t="inlineStr">
        <is>
          <t>Cego</t>
        </is>
      </c>
      <c r="AV78" s="114" t="inlineStr">
        <is>
          <t>Controle</t>
        </is>
      </c>
      <c r="AW78" s="141" t="n">
        <v>3</v>
      </c>
      <c r="AX78" s="141">
        <f>$AW78+3*IFERROR(VLOOKUP($AV78,$A$2:$D$10,3,FALSE),0)</f>
        <v/>
      </c>
      <c r="AY78" s="141">
        <f>IFERROR(VLOOKUP($AV78,$A$2:$D$10,4,FALSE),0)</f>
        <v/>
      </c>
      <c r="AZ78" s="141" t="n">
        <v>1</v>
      </c>
      <c r="BA78" s="141">
        <f>IF($AY78=1,"",$AU78)</f>
        <v/>
      </c>
      <c r="BB78" s="141">
        <f>IF(AND($AW78=1,$AY78=0),$AU78,"")</f>
        <v/>
      </c>
    </row>
    <row r="79">
      <c r="AU79" s="114" t="inlineStr">
        <is>
          <t>Amedrontado</t>
        </is>
      </c>
      <c r="AV79" s="114" t="inlineStr">
        <is>
          <t>Controle</t>
        </is>
      </c>
      <c r="AW79" s="141" t="n">
        <v>3</v>
      </c>
      <c r="AX79" s="141">
        <f>$AW79+3*IFERROR(VLOOKUP($AV79,$A$2:$D$10,3,FALSE),0)</f>
        <v/>
      </c>
      <c r="AY79" s="141">
        <f>IFERROR(VLOOKUP($AV79,$A$2:$D$10,4,FALSE),0)</f>
        <v/>
      </c>
      <c r="AZ79" s="141" t="n">
        <v>1</v>
      </c>
      <c r="BA79" s="141">
        <f>IF($AY79=1,"",$AU79)</f>
        <v/>
      </c>
      <c r="BB79" s="141">
        <f>IF(AND($AW79=1,$AY79=0),$AU79,"")</f>
        <v/>
      </c>
    </row>
    <row r="80">
      <c r="AU80" s="114" t="inlineStr">
        <is>
          <t>Envenenado</t>
        </is>
      </c>
      <c r="AV80" s="114" t="inlineStr">
        <is>
          <t>Controle</t>
        </is>
      </c>
      <c r="AW80" s="141" t="n">
        <v>3</v>
      </c>
      <c r="AX80" s="141">
        <f>$AW80+3*IFERROR(VLOOKUP($AV80,$A$2:$D$10,3,FALSE),0)</f>
        <v/>
      </c>
      <c r="AY80" s="141">
        <f>IFERROR(VLOOKUP($AV80,$A$2:$D$10,4,FALSE),0)</f>
        <v/>
      </c>
      <c r="AZ80" s="141" t="n">
        <v>1</v>
      </c>
      <c r="BA80" s="141">
        <f>IF($AY80=1,"",$AU80)</f>
        <v/>
      </c>
      <c r="BB80" s="141">
        <f>IF(AND($AW80=1,$AY80=0),$AU80,"")</f>
        <v/>
      </c>
    </row>
    <row r="81">
      <c r="AU81" s="114" t="inlineStr">
        <is>
          <t>Atordoado</t>
        </is>
      </c>
      <c r="AV81" s="114" t="inlineStr">
        <is>
          <t>Controle</t>
        </is>
      </c>
      <c r="AW81" s="141" t="n">
        <v>3</v>
      </c>
      <c r="AX81" s="141">
        <f>$AW81+3*IFERROR(VLOOKUP($AV81,$A$2:$D$10,3,FALSE),0)</f>
        <v/>
      </c>
      <c r="AY81" s="141">
        <f>IFERROR(VLOOKUP($AV81,$A$2:$D$10,4,FALSE),0)</f>
        <v/>
      </c>
      <c r="AZ81" s="141" t="n">
        <v>1</v>
      </c>
      <c r="BA81" s="141">
        <f>IF($AY81=1,"",$AU81)</f>
        <v/>
      </c>
      <c r="BB81" s="141">
        <f>IF(AND($AW81=1,$AY81=0),$AU81,"")</f>
        <v/>
      </c>
    </row>
    <row r="82">
      <c r="AU82" s="114" t="inlineStr">
        <is>
          <t>Efeito Próprio (Leve)</t>
        </is>
      </c>
      <c r="AV82" s="114" t="inlineStr"/>
      <c r="AW82" s="141" t="n">
        <v>1</v>
      </c>
      <c r="AX82" s="141">
        <f>$AW82+3*IFERROR(VLOOKUP($AV82,$A$2:$D$10,3,FALSE),0)</f>
        <v/>
      </c>
      <c r="AY82" s="141">
        <f>IFERROR(VLOOKUP($AV82,$A$2:$D$10,4,FALSE),0)</f>
        <v/>
      </c>
      <c r="AZ82" s="141" t="n">
        <v>0</v>
      </c>
      <c r="BA82" s="141">
        <f>IF($AY82=1,"",$AU82)</f>
        <v/>
      </c>
      <c r="BB82" s="141">
        <f>IF(AND($AW82=1,$AY82=0),$AU82,"")</f>
        <v/>
      </c>
    </row>
    <row r="83">
      <c r="AU83" s="114" t="inlineStr">
        <is>
          <t>Efeito Próprio (Média)</t>
        </is>
      </c>
      <c r="AV83" s="114" t="inlineStr"/>
      <c r="AW83" s="141" t="n">
        <v>2</v>
      </c>
      <c r="AX83" s="141">
        <f>$AW83+3*IFERROR(VLOOKUP($AV83,$A$2:$D$10,3,FALSE),0)</f>
        <v/>
      </c>
      <c r="AY83" s="141">
        <f>IFERROR(VLOOKUP($AV83,$A$2:$D$10,4,FALSE),0)</f>
        <v/>
      </c>
      <c r="AZ83" s="141" t="n">
        <v>0</v>
      </c>
      <c r="BA83" s="141">
        <f>IF($AY83=1,"",$AU83)</f>
        <v/>
      </c>
      <c r="BB83" s="141">
        <f>IF(AND($AW83=1,$AY83=0),$AU83,"")</f>
        <v/>
      </c>
    </row>
    <row r="84">
      <c r="AU84" s="114" t="inlineStr">
        <is>
          <t>Efeito Próprio (Pesada)</t>
        </is>
      </c>
      <c r="AV84" s="114" t="inlineStr"/>
      <c r="AW84" s="141" t="n">
        <v>3</v>
      </c>
      <c r="AX84" s="141">
        <f>$AW84+3*IFERROR(VLOOKUP($AV84,$A$2:$D$10,3,FALSE),0)</f>
        <v/>
      </c>
      <c r="AY84" s="141">
        <f>IFERROR(VLOOKUP($AV84,$A$2:$D$10,4,FALSE),0)</f>
        <v/>
      </c>
      <c r="AZ84" s="141" t="n">
        <v>0</v>
      </c>
      <c r="BA84" s="141">
        <f>IF($AY84=1,"",$AU84)</f>
        <v/>
      </c>
      <c r="BB84" s="141">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2"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3"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4" t="inlineStr">
        <is>
          <t>ATRIBUTOS</t>
        </is>
      </c>
      <c r="C4" s="11" t="n"/>
      <c r="D4" s="11" t="n"/>
      <c r="E4" s="11" t="n"/>
      <c r="F4" s="11" t="n"/>
      <c r="G4" s="11" t="n"/>
      <c r="H4" s="11" t="n"/>
      <c r="I4" s="11" t="n"/>
      <c r="J4" s="11" t="n"/>
      <c r="K4" s="11" t="n"/>
      <c r="L4" s="12" t="n"/>
      <c r="M4" s="145"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6" t="inlineStr">
        <is>
          <t>ATRIBUTO</t>
        </is>
      </c>
      <c r="F5" s="11" t="n"/>
      <c r="G5" s="11" t="n"/>
      <c r="H5" s="11" t="n"/>
      <c r="I5" s="11" t="n"/>
      <c r="J5" s="12" t="n"/>
      <c r="K5" s="146"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7" t="inlineStr">
        <is>
          <t>Força</t>
        </is>
      </c>
      <c r="F6" s="11" t="n"/>
      <c r="G6" s="11" t="n"/>
      <c r="H6" s="11" t="n"/>
      <c r="I6" s="11" t="n"/>
      <c r="J6" s="12" t="n"/>
      <c r="K6" s="148"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9" t="n"/>
      <c r="C7" s="11" t="n"/>
      <c r="D7" s="12" t="n"/>
      <c r="E7" s="150" t="inlineStr">
        <is>
          <t>Destreza</t>
        </is>
      </c>
      <c r="F7" s="11" t="n"/>
      <c r="G7" s="11" t="n"/>
      <c r="H7" s="11" t="n"/>
      <c r="I7" s="11" t="n"/>
      <c r="J7" s="12" t="n"/>
      <c r="K7" s="151"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7" t="inlineStr">
        <is>
          <t>Constituição</t>
        </is>
      </c>
      <c r="F8" s="11" t="n"/>
      <c r="G8" s="11" t="n"/>
      <c r="H8" s="11" t="n"/>
      <c r="I8" s="11" t="n"/>
      <c r="J8" s="12" t="n"/>
      <c r="K8" s="148"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9" t="n"/>
      <c r="C9" s="11" t="n"/>
      <c r="D9" s="12" t="n"/>
      <c r="E9" s="150" t="inlineStr">
        <is>
          <t>Inteligência</t>
        </is>
      </c>
      <c r="F9" s="11" t="n"/>
      <c r="G9" s="11" t="n"/>
      <c r="H9" s="11" t="n"/>
      <c r="I9" s="11" t="n"/>
      <c r="J9" s="12" t="n"/>
      <c r="K9" s="151"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7" t="inlineStr">
        <is>
          <t>Essência</t>
        </is>
      </c>
      <c r="F10" s="11" t="n"/>
      <c r="G10" s="11" t="n"/>
      <c r="H10" s="11" t="n"/>
      <c r="I10" s="11" t="n"/>
      <c r="J10" s="12" t="n"/>
      <c r="K10" s="148"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4" t="inlineStr">
        <is>
          <t>PERÍCIAS</t>
        </is>
      </c>
      <c r="C12" s="11" t="n"/>
      <c r="D12" s="11" t="n"/>
      <c r="E12" s="11" t="n"/>
      <c r="F12" s="11" t="n"/>
      <c r="G12" s="11" t="n"/>
      <c r="H12" s="11" t="n"/>
      <c r="I12" s="11" t="n"/>
      <c r="J12" s="11" t="n"/>
      <c r="K12" s="11" t="n"/>
      <c r="L12" s="12" t="n"/>
      <c r="M12" s="145"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6" t="inlineStr">
        <is>
          <t>NOME</t>
        </is>
      </c>
      <c r="F13" s="11" t="n"/>
      <c r="G13" s="11" t="n"/>
      <c r="H13" s="11" t="n"/>
      <c r="I13" s="11" t="n"/>
      <c r="J13" s="12" t="n"/>
      <c r="K13" s="146"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7" t="inlineStr">
        <is>
          <t>Destreza</t>
        </is>
      </c>
      <c r="F14" s="11" t="n"/>
      <c r="G14" s="11" t="n"/>
      <c r="H14" s="11" t="n"/>
      <c r="I14" s="11" t="n"/>
      <c r="J14" s="12" t="n"/>
      <c r="K14" s="148"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9" t="inlineStr">
        <is>
          <t>Atletismo</t>
        </is>
      </c>
      <c r="C15" s="11" t="n"/>
      <c r="D15" s="12" t="n"/>
      <c r="E15" s="150" t="inlineStr">
        <is>
          <t>Força</t>
        </is>
      </c>
      <c r="F15" s="11" t="n"/>
      <c r="G15" s="11" t="n"/>
      <c r="H15" s="11" t="n"/>
      <c r="I15" s="11" t="n"/>
      <c r="J15" s="12" t="n"/>
      <c r="K15" s="151"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7" t="inlineStr">
        <is>
          <t>Essência</t>
        </is>
      </c>
      <c r="F16" s="11" t="n"/>
      <c r="G16" s="11" t="n"/>
      <c r="H16" s="11" t="n"/>
      <c r="I16" s="11" t="n"/>
      <c r="J16" s="12" t="n"/>
      <c r="K16" s="148"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9" t="inlineStr">
        <is>
          <t>Enganação</t>
        </is>
      </c>
      <c r="C17" s="11" t="n"/>
      <c r="D17" s="12" t="n"/>
      <c r="E17" s="150" t="inlineStr">
        <is>
          <t>Essência</t>
        </is>
      </c>
      <c r="F17" s="11" t="n"/>
      <c r="G17" s="11" t="n"/>
      <c r="H17" s="11" t="n"/>
      <c r="I17" s="11" t="n"/>
      <c r="J17" s="12" t="n"/>
      <c r="K17" s="151"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7" t="inlineStr">
        <is>
          <t>Destreza</t>
        </is>
      </c>
      <c r="F18" s="11" t="n"/>
      <c r="G18" s="11" t="n"/>
      <c r="H18" s="11" t="n"/>
      <c r="I18" s="11" t="n"/>
      <c r="J18" s="12" t="n"/>
      <c r="K18" s="148"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9" t="inlineStr">
        <is>
          <t>Hierarquia</t>
        </is>
      </c>
      <c r="C19" s="11" t="n"/>
      <c r="D19" s="12" t="n"/>
      <c r="E19" s="150" t="inlineStr">
        <is>
          <t>Inteligência</t>
        </is>
      </c>
      <c r="F19" s="11" t="n"/>
      <c r="G19" s="11" t="n"/>
      <c r="H19" s="11" t="n"/>
      <c r="I19" s="11" t="n"/>
      <c r="J19" s="12" t="n"/>
      <c r="K19" s="151"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7" t="inlineStr">
        <is>
          <t>Inteligência</t>
        </is>
      </c>
      <c r="F20" s="11" t="n"/>
      <c r="G20" s="11" t="n"/>
      <c r="H20" s="11" t="n"/>
      <c r="I20" s="11" t="n"/>
      <c r="J20" s="12" t="n"/>
      <c r="K20" s="148"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9" t="inlineStr">
        <is>
          <t>Intimidação</t>
        </is>
      </c>
      <c r="C21" s="11" t="n"/>
      <c r="D21" s="12" t="n"/>
      <c r="E21" s="150" t="inlineStr">
        <is>
          <t>Essência</t>
        </is>
      </c>
      <c r="F21" s="11" t="n"/>
      <c r="G21" s="11" t="n"/>
      <c r="H21" s="11" t="n"/>
      <c r="I21" s="11" t="n"/>
      <c r="J21" s="12" t="n"/>
      <c r="K21" s="151"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7" t="inlineStr">
        <is>
          <t>Inteligência</t>
        </is>
      </c>
      <c r="F22" s="11" t="n"/>
      <c r="G22" s="11" t="n"/>
      <c r="H22" s="11" t="n"/>
      <c r="I22" s="11" t="n"/>
      <c r="J22" s="12" t="n"/>
      <c r="K22" s="148"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9" t="inlineStr">
        <is>
          <t>Investigação</t>
        </is>
      </c>
      <c r="C23" s="11" t="n"/>
      <c r="D23" s="12" t="n"/>
      <c r="E23" s="150" t="inlineStr">
        <is>
          <t>Inteligência</t>
        </is>
      </c>
      <c r="F23" s="11" t="n"/>
      <c r="G23" s="11" t="n"/>
      <c r="H23" s="11" t="n"/>
      <c r="I23" s="11" t="n"/>
      <c r="J23" s="12" t="n"/>
      <c r="K23" s="151"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7" t="inlineStr">
        <is>
          <t>Inteligência</t>
        </is>
      </c>
      <c r="F24" s="11" t="n"/>
      <c r="G24" s="11" t="n"/>
      <c r="H24" s="11" t="n"/>
      <c r="I24" s="11" t="n"/>
      <c r="J24" s="12" t="n"/>
      <c r="K24" s="148"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9" t="inlineStr">
        <is>
          <t>Medicina</t>
        </is>
      </c>
      <c r="C25" s="11" t="n"/>
      <c r="D25" s="12" t="n"/>
      <c r="E25" s="150" t="inlineStr">
        <is>
          <t>Inteligência</t>
        </is>
      </c>
      <c r="F25" s="11" t="n"/>
      <c r="G25" s="11" t="n"/>
      <c r="H25" s="11" t="n"/>
      <c r="I25" s="11" t="n"/>
      <c r="J25" s="12" t="n"/>
      <c r="K25" s="151"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7" t="inlineStr">
        <is>
          <t>Inteligência</t>
        </is>
      </c>
      <c r="F26" s="11" t="n"/>
      <c r="G26" s="11" t="n"/>
      <c r="H26" s="11" t="n"/>
      <c r="I26" s="11" t="n"/>
      <c r="J26" s="12" t="n"/>
      <c r="K26" s="148"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9" t="inlineStr">
        <is>
          <t>Ocultismo</t>
        </is>
      </c>
      <c r="C27" s="11" t="n"/>
      <c r="D27" s="12" t="n"/>
      <c r="E27" s="150" t="inlineStr">
        <is>
          <t>Inteligência</t>
        </is>
      </c>
      <c r="F27" s="11" t="n"/>
      <c r="G27" s="11" t="n"/>
      <c r="H27" s="11" t="n"/>
      <c r="I27" s="11" t="n"/>
      <c r="J27" s="12" t="n"/>
      <c r="K27" s="151"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7" t="inlineStr">
        <is>
          <t>Essência</t>
        </is>
      </c>
      <c r="F28" s="11" t="n"/>
      <c r="G28" s="11" t="n"/>
      <c r="H28" s="11" t="n"/>
      <c r="I28" s="11" t="n"/>
      <c r="J28" s="12" t="n"/>
      <c r="K28" s="148"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9" t="inlineStr">
        <is>
          <t>Persuasão</t>
        </is>
      </c>
      <c r="C29" s="11" t="n"/>
      <c r="D29" s="12" t="n"/>
      <c r="E29" s="150" t="inlineStr">
        <is>
          <t>Essência</t>
        </is>
      </c>
      <c r="F29" s="11" t="n"/>
      <c r="G29" s="11" t="n"/>
      <c r="H29" s="11" t="n"/>
      <c r="I29" s="11" t="n"/>
      <c r="J29" s="12" t="n"/>
      <c r="K29" s="151"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7" t="inlineStr">
        <is>
          <t>Destreza</t>
        </is>
      </c>
      <c r="F30" s="11" t="n"/>
      <c r="G30" s="11" t="n"/>
      <c r="H30" s="11" t="n"/>
      <c r="I30" s="11" t="n"/>
      <c r="J30" s="12" t="n"/>
      <c r="K30" s="148"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9" t="inlineStr">
        <is>
          <t>Prestidigitação</t>
        </is>
      </c>
      <c r="C31" s="11" t="n"/>
      <c r="D31" s="12" t="n"/>
      <c r="E31" s="150" t="inlineStr">
        <is>
          <t>Destreza</t>
        </is>
      </c>
      <c r="F31" s="11" t="n"/>
      <c r="G31" s="11" t="n"/>
      <c r="H31" s="11" t="n"/>
      <c r="I31" s="11" t="n"/>
      <c r="J31" s="12" t="n"/>
      <c r="K31" s="151"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7" t="inlineStr">
        <is>
          <t>Essência</t>
        </is>
      </c>
      <c r="F32" s="11" t="n"/>
      <c r="G32" s="11" t="n"/>
      <c r="H32" s="11" t="n"/>
      <c r="I32" s="11" t="n"/>
      <c r="J32" s="12" t="n"/>
      <c r="K32" s="148"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9" t="inlineStr">
        <is>
          <t>Religião</t>
        </is>
      </c>
      <c r="C33" s="11" t="n"/>
      <c r="D33" s="12" t="n"/>
      <c r="E33" s="150" t="inlineStr">
        <is>
          <t>Inteligência</t>
        </is>
      </c>
      <c r="F33" s="11" t="n"/>
      <c r="G33" s="11" t="n"/>
      <c r="H33" s="11" t="n"/>
      <c r="I33" s="11" t="n"/>
      <c r="J33" s="12" t="n"/>
      <c r="K33" s="151"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7" t="inlineStr">
        <is>
          <t>Essência</t>
        </is>
      </c>
      <c r="F34" s="11" t="n"/>
      <c r="G34" s="11" t="n"/>
      <c r="H34" s="11" t="n"/>
      <c r="I34" s="11" t="n"/>
      <c r="J34" s="12" t="n"/>
      <c r="K34" s="148"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9" t="inlineStr">
        <is>
          <t>Sobrevivência</t>
        </is>
      </c>
      <c r="C35" s="11" t="n"/>
      <c r="D35" s="12" t="n"/>
      <c r="E35" s="150" t="inlineStr">
        <is>
          <t>Inteligência</t>
        </is>
      </c>
      <c r="F35" s="11" t="n"/>
      <c r="G35" s="11" t="n"/>
      <c r="H35" s="11" t="n"/>
      <c r="I35" s="11" t="n"/>
      <c r="J35" s="12" t="n"/>
      <c r="K35" s="151"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7" t="inlineStr">
        <is>
          <t>Inteligência</t>
        </is>
      </c>
      <c r="F36" s="11" t="n"/>
      <c r="G36" s="11" t="n"/>
      <c r="H36" s="11" t="n"/>
      <c r="I36" s="11" t="n"/>
      <c r="J36" s="12" t="n"/>
      <c r="K36" s="148"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4" t="inlineStr">
        <is>
          <t>OFÍCIOS</t>
        </is>
      </c>
      <c r="C38" s="11" t="n"/>
      <c r="D38" s="11" t="n"/>
      <c r="E38" s="11" t="n"/>
      <c r="F38" s="11" t="n"/>
      <c r="G38" s="11" t="n"/>
      <c r="H38" s="11" t="n"/>
      <c r="I38" s="11" t="n"/>
      <c r="J38" s="11" t="n"/>
      <c r="K38" s="11" t="n"/>
      <c r="L38" s="12" t="n"/>
      <c r="M38" s="145"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6" t="inlineStr">
        <is>
          <t>NOME</t>
        </is>
      </c>
      <c r="F39" s="11" t="n"/>
      <c r="G39" s="11" t="n"/>
      <c r="H39" s="11" t="n"/>
      <c r="I39" s="11" t="n"/>
      <c r="J39" s="12" t="n"/>
      <c r="K39" s="146"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7" t="inlineStr">
        <is>
          <t>Alfaiate</t>
        </is>
      </c>
      <c r="F40" s="11" t="n"/>
      <c r="G40" s="11" t="n"/>
      <c r="H40" s="11" t="n"/>
      <c r="I40" s="11" t="n"/>
      <c r="J40" s="12" t="n"/>
      <c r="K40" s="148"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9" t="n"/>
      <c r="C41" s="11" t="n"/>
      <c r="D41" s="12" t="n"/>
      <c r="E41" s="150" t="inlineStr">
        <is>
          <t>Arrombamento</t>
        </is>
      </c>
      <c r="F41" s="11" t="n"/>
      <c r="G41" s="11" t="n"/>
      <c r="H41" s="11" t="n"/>
      <c r="I41" s="11" t="n"/>
      <c r="J41" s="12" t="n"/>
      <c r="K41" s="151"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7" t="inlineStr">
        <is>
          <t>Burocracia</t>
        </is>
      </c>
      <c r="F42" s="11" t="n"/>
      <c r="G42" s="11" t="n"/>
      <c r="H42" s="11" t="n"/>
      <c r="I42" s="11" t="n"/>
      <c r="J42" s="12" t="n"/>
      <c r="K42" s="148"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9" t="n"/>
      <c r="C43" s="11" t="n"/>
      <c r="D43" s="12" t="n"/>
      <c r="E43" s="150" t="inlineStr">
        <is>
          <t>Caligrafia</t>
        </is>
      </c>
      <c r="F43" s="11" t="n"/>
      <c r="G43" s="11" t="n"/>
      <c r="H43" s="11" t="n"/>
      <c r="I43" s="11" t="n"/>
      <c r="J43" s="12" t="n"/>
      <c r="K43" s="151"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7" t="inlineStr">
        <is>
          <t>Condução</t>
        </is>
      </c>
      <c r="F44" s="11" t="n"/>
      <c r="G44" s="11" t="n"/>
      <c r="H44" s="11" t="n"/>
      <c r="I44" s="11" t="n"/>
      <c r="J44" s="12" t="n"/>
      <c r="K44" s="148"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9" t="n"/>
      <c r="C45" s="11" t="n"/>
      <c r="D45" s="12" t="n"/>
      <c r="E45" s="150" t="inlineStr">
        <is>
          <t>Culinária</t>
        </is>
      </c>
      <c r="F45" s="11" t="n"/>
      <c r="G45" s="11" t="n"/>
      <c r="H45" s="11" t="n"/>
      <c r="I45" s="11" t="n"/>
      <c r="J45" s="12" t="n"/>
      <c r="K45" s="151"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7" t="inlineStr">
        <is>
          <t>Entalhador</t>
        </is>
      </c>
      <c r="F46" s="11" t="n"/>
      <c r="G46" s="11" t="n"/>
      <c r="H46" s="11" t="n"/>
      <c r="I46" s="11" t="n"/>
      <c r="J46" s="12" t="n"/>
      <c r="K46" s="148"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9" t="n"/>
      <c r="C47" s="11" t="n"/>
      <c r="D47" s="12" t="n"/>
      <c r="E47" s="150" t="inlineStr">
        <is>
          <t>Forja</t>
        </is>
      </c>
      <c r="F47" s="11" t="n"/>
      <c r="G47" s="11" t="n"/>
      <c r="H47" s="11" t="n"/>
      <c r="I47" s="11" t="n"/>
      <c r="J47" s="12" t="n"/>
      <c r="K47" s="151"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7" t="inlineStr">
        <is>
          <t>Herbalismo</t>
        </is>
      </c>
      <c r="F48" s="11" t="n"/>
      <c r="G48" s="11" t="n"/>
      <c r="H48" s="11" t="n"/>
      <c r="I48" s="11" t="n"/>
      <c r="J48" s="12" t="n"/>
      <c r="K48" s="148"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9" t="n"/>
      <c r="C49" s="11" t="n"/>
      <c r="D49" s="12" t="n"/>
      <c r="E49" s="150" t="inlineStr">
        <is>
          <t>Instrumento</t>
        </is>
      </c>
      <c r="F49" s="11" t="n"/>
      <c r="G49" s="11" t="n"/>
      <c r="H49" s="11" t="n"/>
      <c r="I49" s="11" t="n"/>
      <c r="J49" s="12" t="n"/>
      <c r="K49" s="151"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7" t="inlineStr">
        <is>
          <t>Jogatina</t>
        </is>
      </c>
      <c r="F50" s="11" t="n"/>
      <c r="G50" s="11" t="n"/>
      <c r="H50" s="11" t="n"/>
      <c r="I50" s="11" t="n"/>
      <c r="J50" s="12" t="n"/>
      <c r="K50" s="148"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4" t="inlineStr">
        <is>
          <t>CONCEITOS</t>
        </is>
      </c>
      <c r="C52" s="11" t="n"/>
      <c r="D52" s="11" t="n"/>
      <c r="E52" s="11" t="n"/>
      <c r="F52" s="11" t="n"/>
      <c r="G52" s="11" t="n"/>
      <c r="H52" s="11" t="n"/>
      <c r="I52" s="11" t="n"/>
      <c r="J52" s="11" t="n"/>
      <c r="K52" s="11" t="n"/>
      <c r="L52" s="12" t="n"/>
      <c r="AH52" s="115" t="n"/>
    </row>
    <row r="53">
      <c r="A53" s="115" t="n"/>
      <c r="E53" s="146" t="inlineStr">
        <is>
          <t>TERMO</t>
        </is>
      </c>
      <c r="F53" s="11" t="n"/>
      <c r="G53" s="11" t="n"/>
      <c r="H53" s="11" t="n"/>
      <c r="I53" s="11" t="n"/>
      <c r="J53" s="12" t="n"/>
      <c r="K53" s="146"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7" t="inlineStr">
        <is>
          <t>Treino</t>
        </is>
      </c>
      <c r="F54" s="11" t="n"/>
      <c r="G54" s="11" t="n"/>
      <c r="H54" s="11" t="n"/>
      <c r="I54" s="11" t="n"/>
      <c r="J54" s="12" t="n"/>
      <c r="K54" s="148"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9" t="n"/>
      <c r="C55" s="11" t="n"/>
      <c r="D55" s="12" t="n"/>
      <c r="E55" s="150" t="inlineStr">
        <is>
          <t>Maestria</t>
        </is>
      </c>
      <c r="F55" s="11" t="n"/>
      <c r="G55" s="11" t="n"/>
      <c r="H55" s="11" t="n"/>
      <c r="I55" s="11" t="n"/>
      <c r="J55" s="12" t="n"/>
      <c r="K55" s="151"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7" t="inlineStr">
        <is>
          <t>Refino</t>
        </is>
      </c>
      <c r="F56" s="11" t="n"/>
      <c r="G56" s="11" t="n"/>
      <c r="H56" s="11" t="n"/>
      <c r="I56" s="11" t="n"/>
      <c r="J56" s="12" t="n"/>
      <c r="K56" s="148"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2026-10-02T10:59:53Z</dcterms:created>
  <dcterms:modified xmlns:dcterms="http://purl.org/dc/terms/" xmlns:xsi="http://www.w3.org/2001/XMLSchema-instance" xsi:type="dcterms:W3CDTF">2026-10-02T11:00:00Z</dcterms:modified>
</cp:coreProperties>
</file>
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Roboto"/>
      <b val="1"/>
      <color rgb="FFF4F1F7"/>
      <sz val="9"/>
    </font>
    <font>
      <name val="Oswald"/>
      <color rgb="FFE8DCD4"/>
      <sz val="14"/>
    </font>
    <font>
      <name val="Roboto"/>
      <color rgb="FFE8DCD4"/>
      <sz val="10"/>
    </font>
    <font>
      <name val="Roboto"/>
      <color rgb="FFF4F1F7"/>
      <sz val="10"/>
    </font>
    <font>
      <name val="Castoro"/>
      <color rgb="FFE8DCD4"/>
      <sz val="11"/>
    </font>
    <font>
      <name val="Roboto"/>
      <color rgb="FFE8DCD4"/>
      <sz val="9"/>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2">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7" fillId="4" borderId="2" applyAlignment="1" pivotButton="0" quotePrefix="0" xfId="0">
      <alignment horizontal="center" vertical="center"/>
    </xf>
    <xf numFmtId="0" fontId="0" fillId="0" borderId="15" pivotButton="0" quotePrefix="0" xfId="0"/>
    <xf numFmtId="0" fontId="0" fillId="0" borderId="16" pivotButton="0" quotePrefix="0" xfId="0"/>
    <xf numFmtId="0" fontId="8" fillId="5" borderId="2"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2" applyAlignment="1" pivotButton="0" quotePrefix="0" xfId="0">
      <alignment horizontal="center" vertical="center"/>
    </xf>
    <xf numFmtId="0" fontId="1" fillId="3" borderId="8" applyAlignment="1" pivotButton="0" quotePrefix="0" xfId="0">
      <alignment horizontal="left" vertical="center"/>
    </xf>
    <xf numFmtId="0" fontId="9" fillId="4" borderId="4" applyAlignment="1" pivotButton="0" quotePrefix="0" xfId="0">
      <alignment horizontal="center" vertical="center"/>
    </xf>
    <xf numFmtId="0" fontId="8" fillId="5" borderId="11" applyAlignment="1" pivotButton="0" quotePrefix="0" xfId="0">
      <alignment horizontal="center" vertical="center"/>
    </xf>
    <xf numFmtId="0" fontId="8" fillId="5" borderId="6" applyAlignment="1" pivotButton="0" quotePrefix="0" xfId="0">
      <alignment horizontal="center" vertical="center"/>
    </xf>
    <xf numFmtId="0" fontId="10" fillId="5" borderId="11" applyAlignment="1" pivotButton="0" quotePrefix="0" xfId="0">
      <alignment horizontal="center" vertical="center"/>
    </xf>
    <xf numFmtId="0" fontId="1" fillId="3" borderId="5" applyAlignment="1" pivotButton="0" quotePrefix="0" xfId="0">
      <alignment horizontal="left"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5" borderId="4" applyAlignment="1" pivotButton="0" quotePrefix="0" xfId="0">
      <alignment horizontal="center" vertical="center"/>
    </xf>
    <xf numFmtId="0" fontId="1" fillId="5" borderId="2" applyAlignment="1" pivotButton="0" quotePrefix="0" xfId="0">
      <alignment horizontal="center" vertical="center"/>
    </xf>
    <xf numFmtId="0" fontId="1" fillId="3" borderId="7" applyAlignment="1" pivotButton="0" quotePrefix="0" xfId="0">
      <alignment horizontal="left"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8" applyAlignment="1" pivotButton="0" quotePrefix="0" xfId="0">
      <alignment horizontal="center" vertical="center" textRotation="90"/>
    </xf>
    <xf numFmtId="0" fontId="16" fillId="7" borderId="2"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5" applyAlignment="1" pivotButton="0" quotePrefix="0" xfId="0">
      <alignment horizontal="left" vertical="center"/>
    </xf>
    <xf numFmtId="0" fontId="18" fillId="6" borderId="3" applyAlignment="1" pivotButton="0" quotePrefix="0" xfId="0">
      <alignment horizontal="left" vertical="center"/>
    </xf>
    <xf numFmtId="0" fontId="18" fillId="6" borderId="1" applyAlignment="1" pivotButton="0" quotePrefix="0" xfId="0">
      <alignment horizontal="left" vertical="center"/>
    </xf>
    <xf numFmtId="0" fontId="19" fillId="4" borderId="2"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8"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6" applyAlignment="1" pivotButton="0" quotePrefix="0" xfId="0">
      <alignment horizontal="center" vertical="center"/>
    </xf>
    <xf numFmtId="0" fontId="20" fillId="5" borderId="6" applyAlignment="1" pivotButton="0" quotePrefix="0" xfId="0">
      <alignment horizontal="center" vertical="center"/>
    </xf>
    <xf numFmtId="0" fontId="21" fillId="5" borderId="6" applyAlignment="1" pivotButton="0" quotePrefix="0" xfId="0">
      <alignment horizontal="center" vertical="center"/>
    </xf>
    <xf numFmtId="0" fontId="18" fillId="6" borderId="5" applyAlignment="1" pivotButton="0" quotePrefix="0" xfId="0">
      <alignment horizontal="center" vertical="center"/>
    </xf>
    <xf numFmtId="0" fontId="22" fillId="4" borderId="2" applyAlignment="1" pivotButton="0" quotePrefix="0" xfId="0">
      <alignment horizontal="center" vertical="center"/>
    </xf>
    <xf numFmtId="0" fontId="16" fillId="7" borderId="2" applyAlignment="1" pivotButton="0" quotePrefix="0" xfId="0">
      <alignment horizontal="center" vertical="center"/>
    </xf>
    <xf numFmtId="0" fontId="18" fillId="6" borderId="7" applyAlignment="1" pivotButton="0" quotePrefix="0" xfId="0">
      <alignment horizontal="left" vertical="center"/>
    </xf>
    <xf numFmtId="0" fontId="23" fillId="5" borderId="2"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2" applyAlignment="1" pivotButton="0" quotePrefix="0" xfId="0">
      <alignment horizontal="center" vertical="center"/>
    </xf>
    <xf numFmtId="0" fontId="24" fillId="5" borderId="4" applyAlignment="1" pivotButton="0" quotePrefix="0" xfId="0">
      <alignment horizontal="center" vertical="center"/>
    </xf>
    <xf numFmtId="0" fontId="19" fillId="5" borderId="2"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2" applyAlignment="1" pivotButton="0" quotePrefix="0" xfId="0">
      <alignment horizontal="center" vertical="center"/>
    </xf>
    <xf numFmtId="0" fontId="25" fillId="4" borderId="4" applyAlignment="1" pivotButton="0" quotePrefix="0" xfId="0">
      <alignment horizontal="center" vertical="center"/>
    </xf>
    <xf numFmtId="0" fontId="19" fillId="4" borderId="4" applyAlignment="1" pivotButton="0" quotePrefix="0" xfId="0">
      <alignment horizontal="center" vertical="center" wrapText="1"/>
    </xf>
    <xf numFmtId="0" fontId="16" fillId="5" borderId="2" applyAlignment="1" pivotButton="0" quotePrefix="0" xfId="0">
      <alignment horizontal="center" vertical="center"/>
    </xf>
    <xf numFmtId="0" fontId="26" fillId="5" borderId="2" applyAlignment="1" pivotButton="0" quotePrefix="0" xfId="0">
      <alignment horizontal="center" vertical="center"/>
    </xf>
    <xf numFmtId="0" fontId="27" fillId="5" borderId="2" applyAlignment="1" pivotButton="0" quotePrefix="0" xfId="0">
      <alignment horizontal="left" vertical="center"/>
    </xf>
    <xf numFmtId="0" fontId="28" fillId="5" borderId="12" applyAlignment="1" pivotButton="0" quotePrefix="0" xfId="0">
      <alignment horizontal="center" vertical="center"/>
    </xf>
    <xf numFmtId="0" fontId="18" fillId="5" borderId="2" applyAlignment="1" pivotButton="0" quotePrefix="0" xfId="0">
      <alignment horizontal="center" vertical="center"/>
    </xf>
    <xf numFmtId="0" fontId="29" fillId="5" borderId="2" applyAlignment="1" pivotButton="0" quotePrefix="0" xfId="0">
      <alignment horizontal="left" vertical="center"/>
    </xf>
    <xf numFmtId="0" fontId="26" fillId="5" borderId="4" applyAlignment="1" pivotButton="0" quotePrefix="0" xfId="0">
      <alignment horizontal="center" vertical="center"/>
    </xf>
    <xf numFmtId="0" fontId="18" fillId="5" borderId="8" applyAlignment="1" pivotButton="0" quotePrefix="0" xfId="0">
      <alignment horizontal="center" vertical="center"/>
    </xf>
    <xf numFmtId="0" fontId="30" fillId="4" borderId="2" applyAlignment="1" pivotButton="0" quotePrefix="0" xfId="0">
      <alignment horizontal="center" vertical="center" wrapText="1"/>
    </xf>
    <xf numFmtId="0" fontId="17" fillId="4" borderId="2" applyAlignment="1" pivotButton="0" quotePrefix="0" xfId="0">
      <alignment horizontal="left" vertical="center"/>
    </xf>
    <xf numFmtId="0" fontId="22" fillId="5" borderId="2" applyAlignment="1" pivotButton="0" quotePrefix="0" xfId="0">
      <alignment horizontal="center" vertical="center" wrapText="1"/>
    </xf>
    <xf numFmtId="0" fontId="23" fillId="5" borderId="23" applyAlignment="1" pivotButton="0" quotePrefix="0" xfId="0">
      <alignment horizontal="center" vertical="center"/>
    </xf>
    <xf numFmtId="0" fontId="19" fillId="4" borderId="4" applyAlignment="1" pivotButton="0" quotePrefix="0" xfId="0">
      <alignment horizontal="center" vertical="center"/>
    </xf>
    <xf numFmtId="0" fontId="31" fillId="5" borderId="2" applyAlignment="1" pivotButton="0" quotePrefix="0" xfId="0">
      <alignment horizontal="center" vertical="center"/>
    </xf>
    <xf numFmtId="0" fontId="23" fillId="5" borderId="2" applyAlignment="1" pivotButton="0" quotePrefix="0" xfId="0">
      <alignment horizontal="center" vertical="center" wrapText="1"/>
    </xf>
    <xf numFmtId="0" fontId="32" fillId="6" borderId="0" applyAlignment="1" pivotButton="0" quotePrefix="0" xfId="0">
      <alignment horizontal="left" vertical="center"/>
    </xf>
    <xf numFmtId="0" fontId="33" fillId="4" borderId="2" applyAlignment="1" pivotButton="0" quotePrefix="0" xfId="0">
      <alignment horizontal="center" vertical="center" wrapText="1"/>
    </xf>
    <xf numFmtId="0" fontId="18" fillId="8" borderId="2" applyAlignment="1" pivotButton="0" quotePrefix="0" xfId="0">
      <alignment horizontal="center" vertical="center"/>
    </xf>
    <xf numFmtId="0" fontId="34" fillId="5" borderId="2" applyAlignment="1" pivotButton="0" quotePrefix="0" xfId="0">
      <alignment horizontal="left" vertical="center"/>
    </xf>
    <xf numFmtId="0" fontId="35" fillId="5" borderId="2" applyAlignment="1" pivotButton="0" quotePrefix="0" xfId="0">
      <alignment horizontal="center" vertical="center"/>
    </xf>
    <xf numFmtId="0" fontId="36" fillId="5" borderId="4" applyAlignment="1" pivotButton="0" quotePrefix="0" xfId="0">
      <alignment horizontal="center" vertical="center" wrapText="1"/>
    </xf>
    <xf numFmtId="0" fontId="31" fillId="4" borderId="2" applyAlignment="1" pivotButton="0" quotePrefix="0" xfId="0">
      <alignment horizontal="center" vertical="center"/>
    </xf>
    <xf numFmtId="0" fontId="22" fillId="5" borderId="2" applyAlignment="1" pivotButton="0" quotePrefix="0" xfId="0">
      <alignment horizontal="center" vertical="center"/>
    </xf>
    <xf numFmtId="0" fontId="36" fillId="5" borderId="2" applyAlignment="1" pivotButton="0" quotePrefix="0" xfId="0">
      <alignment horizontal="center" vertical="center" wrapText="1"/>
    </xf>
    <xf numFmtId="0" fontId="36" fillId="5" borderId="2" applyAlignment="1" pivotButton="0" quotePrefix="0" xfId="0">
      <alignment horizontal="left" vertical="center"/>
    </xf>
    <xf numFmtId="0" fontId="19" fillId="8" borderId="2" applyAlignment="1" pivotButton="0" quotePrefix="0" xfId="0">
      <alignment horizontal="left" vertical="center"/>
    </xf>
    <xf numFmtId="0" fontId="34" fillId="5" borderId="23" applyAlignment="1" pivotButton="0" quotePrefix="0" xfId="0">
      <alignment horizontal="center" vertical="center"/>
    </xf>
    <xf numFmtId="0" fontId="34" fillId="5" borderId="2" applyAlignment="1" pivotButton="0" quotePrefix="0" xfId="0">
      <alignment horizontal="center" vertical="center"/>
    </xf>
    <xf numFmtId="0" fontId="36" fillId="5" borderId="23" applyAlignment="1" pivotButton="0" quotePrefix="0" xfId="0">
      <alignment horizontal="left" vertical="center"/>
    </xf>
    <xf numFmtId="0" fontId="37" fillId="8" borderId="2" applyAlignment="1" pivotButton="0" quotePrefix="0" xfId="0">
      <alignment horizontal="left" vertical="center"/>
    </xf>
    <xf numFmtId="0" fontId="38" fillId="4" borderId="2" applyAlignment="1" pivotButton="0" quotePrefix="0" xfId="0">
      <alignment horizontal="center" vertical="center" wrapText="1"/>
    </xf>
    <xf numFmtId="0" fontId="38" fillId="4" borderId="4" applyAlignment="1" pivotButton="0" quotePrefix="0" xfId="0">
      <alignment horizontal="center" vertical="center" wrapText="1"/>
    </xf>
    <xf numFmtId="0" fontId="38" fillId="5" borderId="2" applyAlignment="1" pivotButton="0" quotePrefix="0" xfId="0">
      <alignment horizontal="center" vertical="center" wrapText="1"/>
    </xf>
    <xf numFmtId="0" fontId="38" fillId="5" borderId="4" applyAlignment="1" pivotButton="0" quotePrefix="0" xfId="0">
      <alignment horizontal="center" vertical="center" wrapText="1"/>
    </xf>
    <xf numFmtId="0" fontId="39" fillId="4" borderId="2" applyAlignment="1" pivotButton="0" quotePrefix="0" xfId="0">
      <alignment horizontal="center" vertical="center"/>
    </xf>
    <xf numFmtId="0" fontId="1" fillId="5" borderId="2" applyAlignment="1" pivotButton="0" quotePrefix="0" xfId="0">
      <alignment horizontal="left" vertical="center"/>
    </xf>
    <xf numFmtId="0" fontId="1" fillId="6" borderId="0" applyAlignment="1" pivotButton="0" quotePrefix="0" xfId="0">
      <alignment horizontal="center" vertical="center"/>
    </xf>
    <xf numFmtId="0" fontId="19" fillId="8" borderId="2" applyAlignment="1" pivotButton="0" quotePrefix="0" xfId="0">
      <alignment horizontal="center" vertical="center"/>
    </xf>
    <xf numFmtId="0" fontId="13" fillId="6" borderId="0" applyAlignment="1" pivotButton="0" quotePrefix="0" xfId="0">
      <alignment horizontal="left" vertical="center"/>
    </xf>
    <xf numFmtId="0" fontId="0" fillId="6" borderId="0" pivotButton="0" quotePrefix="0" xfId="0"/>
    <xf numFmtId="0" fontId="19" fillId="2" borderId="2" applyAlignment="1" pivotButton="0" quotePrefix="0" xfId="0">
      <alignment horizontal="center" vertical="center"/>
    </xf>
    <xf numFmtId="0" fontId="5" fillId="6" borderId="0" applyAlignment="1" pivotButton="0" quotePrefix="0" xfId="0">
      <alignment horizontal="left" vertical="center"/>
    </xf>
    <xf numFmtId="0" fontId="40" fillId="7" borderId="2" applyAlignment="1" pivotButton="0" quotePrefix="0" xfId="0">
      <alignment horizontal="left" vertical="center"/>
    </xf>
    <xf numFmtId="0" fontId="41" fillId="5" borderId="2" applyAlignment="1" pivotButton="0" quotePrefix="0" xfId="0">
      <alignment horizontal="center" vertical="center"/>
    </xf>
    <xf numFmtId="0" fontId="42" fillId="2" borderId="2" applyAlignment="1" pivotButton="0" quotePrefix="0" xfId="0">
      <alignment horizontal="left" vertical="top" wrapText="1"/>
    </xf>
    <xf numFmtId="0" fontId="0" fillId="0" borderId="25" pivotButton="0" quotePrefix="0" xfId="0"/>
    <xf numFmtId="164" fontId="22" fillId="5" borderId="2" applyAlignment="1" pivotButton="0" quotePrefix="0" xfId="0">
      <alignment horizontal="center" vertical="center"/>
    </xf>
    <xf numFmtId="164" fontId="22" fillId="7" borderId="2" applyAlignment="1" pivotButton="0" quotePrefix="0" xfId="0">
      <alignment horizontal="center" vertical="center"/>
    </xf>
    <xf numFmtId="0" fontId="43" fillId="7" borderId="2" applyAlignment="1" pivotButton="0" quotePrefix="0" xfId="0">
      <alignment horizontal="left" vertical="center"/>
    </xf>
    <xf numFmtId="0" fontId="44" fillId="4" borderId="2" applyAlignment="1" pivotButton="0" quotePrefix="0" xfId="0">
      <alignment horizontal="center" vertical="center"/>
    </xf>
    <xf numFmtId="0" fontId="5" fillId="5" borderId="2" applyAlignment="1" pivotButton="0" quotePrefix="0" xfId="0">
      <alignment horizontal="center" vertical="center"/>
    </xf>
    <xf numFmtId="0" fontId="41" fillId="5" borderId="2" applyAlignment="1" pivotButton="0" quotePrefix="0" xfId="0">
      <alignment horizontal="left" vertical="center"/>
    </xf>
    <xf numFmtId="0" fontId="0" fillId="0" borderId="24" pivotButton="0" quotePrefix="0" xfId="0"/>
    <xf numFmtId="0" fontId="45" fillId="2" borderId="2" applyAlignment="1" pivotButton="0" quotePrefix="0" xfId="0">
      <alignment horizontal="left" vertical="center" wrapText="1"/>
    </xf>
    <xf numFmtId="0" fontId="37" fillId="2" borderId="2" applyAlignment="1" pivotButton="0" quotePrefix="0" xfId="0">
      <alignment horizontal="left" vertical="center"/>
    </xf>
    <xf numFmtId="0" fontId="41" fillId="7" borderId="2" applyAlignment="1" pivotButton="0" quotePrefix="0" xfId="0">
      <alignment horizontal="left" vertical="center"/>
    </xf>
    <xf numFmtId="0" fontId="5" fillId="5" borderId="2" applyAlignment="1" pivotButton="0" quotePrefix="0" xfId="0">
      <alignment horizontal="left" vertical="center" wrapText="1"/>
    </xf>
    <xf numFmtId="0" fontId="45" fillId="2" borderId="2" applyAlignment="1" pivotButton="0" quotePrefix="0" xfId="0">
      <alignment horizontal="left" vertical="top" wrapText="1"/>
    </xf>
    <xf numFmtId="0" fontId="5" fillId="5" borderId="2" applyAlignment="1" pivotButton="0" quotePrefix="0" xfId="0">
      <alignment horizontal="left" vertical="center"/>
    </xf>
    <xf numFmtId="0" fontId="9" fillId="2" borderId="2" applyAlignment="1" pivotButton="0" quotePrefix="0" xfId="0">
      <alignment horizontal="center" vertical="center" wrapText="1"/>
    </xf>
    <xf numFmtId="165" fontId="31" fillId="5" borderId="2"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4" applyAlignment="1" pivotButton="0" quotePrefix="0" xfId="0">
      <alignment horizontal="right" vertical="center"/>
    </xf>
    <xf numFmtId="0" fontId="17" fillId="7" borderId="2" applyAlignment="1" pivotButton="0" quotePrefix="0" xfId="0">
      <alignment horizontal="left" vertical="center"/>
    </xf>
    <xf numFmtId="0" fontId="5" fillId="7" borderId="2" applyAlignment="1" pivotButton="0" quotePrefix="0" xfId="0">
      <alignment horizontal="left" vertical="center"/>
    </xf>
    <xf numFmtId="0" fontId="19" fillId="4" borderId="2" applyAlignment="1" pivotButton="0" quotePrefix="0" xfId="0">
      <alignment horizontal="left" vertical="center"/>
    </xf>
    <xf numFmtId="0" fontId="36" fillId="5" borderId="2" applyAlignment="1" pivotButton="0" quotePrefix="0" xfId="0">
      <alignment horizontal="left" vertical="center" wrapText="1"/>
    </xf>
    <xf numFmtId="0" fontId="45" fillId="5" borderId="2" applyAlignment="1" pivotButton="0" quotePrefix="0" xfId="0">
      <alignment horizontal="left" vertical="center" wrapText="1"/>
    </xf>
    <xf numFmtId="0" fontId="23" fillId="4" borderId="2" applyAlignment="1" pivotButton="0" quotePrefix="0" xfId="0">
      <alignment horizontal="center" vertical="center" wrapText="1"/>
    </xf>
    <xf numFmtId="0" fontId="36" fillId="4" borderId="2" applyAlignment="1" pivotButton="0" quotePrefix="0" xfId="0">
      <alignment horizontal="left" vertical="center" wrapText="1"/>
    </xf>
    <xf numFmtId="0" fontId="45" fillId="4" borderId="2"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De graça. Não rola dado, não muda número, não faz ninguém rolar. Na Técnica Marcial, o exemplo do livro é o Calo.</t>
      </text>
    </comment>
    <comment ref="D32" authorId="0" shapeId="0">
      <text>
        <t>Só se a técnica impõe uma regra ao mundo. Uma frase, verificável, simétrica, sem dano direto e com limite por cena. Não conta nas cinco Passivas pagas.</t>
      </text>
    </comment>
    <comment ref="P32" authorId="0" shapeId="0">
      <text>
        <t>Na criação ela vem na Classe Passiva 1, de graça. A 2 libera no nível 7 e custa 1 espaço; a 3 libera no nível 13 e custa 2. Deixe em branco se a técnica não tem Regra Própria.</t>
      </text>
    </comment>
    <comment ref="D36" authorId="0" shapeId="0">
      <text>
        <t>Chegar longe, se mexer, mexer o inimigo de lugar.</t>
      </text>
    </comment>
    <comment ref="E36" authorId="0" shapeId="0">
      <text>
        <t>Pegar mais de um alvo, aumentar tamanho, dividir o ataque.</t>
      </text>
    </comment>
    <comment ref="F36" authorId="0" shapeId="0">
      <text>
        <t>Acertar, não errar, atravessar defesa.</t>
      </text>
    </comment>
    <comment ref="G36" authorId="0" shapeId="0">
      <text>
        <t>Derrubar, prender, calar, barreira, terreno.</t>
      </text>
    </comment>
    <comment ref="J36" authorId="0" shapeId="0">
      <text>
        <t>Somar e tirar número: vantagem, defesa, CD, deslocamento.</t>
      </text>
    </comment>
    <comment ref="K36" authorId="0" shapeId="0">
      <text>
        <t>Fazer o dano render mais.</t>
      </text>
    </comment>
    <comment ref="L36" authorId="0" shapeId="0">
      <text>
        <t>Ação bônus, reação, deixar armado, conjurar escondido.</t>
      </text>
    </comment>
    <comment ref="M36" authorId="0" shapeId="0">
      <text>
        <t>Preparar o próximo golpe, roubar vida, rastrear.</t>
      </text>
    </comment>
    <comment ref="P36" authorId="0" shapeId="0">
      <text>
        <t>Curar, limpar condição, levantar aliado.</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de feitiço soma aqui.</t>
      </text>
    </comment>
    <comment ref="J41" authorId="0" shapeId="0">
      <text>
        <t>Cada escolha de Leque no marco dá um feitiço a mais, que só pode ser feitiço, e uma Passiva. A escolha é marcada na FICHA, em Marco Escolhido.</t>
      </text>
    </comment>
    <comment ref="L41" authorId="0" shapeId="0">
      <text>
        <t>Os feitiços com nome. Classe 0 e Liberação Máxima não ocupam espaço.</t>
      </text>
    </comment>
    <comment ref="P41" authorId="0" shapeId="0">
      <text>
        <t>Cada Passiva paga custa a Classe Passiva dela em espaços. A Regra Própria acima da Classe Passiva 1 entra aqui. Passiva e Domínio só gastam espaço: o feitiço do Leque não paga nenhum dos dois.</t>
      </text>
    </comment>
    <comment ref="Q41" authorId="0" shapeId="0">
      <text>
        <t>A Expansão de Domínio custa 2, 3 ou 5 espaços, conforme o degrau.</t>
      </text>
    </comment>
    <comment ref="R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só paga peça: o que passar do que foi gasto some.</t>
      </text>
    </comment>
    <comment ref="J64" authorId="0" shapeId="0">
      <text>
        <t>Até duas. Restrição só paga peça: o que passar do que foi gasto some.</t>
      </text>
    </comment>
    <comment ref="P64" authorId="0" shapeId="0">
      <text>
        <t>Até duas. Restrição só paga peça: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e só isso: Restrição só paga peça.</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só paga peça: o que passar do que foi gasto some.</t>
      </text>
    </comment>
    <comment ref="J332" authorId="0" shapeId="0">
      <text>
        <t>Até duas. Restrição só paga peça: o que passar do que foi gasto some.</t>
      </text>
    </comment>
    <comment ref="P332" authorId="0" shapeId="0">
      <text>
        <t>Até duas. Restrição só paga peça: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200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A Passiva paga custa a Classe Passiva dela em espaços de feitiço. A do Leque não custa nada, mas só existe com a escolha de Leque no marco.</t>
      </text>
    </comment>
    <comment ref="D384" authorId="0" shapeId="0">
      <text>
        <t>Para a entrada Própria do menu, escreva aqui o texto dela, fechado com o mestre. Nas outras, é espaço para anotação.</t>
      </text>
    </comment>
    <comment ref="G397" authorId="0" shapeId="0">
      <text>
        <t>A Passiva paga custa a Classe Passiva dela em espaços de feitiço. A do Leque não custa nada,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1/3 do refino + 1. Na Restrição Celestial sem energia é a Defesa sem Armadura, com os mesmos números na Lapidação.</t>
      </text>
    </comment>
    <comment ref="L423" authorId="0" shapeId="0">
      <text>
        <t>De graça no refino 1. 1d4 a mais na arma a cada 3 pontos de refino. No refino 10 os dados viram d6.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de feitiço soma no Orçamento.</t>
      </text>
    </comment>
  </commentList>
</comments>
</file>

<file path=xl/comments/comment2.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Clique na caixa e use Inserir › Imagem › Inserir imagem na célula.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 terceira missão paga 50%, a quarta 25%, a quinta 12,5% e a sexta 6,25%. Missão que falhou e pagou metade também é 50%. Em branco, paga cheio.</t>
      </text>
    </comment>
    <comment ref="BA14" authorId="0" shapeId="0">
      <text>
        <t>O XP do tipo, vezes o Adicional, vezes o Desconto, sempre em múltiplo de 12,5, para baixo. Quando a conta dá menos de 12,5, a missão não paga.</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 terceira missão paga 50%, a quarta 25%, a quinta 12,5% e a sexta 6,25%. Missão que falhou e pagou metade também é 50%. Em branco, paga cheio.</t>
      </text>
    </comment>
    <comment ref="BG14" authorId="0" shapeId="0">
      <text>
        <t>O XP do tipo, vezes o Adicional, vezes o Desconto, sempre em múltiplo de 12,5, para baixo. Quando a conta dá menos de 12,5, a missão não paga.</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 terceira missão paga 50%, a quarta 25%, a quinta 12,5% e a sexta 6,25%. Missão que falhou e pagou metade também é 50%. Em branco, paga cheio.</t>
      </text>
    </comment>
    <comment ref="BM14" authorId="0" shapeId="0">
      <text>
        <t>O XP do tipo, vezes o Adicional, vezes o Desconto, sempre em múltiplo de 12,5, para baixo. Quando a conta dá menos de 12,5, a missão não paga.</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 terceira missão paga 50%, a quarta 25%, a quinta 12,5% e a sexta 6,25%. Missão que falhou e pagou metade também é 50%. Em branco, paga cheio.</t>
      </text>
    </comment>
    <comment ref="BS14" authorId="0" shapeId="0">
      <text>
        <t>O XP do tipo, vezes o Adicional, vezes o Desconto, sempre em múltiplo de 12,5, para baixo. Quando a conta dá menos de 12,5, a missão não paga.</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Quando a cena estiver nessa condição, você rola com vantagem os testes de perícia e os Testes de Resistência.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3.xml.rels><Relationships xmlns="http://schemas.openxmlformats.org/package/2006/relationships"><Relationship Type="http://schemas.openxmlformats.org/officeDocument/2006/relationships/image" Target="/xl/media/image7.png" Id="rId1"/></Relationships>
</file>

<file path=xl/drawings/_rels/drawing4.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2400300" cy="2857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40</col>
      <colOff>0</colOff>
      <row>90</row>
      <rowOff>0</rowOff>
    </from>
    <ext cx="857250" cy="8572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8" t="n"/>
      <c r="C8" s="8" t="n"/>
      <c r="L8" s="8" t="n"/>
      <c r="M8" s="8" t="n"/>
      <c r="N8" s="8" t="n"/>
      <c r="O8" s="10" t="inlineStr">
        <is>
          <t>PORTADOR</t>
        </is>
      </c>
      <c r="P8" s="11" t="n"/>
      <c r="Q8" s="11" t="n"/>
      <c r="R8" s="11" t="n"/>
      <c r="S8" s="11" t="n"/>
      <c r="T8" s="11" t="n"/>
      <c r="U8" s="11" t="n"/>
      <c r="V8" s="11" t="n"/>
      <c r="W8" s="11" t="n"/>
      <c r="X8" s="11" t="n"/>
      <c r="Y8" s="12"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8" t="n"/>
      <c r="L9" s="8" t="n"/>
      <c r="M9" s="8" t="n"/>
      <c r="N9" s="8" t="n"/>
      <c r="O9" s="13" t="inlineStr">
        <is>
          <t>Coloque o nome do personagem aqui</t>
        </is>
      </c>
      <c r="P9" s="14" t="n"/>
      <c r="Q9" s="14" t="n"/>
      <c r="R9" s="14" t="n"/>
      <c r="S9" s="14" t="n"/>
      <c r="T9" s="14" t="n"/>
      <c r="U9" s="14" t="n"/>
      <c r="V9" s="14" t="n"/>
      <c r="W9" s="14" t="n"/>
      <c r="X9" s="14" t="n"/>
      <c r="Y9" s="14" t="n"/>
      <c r="Z9" s="14" t="n"/>
      <c r="AA9" s="14" t="n"/>
      <c r="AB9" s="14" t="n"/>
      <c r="AC9" s="14" t="n"/>
      <c r="AD9" s="14" t="n"/>
      <c r="AE9" s="14" t="n"/>
      <c r="AF9" s="14" t="n"/>
      <c r="AG9" s="14" t="n"/>
      <c r="AH9" s="15" t="n"/>
      <c r="AI9" s="8" t="n"/>
      <c r="AJ9" s="8" t="n"/>
      <c r="AK9" s="8" t="n"/>
      <c r="AL9" s="8" t="n"/>
      <c r="AM9" s="8" t="n"/>
      <c r="AN9" s="8" t="n"/>
      <c r="AO9" s="8" t="n"/>
      <c r="AP9" s="8" t="n"/>
      <c r="AQ9" s="8" t="n"/>
      <c r="AR9" s="8" t="n"/>
      <c r="AS9" s="8" t="n"/>
      <c r="AT9" s="8" t="n"/>
      <c r="AU9" s="8" t="n"/>
    </row>
    <row r="10">
      <c r="A10" s="8" t="n"/>
      <c r="B10" s="8" t="n"/>
      <c r="L10" s="8" t="n"/>
      <c r="M10" s="8" t="n"/>
      <c r="N10" s="8" t="n"/>
      <c r="O10" s="16" t="n"/>
      <c r="AH10" s="17" t="n"/>
      <c r="AI10" s="8" t="n"/>
      <c r="AJ10" s="8" t="n"/>
      <c r="AK10" s="8" t="n"/>
      <c r="AL10" s="8" t="n"/>
      <c r="AM10" s="8" t="n"/>
      <c r="AN10" s="8" t="n"/>
      <c r="AO10" s="8" t="n"/>
      <c r="AP10" s="8" t="n"/>
      <c r="AQ10" s="8" t="n"/>
      <c r="AR10" s="8" t="n"/>
      <c r="AS10" s="8" t="n"/>
      <c r="AT10" s="8" t="n"/>
      <c r="AU10" s="8" t="n"/>
    </row>
    <row r="11">
      <c r="A11" s="8" t="n"/>
      <c r="B11" s="8" t="n"/>
      <c r="L11" s="8" t="n"/>
      <c r="M11" s="8" t="n"/>
      <c r="N11" s="8" t="n"/>
      <c r="O11" s="16" t="n"/>
      <c r="AH11" s="17" t="n"/>
      <c r="AI11" s="8" t="n"/>
      <c r="AJ11" s="8" t="n"/>
      <c r="AK11" s="8" t="n"/>
      <c r="AL11" s="8" t="n"/>
      <c r="AM11" s="8" t="n"/>
      <c r="AN11" s="8" t="n"/>
      <c r="AO11" s="8" t="n"/>
      <c r="AP11" s="8" t="n"/>
      <c r="AQ11" s="8" t="n"/>
      <c r="AR11" s="8" t="n"/>
      <c r="AS11" s="8" t="n"/>
      <c r="AT11" s="8" t="n"/>
      <c r="AU11" s="8" t="n"/>
    </row>
    <row r="12">
      <c r="A12" s="8" t="n"/>
      <c r="B12" s="8" t="n"/>
      <c r="L12" s="8" t="n"/>
      <c r="M12" s="8" t="n"/>
      <c r="N12" s="8" t="n"/>
      <c r="O12" s="18" t="n"/>
      <c r="P12" s="19" t="n"/>
      <c r="Q12" s="19" t="n"/>
      <c r="R12" s="19" t="n"/>
      <c r="S12" s="19" t="n"/>
      <c r="T12" s="19" t="n"/>
      <c r="U12" s="19" t="n"/>
      <c r="V12" s="19" t="n"/>
      <c r="W12" s="19" t="n"/>
      <c r="X12" s="19" t="n"/>
      <c r="Y12" s="19" t="n"/>
      <c r="Z12" s="19" t="n"/>
      <c r="AA12" s="19" t="n"/>
      <c r="AB12" s="19" t="n"/>
      <c r="AC12" s="19" t="n"/>
      <c r="AD12" s="19" t="n"/>
      <c r="AE12" s="19" t="n"/>
      <c r="AF12" s="19" t="n"/>
      <c r="AG12" s="19" t="n"/>
      <c r="AH12" s="20" t="n"/>
      <c r="AI12" s="8" t="n"/>
      <c r="AJ12" s="8" t="n"/>
      <c r="AK12" s="8" t="n"/>
      <c r="AL12" s="8" t="n"/>
      <c r="AM12" s="8" t="n"/>
      <c r="AN12" s="8" t="n"/>
      <c r="AO12" s="8" t="n"/>
      <c r="AP12" s="8" t="n"/>
      <c r="AQ12" s="8" t="n"/>
      <c r="AR12" s="8" t="n"/>
      <c r="AS12" s="8" t="n"/>
      <c r="AT12" s="8" t="n"/>
      <c r="AU12" s="8" t="n"/>
    </row>
    <row r="13">
      <c r="A13" s="8" t="n"/>
      <c r="B13" s="8" t="n"/>
      <c r="L13" s="8"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8" t="n"/>
      <c r="L15" s="8" t="n"/>
      <c r="M15" s="8" t="n"/>
      <c r="N15" s="8" t="n"/>
      <c r="O15" s="8" t="n"/>
      <c r="AI15" s="8" t="n"/>
      <c r="AJ15" s="8" t="n"/>
      <c r="AK15" s="8" t="n"/>
      <c r="AL15" s="8" t="n"/>
      <c r="AM15" s="8" t="n"/>
      <c r="AN15" s="8" t="n"/>
      <c r="AO15" s="8" t="n"/>
      <c r="AP15" s="8" t="n"/>
      <c r="AQ15" s="8" t="n"/>
      <c r="AR15" s="8" t="n"/>
      <c r="AS15" s="8" t="n"/>
      <c r="AT15" s="8" t="n"/>
      <c r="AU15" s="8" t="n"/>
    </row>
    <row r="16">
      <c r="A16" s="8" t="n"/>
      <c r="B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8" t="n"/>
      <c r="L17" s="8" t="n"/>
      <c r="M17" s="8" t="n"/>
      <c r="N17" s="8" t="n"/>
      <c r="O17" s="21" t="inlineStr">
        <is>
          <t>CAMINHO</t>
        </is>
      </c>
      <c r="P17" s="11" t="n"/>
      <c r="Q17" s="11" t="n"/>
      <c r="R17" s="11" t="n"/>
      <c r="S17" s="11" t="n"/>
      <c r="T17" s="11" t="n"/>
      <c r="U17" s="11" t="n"/>
      <c r="V17" s="11" t="n"/>
      <c r="W17" s="11" t="n"/>
      <c r="X17" s="12" t="n"/>
      <c r="Y17" s="22" t="n"/>
      <c r="Z17" s="23" t="inlineStr">
        <is>
          <t>TRILHA</t>
        </is>
      </c>
      <c r="AA17" s="11" t="n"/>
      <c r="AB17" s="11" t="n"/>
      <c r="AC17" s="11" t="n"/>
      <c r="AD17" s="11" t="n"/>
      <c r="AE17" s="11" t="n"/>
      <c r="AF17" s="11" t="n"/>
      <c r="AG17" s="11" t="n"/>
      <c r="AH17" s="11" t="n"/>
      <c r="AI17" s="12" t="n"/>
      <c r="AJ17" s="8" t="n"/>
      <c r="AK17" s="21" t="inlineStr">
        <is>
          <t>ORIGEM</t>
        </is>
      </c>
      <c r="AL17" s="11" t="n"/>
      <c r="AM17" s="11" t="n"/>
      <c r="AN17" s="11" t="n"/>
      <c r="AO17" s="11" t="n"/>
      <c r="AP17" s="11" t="n"/>
      <c r="AQ17" s="11" t="n"/>
      <c r="AR17" s="11" t="n"/>
      <c r="AS17" s="11" t="n"/>
      <c r="AT17" s="12" t="n"/>
      <c r="AU17" s="8" t="n"/>
    </row>
    <row r="18" ht="20.25" customHeight="1">
      <c r="A18" s="8" t="n"/>
      <c r="B18" s="8" t="n"/>
      <c r="L18" s="8" t="n"/>
      <c r="M18" s="8" t="n"/>
      <c r="N18" s="8" t="n"/>
      <c r="O18" s="24">
        <f>IF(OR(FICHA!D11="",FICHA!D11="Escolha seu Caminho"),"—",FICHA!D11)</f>
        <v/>
      </c>
      <c r="P18" s="14" t="n"/>
      <c r="Q18" s="14" t="n"/>
      <c r="R18" s="14" t="n"/>
      <c r="S18" s="14" t="n"/>
      <c r="T18" s="14" t="n"/>
      <c r="U18" s="14" t="n"/>
      <c r="V18" s="14" t="n"/>
      <c r="W18" s="14" t="n"/>
      <c r="X18" s="15" t="n"/>
      <c r="Y18" s="22" t="n"/>
      <c r="Z18" s="25">
        <f>IF(OR(FICHA!N11="",FICHA!N11="Escolha sua Trilha"),"—",FICHA!N11)</f>
        <v/>
      </c>
      <c r="AA18" s="14" t="n"/>
      <c r="AB18" s="14" t="n"/>
      <c r="AC18" s="14" t="n"/>
      <c r="AD18" s="14" t="n"/>
      <c r="AE18" s="14" t="n"/>
      <c r="AF18" s="14" t="n"/>
      <c r="AG18" s="14" t="n"/>
      <c r="AH18" s="14" t="n"/>
      <c r="AI18" s="15" t="n"/>
      <c r="AJ18" s="8" t="n"/>
      <c r="AK18" s="26">
        <f>IF(FICHA!X11="","—",FICHA!X11)</f>
        <v/>
      </c>
      <c r="AL18" s="14" t="n"/>
      <c r="AM18" s="14" t="n"/>
      <c r="AN18" s="14" t="n"/>
      <c r="AO18" s="14" t="n"/>
      <c r="AP18" s="14" t="n"/>
      <c r="AQ18" s="14" t="n"/>
      <c r="AR18" s="14" t="n"/>
      <c r="AS18" s="14" t="n"/>
      <c r="AT18" s="15" t="n"/>
      <c r="AU18" s="8" t="n"/>
    </row>
    <row r="19">
      <c r="A19" s="8" t="n"/>
      <c r="B19" s="8" t="n"/>
      <c r="L19" s="8" t="n"/>
      <c r="M19" s="8" t="n"/>
      <c r="N19" s="8" t="n"/>
      <c r="O19" s="27" t="n"/>
      <c r="P19" s="27" t="n"/>
      <c r="Q19" s="27" t="n"/>
      <c r="R19" s="27" t="n"/>
      <c r="S19" s="27" t="n"/>
      <c r="T19" s="27" t="n"/>
      <c r="U19" s="27" t="n"/>
      <c r="V19" s="27" t="n"/>
      <c r="W19" s="27" t="n"/>
      <c r="X19" s="27" t="n"/>
      <c r="Y19" s="8" t="n"/>
      <c r="Z19" s="27" t="n"/>
      <c r="AA19" s="27" t="n"/>
      <c r="AB19" s="27" t="n"/>
      <c r="AC19" s="27" t="n"/>
      <c r="AD19" s="27" t="n"/>
      <c r="AE19" s="27" t="n"/>
      <c r="AF19" s="27" t="n"/>
      <c r="AG19" s="27" t="n"/>
      <c r="AH19" s="27" t="n"/>
      <c r="AI19" s="27" t="n"/>
      <c r="AJ19" s="8" t="n"/>
      <c r="AK19" s="27" t="n"/>
      <c r="AL19" s="27" t="n"/>
      <c r="AM19" s="27" t="n"/>
      <c r="AN19" s="27" t="n"/>
      <c r="AO19" s="27" t="n"/>
      <c r="AP19" s="27" t="n"/>
      <c r="AQ19" s="27" t="n"/>
      <c r="AR19" s="27" t="n"/>
      <c r="AS19" s="27" t="n"/>
      <c r="AT19" s="27" t="n"/>
      <c r="AU19" s="8" t="n"/>
    </row>
    <row r="20">
      <c r="A20" s="8" t="n"/>
      <c r="B20" s="8" t="n"/>
      <c r="L20" s="8" t="n"/>
      <c r="M20" s="8" t="n"/>
      <c r="N20" s="8" t="n"/>
      <c r="O20" s="28" t="n"/>
      <c r="P20" s="28" t="n"/>
      <c r="Q20" s="28" t="n"/>
      <c r="R20" s="28" t="n"/>
      <c r="S20" s="28" t="n"/>
      <c r="T20" s="28" t="n"/>
      <c r="U20" s="28" t="n"/>
      <c r="V20" s="28" t="n"/>
      <c r="W20" s="28" t="n"/>
      <c r="X20" s="28" t="n"/>
      <c r="Y20" s="8" t="n"/>
      <c r="Z20" s="28" t="n"/>
      <c r="AA20" s="28" t="n"/>
      <c r="AB20" s="28" t="n"/>
      <c r="AC20" s="28" t="n"/>
      <c r="AD20" s="28" t="n"/>
      <c r="AE20" s="28" t="n"/>
      <c r="AF20" s="28" t="n"/>
      <c r="AG20" s="28" t="n"/>
      <c r="AH20" s="28" t="n"/>
      <c r="AI20" s="28" t="n"/>
      <c r="AJ20" s="8" t="n"/>
      <c r="AK20" s="28" t="n"/>
      <c r="AL20" s="28" t="n"/>
      <c r="AM20" s="28" t="n"/>
      <c r="AN20" s="28" t="n"/>
      <c r="AO20" s="28" t="n"/>
      <c r="AP20" s="28" t="n"/>
      <c r="AQ20" s="28" t="n"/>
      <c r="AR20" s="28" t="n"/>
      <c r="AS20" s="28" t="n"/>
      <c r="AT20" s="28" t="n"/>
      <c r="AU20" s="8" t="n"/>
    </row>
    <row r="21">
      <c r="A21" s="8" t="n"/>
      <c r="B21" s="8" t="n"/>
      <c r="L21" s="8" t="n"/>
      <c r="M21" s="8" t="n"/>
      <c r="N21" s="8" t="n"/>
      <c r="O21" s="29" t="inlineStr">
        <is>
          <t>NÍVEL</t>
        </is>
      </c>
      <c r="P21" s="19" t="n"/>
      <c r="Q21" s="19" t="n"/>
      <c r="R21" s="19" t="n"/>
      <c r="S21" s="19" t="n"/>
      <c r="T21" s="19" t="n"/>
      <c r="U21" s="19" t="n"/>
      <c r="V21" s="19" t="n"/>
      <c r="W21" s="19" t="n"/>
      <c r="X21" s="20" t="n"/>
      <c r="Y21" s="22" t="n"/>
      <c r="Z21" s="30" t="inlineStr">
        <is>
          <t>SERVIDOR USADO</t>
        </is>
      </c>
      <c r="AA21" s="19" t="n"/>
      <c r="AB21" s="19" t="n"/>
      <c r="AC21" s="19" t="n"/>
      <c r="AD21" s="19" t="n"/>
      <c r="AE21" s="19" t="n"/>
      <c r="AF21" s="19" t="n"/>
      <c r="AG21" s="19" t="n"/>
      <c r="AH21" s="19" t="n"/>
      <c r="AI21" s="20" t="n"/>
      <c r="AJ21" s="8" t="n"/>
      <c r="AK21" s="29" t="inlineStr">
        <is>
          <t>REGISTRADO POR</t>
        </is>
      </c>
      <c r="AL21" s="19" t="n"/>
      <c r="AM21" s="19" t="n"/>
      <c r="AN21" s="19" t="n"/>
      <c r="AO21" s="19" t="n"/>
      <c r="AP21" s="19" t="n"/>
      <c r="AQ21" s="19" t="n"/>
      <c r="AR21" s="19" t="n"/>
      <c r="AS21" s="19" t="n"/>
      <c r="AT21" s="20" t="n"/>
      <c r="AU21" s="8" t="n"/>
    </row>
    <row r="22" ht="20.25" customHeight="1">
      <c r="A22" s="8" t="n"/>
      <c r="B22" s="8" t="n"/>
      <c r="C22" s="8" t="n"/>
      <c r="D22" s="8" t="n"/>
      <c r="E22" s="8" t="n"/>
      <c r="F22" s="8" t="n"/>
      <c r="G22" s="8" t="n"/>
      <c r="H22" s="8" t="n"/>
      <c r="I22" s="8" t="n"/>
      <c r="J22" s="8" t="n"/>
      <c r="K22" s="8" t="n"/>
      <c r="L22" s="8" t="n"/>
      <c r="M22" s="8" t="n"/>
      <c r="N22" s="8" t="n"/>
      <c r="O22" s="13">
        <f>IF(FICHA!AH11="","—",FICHA!AH11)</f>
        <v/>
      </c>
      <c r="P22" s="11" t="n"/>
      <c r="Q22" s="11" t="n"/>
      <c r="R22" s="11" t="n"/>
      <c r="S22" s="11" t="n"/>
      <c r="T22" s="11" t="n"/>
      <c r="U22" s="11" t="n"/>
      <c r="V22" s="11" t="n"/>
      <c r="W22" s="11" t="n"/>
      <c r="X22" s="12" t="n"/>
      <c r="Y22" s="22" t="n"/>
      <c r="Z22" s="31" t="n"/>
      <c r="AA22" s="11" t="n"/>
      <c r="AB22" s="11" t="n"/>
      <c r="AC22" s="11" t="n"/>
      <c r="AD22" s="11" t="n"/>
      <c r="AE22" s="11" t="n"/>
      <c r="AF22" s="11" t="n"/>
      <c r="AG22" s="11" t="n"/>
      <c r="AH22" s="11" t="n"/>
      <c r="AI22" s="12" t="n"/>
      <c r="AJ22" s="8" t="n"/>
      <c r="AK22" s="32" t="inlineStr">
        <is>
          <t>Nick do jogador</t>
        </is>
      </c>
      <c r="AL22" s="11" t="n"/>
      <c r="AM22" s="11" t="n"/>
      <c r="AN22" s="11" t="n"/>
      <c r="AO22" s="11" t="n"/>
      <c r="AP22" s="11" t="n"/>
      <c r="AQ22" s="11" t="n"/>
      <c r="AR22" s="11" t="n"/>
      <c r="AS22" s="11" t="n"/>
      <c r="AT22" s="12"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0">
        <f>IF(DADOS!$AK$32=1,"TÉCNICA MARCIAL DECLARADA",IF(DADOS!$AK$31=1,"ESTILO DECLARADO","TÉCNICA AMALDIÇOADA DECLARADA"))</f>
        <v/>
      </c>
      <c r="P26" s="11" t="n"/>
      <c r="Q26" s="11" t="n"/>
      <c r="R26" s="11" t="n"/>
      <c r="S26" s="11" t="n"/>
      <c r="T26" s="11" t="n"/>
      <c r="U26" s="11" t="n"/>
      <c r="V26" s="11" t="n"/>
      <c r="W26" s="11" t="n"/>
      <c r="X26" s="11" t="n"/>
      <c r="Y26" s="11" t="n"/>
      <c r="Z26" s="11" t="n"/>
      <c r="AA26" s="11" t="n"/>
      <c r="AB26" s="11" t="n"/>
      <c r="AC26" s="11" t="n"/>
      <c r="AD26" s="11" t="n"/>
      <c r="AE26" s="11" t="n"/>
      <c r="AF26" s="12" t="n"/>
      <c r="AG26" s="33" t="n"/>
      <c r="AH26" s="28"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2" t="n"/>
      <c r="P27" s="14" t="n"/>
      <c r="Q27" s="14" t="n"/>
      <c r="R27" s="14" t="n"/>
      <c r="S27" s="14" t="n"/>
      <c r="T27" s="14" t="n"/>
      <c r="U27" s="14" t="n"/>
      <c r="V27" s="14" t="n"/>
      <c r="W27" s="14" t="n"/>
      <c r="X27" s="14" t="n"/>
      <c r="Y27" s="14" t="n"/>
      <c r="Z27" s="14" t="n"/>
      <c r="AA27" s="14" t="n"/>
      <c r="AB27" s="14" t="n"/>
      <c r="AC27" s="14" t="n"/>
      <c r="AD27" s="14" t="n"/>
      <c r="AE27" s="14" t="n"/>
      <c r="AF27" s="14" t="n"/>
      <c r="AG27" s="14" t="n"/>
      <c r="AH27" s="15"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18" t="n"/>
      <c r="P28" s="19" t="n"/>
      <c r="Q28" s="19" t="n"/>
      <c r="R28" s="19" t="n"/>
      <c r="S28" s="19" t="n"/>
      <c r="T28" s="19" t="n"/>
      <c r="U28" s="19" t="n"/>
      <c r="V28" s="19" t="n"/>
      <c r="W28" s="19" t="n"/>
      <c r="X28" s="19" t="n"/>
      <c r="Y28" s="19" t="n"/>
      <c r="Z28" s="19" t="n"/>
      <c r="AA28" s="19" t="n"/>
      <c r="AB28" s="19" t="n"/>
      <c r="AC28" s="19" t="n"/>
      <c r="AD28" s="19" t="n"/>
      <c r="AE28" s="19" t="n"/>
      <c r="AF28" s="19" t="n"/>
      <c r="AG28" s="19" t="n"/>
      <c r="AH28" s="20"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4" t="n"/>
      <c r="AI32" s="8" t="n"/>
      <c r="AJ32" s="8" t="n"/>
      <c r="AK32" s="8" t="n"/>
      <c r="AL32" s="8" t="n"/>
      <c r="AM32" s="8" t="n"/>
      <c r="AN32" s="8" t="n"/>
      <c r="AO32" s="8" t="n"/>
      <c r="AP32" s="8" t="n"/>
      <c r="AQ32" s="8" t="n"/>
      <c r="AR32" s="8" t="n"/>
      <c r="AS32" s="8" t="n"/>
      <c r="AT32" s="8" t="n"/>
      <c r="AU32" s="8" t="n"/>
    </row>
    <row r="33">
      <c r="A33" s="8" t="n"/>
      <c r="B33" s="8" t="n"/>
      <c r="C33" s="8" t="n"/>
      <c r="D33" s="34"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5"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6" t="n"/>
      <c r="AE38" s="8" t="n"/>
      <c r="AF38" s="8" t="n"/>
      <c r="AG38" s="8" t="n"/>
      <c r="AH38" s="37">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row>
    <row r="46">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row>
    <row r="47">
      <c r="A47" s="39" t="n"/>
      <c r="B47" s="39" t="n"/>
      <c r="C47" s="39" t="n"/>
      <c r="D47" s="39"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c r="Y47" s="39" t="n"/>
      <c r="Z47" s="39" t="n"/>
      <c r="AA47" s="39" t="n"/>
      <c r="AB47" s="39" t="n"/>
      <c r="AC47" s="39" t="n"/>
      <c r="AD47" s="39" t="n"/>
      <c r="AE47" s="39" t="n"/>
      <c r="AF47" s="39" t="n"/>
      <c r="AG47" s="39" t="n"/>
      <c r="AH47" s="39" t="n"/>
      <c r="AI47" s="39" t="n"/>
      <c r="AJ47" s="39" t="n"/>
      <c r="AK47" s="39" t="n"/>
      <c r="AL47" s="39" t="n"/>
      <c r="AM47" s="39" t="n"/>
      <c r="AN47" s="39" t="n"/>
      <c r="AO47" s="39" t="n"/>
      <c r="AP47" s="39" t="n"/>
      <c r="AQ47" s="39" t="n"/>
      <c r="AR47" s="39" t="n"/>
      <c r="AS47" s="39" t="n"/>
      <c r="AT47" s="39" t="n"/>
      <c r="AU47" s="39" t="n"/>
    </row>
    <row r="48">
      <c r="A48" s="39" t="n"/>
      <c r="B48" s="39" t="n"/>
      <c r="C48" s="39" t="n"/>
      <c r="D48" s="39"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c r="Y48" s="39" t="n"/>
      <c r="Z48" s="39" t="n"/>
      <c r="AA48" s="39" t="n"/>
      <c r="AB48" s="39" t="n"/>
      <c r="AC48" s="39" t="n"/>
      <c r="AD48" s="39" t="n"/>
      <c r="AE48" s="39" t="n"/>
      <c r="AF48" s="39" t="n"/>
      <c r="AG48" s="39" t="n"/>
      <c r="AH48" s="39" t="n"/>
      <c r="AI48" s="39" t="n"/>
      <c r="AJ48" s="39" t="n"/>
      <c r="AK48" s="39" t="n"/>
      <c r="AL48" s="39" t="n"/>
      <c r="AM48" s="39" t="n"/>
      <c r="AN48" s="39" t="n"/>
      <c r="AO48" s="39" t="n"/>
      <c r="AP48" s="39" t="n"/>
      <c r="AQ48" s="39" t="n"/>
      <c r="AR48" s="39" t="n"/>
      <c r="AS48" s="39" t="n"/>
      <c r="AT48" s="39" t="n"/>
      <c r="AU48" s="39" t="n"/>
    </row>
    <row r="49">
      <c r="A49" s="39"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row>
    <row r="50">
      <c r="A50" s="39" t="n"/>
      <c r="B50" s="39" t="n"/>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39" t="n"/>
      <c r="AE50" s="39" t="n"/>
      <c r="AF50" s="39" t="n"/>
      <c r="AG50" s="39" t="n"/>
      <c r="AH50" s="39" t="n"/>
      <c r="AI50" s="39" t="n"/>
      <c r="AJ50" s="39" t="n"/>
      <c r="AK50" s="39" t="n"/>
      <c r="AL50" s="39" t="n"/>
      <c r="AM50" s="39" t="n"/>
      <c r="AN50" s="39" t="n"/>
      <c r="AO50" s="39" t="n"/>
      <c r="AP50" s="39" t="n"/>
      <c r="AQ50" s="39" t="n"/>
      <c r="AR50" s="39" t="n"/>
      <c r="AS50" s="39" t="n"/>
      <c r="AT50" s="39" t="n"/>
      <c r="AU50" s="39"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U1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0" t="inlineStr">
        <is>
          <t>呪術</t>
        </is>
      </c>
      <c r="H2" s="41" t="inlineStr">
        <is>
          <t>FICHA DE REGISTRO</t>
        </is>
      </c>
      <c r="AA2" s="8" t="n"/>
      <c r="AB2" s="42">
        <f>IF(OR(CARTEIRA!$O$9="",CARTEIRA!$O$9="Coloque o nome do personagem aqui"),"",CARTEIRA!$O$9)</f>
        <v/>
      </c>
      <c r="AU2" s="8" t="n"/>
    </row>
    <row r="3">
      <c r="A3" s="8" t="n"/>
      <c r="B3" s="8" t="n"/>
      <c r="C3" s="8" t="n"/>
      <c r="AA3" s="8" t="n"/>
      <c r="AU3" s="8" t="n"/>
    </row>
    <row r="4">
      <c r="A4" s="8" t="n"/>
      <c r="B4" s="8" t="n"/>
      <c r="C4" s="8" t="n"/>
      <c r="H4" s="43">
        <f>DADOS!$F$1&amp;" · "&amp;IF(DADOS!$B$1=DADOS!$D$1,"v"&amp;DADOS!$B$1&amp;" · em dia","⚠ v"&amp;DADOS!$B$1&amp;" · a atual é a v"&amp;DADOS!$D$1)</f>
        <v/>
      </c>
      <c r="AA4" s="8" t="n"/>
      <c r="AB4" s="44">
        <f>IF(OR($D$11="",$D$11="Escolha seu Caminho"),"",$D$11&amp;IF(OR($N$11="",$N$11="Escolha sua Trilha"),""," · "&amp;$N$11)&amp;" · nível "&amp;$AH$11)</f>
        <v/>
      </c>
      <c r="A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row>
    <row r="6">
      <c r="A6" s="8" t="n"/>
      <c r="B6" s="22" t="n"/>
      <c r="C6" s="38" t="n"/>
      <c r="AS6" s="38" t="n"/>
      <c r="AT6" s="38" t="n"/>
      <c r="AU6" s="38"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row>
    <row r="8" ht="27" customHeight="1">
      <c r="A8" s="45" t="inlineStr">
        <is>
          <t>PROJETO M</t>
        </is>
      </c>
      <c r="B8" s="17" t="n"/>
      <c r="C8" s="38" t="n"/>
      <c r="D8" s="46" t="n">
        <v>1</v>
      </c>
      <c r="E8" s="14" t="n"/>
      <c r="F8" s="15" t="n"/>
      <c r="G8" s="47" t="inlineStr">
        <is>
          <t>PERFIL AMALDIÇOADO</t>
        </is>
      </c>
      <c r="H8" s="14" t="n"/>
      <c r="I8" s="14" t="n"/>
      <c r="J8" s="14" t="n"/>
      <c r="K8" s="14" t="n"/>
      <c r="L8" s="14" t="n"/>
      <c r="M8" s="14" t="n"/>
      <c r="N8" s="14" t="n"/>
      <c r="O8" s="14" t="n"/>
      <c r="P8" s="14" t="n"/>
      <c r="Q8" s="14" t="n"/>
      <c r="R8" s="14" t="n"/>
      <c r="S8" s="14" t="n"/>
      <c r="T8" s="14" t="n"/>
      <c r="U8" s="14" t="n"/>
      <c r="V8" s="14" t="n"/>
      <c r="W8" s="14" t="n"/>
      <c r="X8" s="15" t="n"/>
      <c r="Y8" s="48" t="n"/>
      <c r="Z8" s="48" t="n"/>
      <c r="AA8" s="48" t="n"/>
      <c r="AB8" s="48" t="n"/>
      <c r="AC8" s="48" t="n"/>
      <c r="AD8" s="48" t="n"/>
      <c r="AE8" s="48" t="n"/>
      <c r="AF8" s="48" t="n"/>
      <c r="AG8" s="48" t="n"/>
      <c r="AH8" s="48" t="n"/>
      <c r="AI8" s="48" t="n"/>
      <c r="AJ8" s="48" t="n"/>
      <c r="AK8" s="48" t="n"/>
      <c r="AL8" s="48" t="n"/>
      <c r="AM8" s="48" t="n"/>
      <c r="AN8" s="48" t="n"/>
      <c r="AO8" s="48" t="n"/>
      <c r="AP8" s="48" t="n"/>
      <c r="AQ8" s="48" t="n"/>
      <c r="AR8" s="48" t="n"/>
      <c r="AS8" s="48" t="n"/>
      <c r="AT8" s="48" t="n"/>
    </row>
    <row r="9">
      <c r="B9" s="17" t="n"/>
      <c r="C9" s="38" t="n"/>
      <c r="D9" s="18" t="n"/>
      <c r="E9" s="19" t="n"/>
      <c r="F9" s="20" t="n"/>
      <c r="G9" s="49" t="n"/>
      <c r="H9" s="49" t="n"/>
      <c r="I9" s="49" t="n"/>
      <c r="J9" s="49" t="n"/>
      <c r="K9" s="49" t="n"/>
      <c r="L9" s="49" t="n"/>
      <c r="M9" s="49" t="n"/>
      <c r="N9" s="50" t="n"/>
      <c r="O9" s="50" t="n"/>
      <c r="P9" s="50" t="n"/>
      <c r="Q9" s="50" t="n"/>
      <c r="R9" s="50" t="n"/>
      <c r="S9" s="50" t="n"/>
      <c r="T9" s="50" t="n"/>
      <c r="U9" s="50" t="n"/>
      <c r="V9" s="50" t="n"/>
      <c r="W9" s="49" t="n"/>
      <c r="X9" s="50" t="n"/>
      <c r="Y9" s="48" t="n"/>
      <c r="Z9" s="48" t="n"/>
      <c r="AA9" s="48" t="n"/>
      <c r="AB9" s="48" t="n"/>
      <c r="AC9" s="48" t="n"/>
      <c r="AD9" s="48" t="n"/>
      <c r="AE9" s="48" t="n"/>
      <c r="AF9" s="48" t="n"/>
      <c r="AG9" s="48" t="n"/>
      <c r="AH9" s="51" t="n"/>
      <c r="AI9" s="51" t="n"/>
      <c r="AJ9" s="51" t="n"/>
      <c r="AK9" s="51" t="n"/>
      <c r="AL9" s="51" t="n"/>
      <c r="AM9" s="48" t="n"/>
      <c r="AN9" s="51" t="n"/>
      <c r="AO9" s="51" t="n"/>
      <c r="AP9" s="51" t="n"/>
      <c r="AQ9" s="51" t="n"/>
      <c r="AR9" s="51" t="n"/>
      <c r="AS9" s="51" t="n"/>
      <c r="AT9" s="51" t="n"/>
    </row>
    <row r="10">
      <c r="B10" s="17" t="n"/>
      <c r="C10" s="38" t="n"/>
      <c r="D10" s="52" t="inlineStr">
        <is>
          <t>CAMINHO</t>
        </is>
      </c>
      <c r="E10" s="11" t="n"/>
      <c r="F10" s="11" t="n"/>
      <c r="G10" s="11" t="n"/>
      <c r="H10" s="11" t="n"/>
      <c r="I10" s="11" t="n"/>
      <c r="J10" s="11" t="n"/>
      <c r="K10" s="11" t="n"/>
      <c r="L10" s="12" t="n"/>
      <c r="M10" s="53" t="n"/>
      <c r="N10" s="54" t="inlineStr">
        <is>
          <t>TRILHA</t>
        </is>
      </c>
      <c r="O10" s="19" t="n"/>
      <c r="P10" s="19" t="n"/>
      <c r="Q10" s="19" t="n"/>
      <c r="R10" s="19" t="n"/>
      <c r="S10" s="19" t="n"/>
      <c r="T10" s="19" t="n"/>
      <c r="U10" s="19" t="n"/>
      <c r="V10" s="20" t="n"/>
      <c r="W10" s="53" t="n"/>
      <c r="X10" s="52" t="inlineStr">
        <is>
          <t>ORIGEM</t>
        </is>
      </c>
      <c r="Y10" s="11" t="n"/>
      <c r="Z10" s="11" t="n"/>
      <c r="AA10" s="11" t="n"/>
      <c r="AB10" s="11" t="n"/>
      <c r="AC10" s="11" t="n"/>
      <c r="AD10" s="11" t="n"/>
      <c r="AE10" s="11" t="n"/>
      <c r="AF10" s="12" t="n"/>
      <c r="AG10" s="53" t="n"/>
      <c r="AH10" s="54" t="inlineStr">
        <is>
          <t>NÍVEL</t>
        </is>
      </c>
      <c r="AI10" s="19" t="n"/>
      <c r="AJ10" s="19" t="n"/>
      <c r="AK10" s="19" t="n"/>
      <c r="AL10" s="20" t="n"/>
      <c r="AM10" s="55" t="n"/>
      <c r="AN10" s="56" t="inlineStr">
        <is>
          <t>XP</t>
        </is>
      </c>
      <c r="AO10" s="19" t="n"/>
      <c r="AP10" s="19" t="n"/>
      <c r="AQ10" s="19" t="n"/>
      <c r="AR10" s="19" t="n"/>
      <c r="AS10" s="19" t="n"/>
      <c r="AT10" s="20" t="n"/>
    </row>
    <row r="11" ht="24.75" customHeight="1">
      <c r="B11" s="17" t="n"/>
      <c r="C11" s="38" t="n"/>
      <c r="D11" s="57" t="inlineStr">
        <is>
          <t>Escolha seu Caminho</t>
        </is>
      </c>
      <c r="E11" s="14" t="n"/>
      <c r="F11" s="14" t="n"/>
      <c r="G11" s="14" t="n"/>
      <c r="H11" s="14" t="n"/>
      <c r="I11" s="14" t="n"/>
      <c r="J11" s="14" t="n"/>
      <c r="K11" s="14" t="n"/>
      <c r="L11" s="15" t="n"/>
      <c r="M11" s="55" t="n"/>
      <c r="N11" s="58" t="inlineStr">
        <is>
          <t>Escolha sua Trilha</t>
        </is>
      </c>
      <c r="O11" s="14" t="n"/>
      <c r="P11" s="14" t="n"/>
      <c r="Q11" s="14" t="n"/>
      <c r="R11" s="14" t="n"/>
      <c r="S11" s="14" t="n"/>
      <c r="T11" s="14" t="n"/>
      <c r="U11" s="14" t="n"/>
      <c r="V11" s="15" t="n"/>
      <c r="W11" s="55" t="n"/>
      <c r="X11" s="58" t="inlineStr">
        <is>
          <t>Latente</t>
        </is>
      </c>
      <c r="Y11" s="14" t="n"/>
      <c r="Z11" s="14" t="n"/>
      <c r="AA11" s="14" t="n"/>
      <c r="AB11" s="14" t="n"/>
      <c r="AC11" s="14" t="n"/>
      <c r="AD11" s="14" t="n"/>
      <c r="AE11" s="14" t="n"/>
      <c r="AF11" s="15" t="n"/>
      <c r="AG11" s="55" t="n"/>
      <c r="AH11" s="59" t="n">
        <v>2</v>
      </c>
      <c r="AI11" s="14" t="n"/>
      <c r="AJ11" s="14" t="n"/>
      <c r="AK11" s="14" t="n"/>
      <c r="AL11" s="15" t="n"/>
      <c r="AM11" s="55" t="n"/>
      <c r="AN11" s="60">
        <f>DADOS!$CZ$44</f>
        <v/>
      </c>
      <c r="AO11" s="14" t="n"/>
      <c r="AP11" s="14" t="n"/>
      <c r="AQ11" s="14" t="n"/>
      <c r="AR11" s="14" t="n"/>
      <c r="AS11" s="14" t="n"/>
      <c r="AT11" s="15" t="n"/>
    </row>
    <row r="12">
      <c r="B12" s="17" t="n"/>
      <c r="C12" s="38" t="n"/>
      <c r="D12" s="49" t="n"/>
      <c r="E12" s="49" t="n"/>
      <c r="F12" s="49" t="n"/>
      <c r="G12" s="49" t="n"/>
      <c r="H12" s="49" t="n"/>
      <c r="I12" s="49" t="n"/>
      <c r="J12" s="49" t="n"/>
      <c r="K12" s="49" t="n"/>
      <c r="L12" s="49" t="n"/>
      <c r="M12" s="48" t="n"/>
      <c r="N12" s="49" t="n"/>
      <c r="O12" s="49" t="n"/>
      <c r="P12" s="49" t="n"/>
      <c r="Q12" s="49" t="n"/>
      <c r="R12" s="61" t="n"/>
      <c r="S12" s="49" t="n"/>
      <c r="T12" s="49" t="n"/>
      <c r="U12" s="49" t="n"/>
      <c r="V12" s="49" t="n"/>
      <c r="W12" s="48" t="n"/>
      <c r="X12" s="49" t="n"/>
      <c r="Y12" s="49" t="n"/>
      <c r="Z12" s="49" t="n"/>
      <c r="AA12" s="49" t="n"/>
      <c r="AB12" s="49" t="n"/>
      <c r="AC12" s="49" t="n"/>
      <c r="AD12" s="49" t="n"/>
      <c r="AE12" s="49" t="n"/>
      <c r="AF12" s="49" t="n"/>
      <c r="AG12" s="48" t="n"/>
      <c r="AH12" s="49" t="n"/>
      <c r="AI12" s="49" t="n"/>
      <c r="AJ12" s="49" t="n"/>
      <c r="AK12" s="49" t="n"/>
      <c r="AL12" s="49" t="n"/>
      <c r="AM12" s="48" t="n"/>
      <c r="AN12" s="49" t="n"/>
      <c r="AO12" s="49" t="n"/>
      <c r="AP12" s="49" t="n"/>
      <c r="AQ12" s="49" t="n"/>
      <c r="AR12" s="49" t="n"/>
      <c r="AS12" s="49" t="n"/>
      <c r="AT12" s="49" t="n"/>
    </row>
    <row r="13">
      <c r="B13" s="17" t="n"/>
      <c r="C13" s="3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c r="AA13" s="48" t="n"/>
      <c r="AB13" s="48" t="n"/>
      <c r="AC13" s="48" t="n"/>
      <c r="AD13" s="48" t="n"/>
      <c r="AE13" s="48" t="n"/>
      <c r="AF13" s="48" t="n"/>
      <c r="AG13" s="48" t="n"/>
      <c r="AH13" s="48" t="n"/>
      <c r="AI13" s="48" t="n"/>
      <c r="AJ13" s="48" t="n"/>
      <c r="AK13" s="48" t="n"/>
      <c r="AL13" s="48" t="n"/>
      <c r="AM13" s="48" t="n"/>
      <c r="AN13" s="48" t="n"/>
      <c r="AO13" s="48" t="n"/>
      <c r="AP13" s="48" t="n"/>
      <c r="AQ13" s="48" t="n"/>
      <c r="AR13" s="48" t="n"/>
      <c r="AS13" s="48" t="n"/>
      <c r="AT13" s="48" t="n"/>
    </row>
    <row r="14">
      <c r="B14" s="17" t="n"/>
      <c r="C14" s="3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62" t="inlineStr">
        <is>
          <t>Pontos Disponíveis</t>
        </is>
      </c>
      <c r="AA14" s="11" t="n"/>
      <c r="AB14" s="11" t="n"/>
      <c r="AC14" s="11" t="n"/>
      <c r="AD14" s="11" t="n"/>
      <c r="AE14" s="11" t="n"/>
      <c r="AF14" s="11" t="n"/>
      <c r="AG14" s="11" t="n"/>
      <c r="AH14" s="11" t="n"/>
      <c r="AI14" s="12" t="n"/>
      <c r="AJ14" s="48" t="n"/>
      <c r="AK14" s="62">
        <f>"Pontos de Marco de Corpo Disponíveis - "&amp;IF(DADOS!$AK$11&gt;DADOS!$AK$10,DADOS!$AK$11-DADOS!$AK$10&amp;" a mais",DADOS!$AK$10-DADOS!$AK$11&amp;" de "&amp;DADOS!$AK$10)</f>
        <v/>
      </c>
      <c r="AL14" s="11" t="n"/>
      <c r="AM14" s="11" t="n"/>
      <c r="AN14" s="11" t="n"/>
      <c r="AO14" s="11" t="n"/>
      <c r="AP14" s="11" t="n"/>
      <c r="AQ14" s="11" t="n"/>
      <c r="AR14" s="11" t="n"/>
      <c r="AS14" s="11" t="n"/>
      <c r="AT14" s="12" t="n"/>
    </row>
    <row r="15" ht="27" customHeight="1">
      <c r="B15" s="17" t="n"/>
      <c r="C15" s="38" t="n"/>
      <c r="D15" s="63" t="n">
        <v>2</v>
      </c>
      <c r="E15" s="14" t="n"/>
      <c r="F15" s="15" t="n"/>
      <c r="G15" s="47" t="inlineStr">
        <is>
          <t>VALORES</t>
        </is>
      </c>
      <c r="H15" s="14" t="n"/>
      <c r="I15" s="14" t="n"/>
      <c r="J15" s="14" t="n"/>
      <c r="K15" s="14" t="n"/>
      <c r="L15" s="14" t="n"/>
      <c r="M15" s="14" t="n"/>
      <c r="N15" s="14" t="n"/>
      <c r="O15" s="14" t="n"/>
      <c r="P15" s="14" t="n"/>
      <c r="Q15" s="14" t="n"/>
      <c r="R15" s="14" t="n"/>
      <c r="S15" s="14" t="n"/>
      <c r="T15" s="14" t="n"/>
      <c r="U15" s="14" t="n"/>
      <c r="V15" s="14" t="n"/>
      <c r="W15" s="14" t="n"/>
      <c r="X15" s="15" t="n"/>
      <c r="Y15" s="64" t="n"/>
      <c r="Z15" s="65">
        <f>IF(DADOS!$AK$7&gt;DADOS!$AK$6,DADOS!$AK$7-DADOS!$AK$6&amp;" a mais",IF(DADOS!$AK$8&gt;6,"Um atributo passou de 6",IF(AND(DADOS!$AK$5=0,DADOS!$AK$9&gt;3),"Na criação, nenhum acima de 3",DADOS!$AK$6-DADOS!$AK$7&amp;" de "&amp;DADOS!$AK$6)))</f>
        <v/>
      </c>
      <c r="AA15" s="11" t="n"/>
      <c r="AB15" s="11" t="n"/>
      <c r="AC15" s="11" t="n"/>
      <c r="AD15" s="11" t="n"/>
      <c r="AE15" s="11" t="n"/>
      <c r="AF15" s="11" t="n"/>
      <c r="AG15" s="11" t="n"/>
      <c r="AH15" s="11" t="n"/>
      <c r="AI15" s="12" t="n"/>
      <c r="AJ15" s="48" t="n"/>
      <c r="AK15" s="65" t="n">
        <v>0</v>
      </c>
      <c r="AL15" s="12" t="n"/>
      <c r="AM15" s="65" t="n">
        <v>0</v>
      </c>
      <c r="AN15" s="12" t="n"/>
      <c r="AO15" s="65" t="n">
        <v>0</v>
      </c>
      <c r="AP15" s="12" t="n"/>
      <c r="AQ15" s="65" t="n">
        <v>0</v>
      </c>
      <c r="AR15" s="12" t="n"/>
      <c r="AS15" s="65" t="n">
        <v>0</v>
      </c>
      <c r="AT15" s="12" t="n"/>
    </row>
    <row r="16">
      <c r="B16" s="17" t="n"/>
      <c r="C16" s="38" t="n"/>
      <c r="D16" s="16" t="n"/>
      <c r="F16" s="17" t="n"/>
      <c r="G16" s="49" t="n"/>
      <c r="H16" s="49" t="n"/>
      <c r="I16" s="49" t="n"/>
      <c r="J16" s="49" t="n"/>
      <c r="K16" s="49" t="n"/>
      <c r="L16" s="49" t="n"/>
      <c r="M16" s="49" t="n"/>
      <c r="N16" s="49" t="n"/>
      <c r="O16" s="49" t="n"/>
      <c r="P16" s="49" t="n"/>
      <c r="Q16" s="49" t="n"/>
      <c r="R16" s="49" t="n"/>
      <c r="S16" s="49" t="n"/>
      <c r="T16" s="49" t="n"/>
      <c r="U16" s="49" t="n"/>
      <c r="V16" s="49" t="n"/>
      <c r="W16" s="49" t="n"/>
      <c r="X16" s="49" t="n"/>
      <c r="Y16" s="48" t="n"/>
      <c r="Z16" s="48" t="n"/>
      <c r="AA16" s="48" t="n"/>
      <c r="AB16" s="48" t="n"/>
      <c r="AC16" s="48" t="n"/>
      <c r="AD16" s="48" t="n"/>
      <c r="AE16" s="48" t="n"/>
      <c r="AF16" s="48" t="n"/>
      <c r="AG16" s="48" t="n"/>
      <c r="AH16" s="48" t="n"/>
      <c r="AI16" s="48" t="n"/>
      <c r="AJ16" s="48" t="n"/>
      <c r="AK16" s="66" t="inlineStr">
        <is>
          <t>FOR</t>
        </is>
      </c>
      <c r="AL16" s="11" t="n"/>
      <c r="AM16" s="66" t="inlineStr">
        <is>
          <t>DEX</t>
        </is>
      </c>
      <c r="AN16" s="11" t="n"/>
      <c r="AO16" s="66" t="inlineStr">
        <is>
          <t>CON</t>
        </is>
      </c>
      <c r="AP16" s="11" t="n"/>
      <c r="AQ16" s="66" t="inlineStr">
        <is>
          <t>INT</t>
        </is>
      </c>
      <c r="AR16" s="11" t="n"/>
      <c r="AS16" s="62" t="inlineStr">
        <is>
          <t>ESS</t>
        </is>
      </c>
      <c r="AT16" s="12" t="n"/>
    </row>
    <row r="17">
      <c r="B17" s="17" t="n"/>
      <c r="C17" s="38" t="n"/>
      <c r="D17" s="18" t="n"/>
      <c r="E17" s="19" t="n"/>
      <c r="F17" s="20" t="n"/>
      <c r="G17" s="48" t="n"/>
      <c r="H17" s="48" t="n"/>
      <c r="I17" s="48" t="n"/>
      <c r="J17" s="48" t="n"/>
      <c r="K17" s="48" t="n"/>
      <c r="L17" s="51" t="n"/>
      <c r="M17" s="51" t="n"/>
      <c r="N17" s="51" t="n"/>
      <c r="O17" s="51" t="n"/>
      <c r="P17" s="51" t="n"/>
      <c r="Q17" s="51" t="n"/>
      <c r="R17" s="51" t="n"/>
      <c r="S17" s="48" t="n"/>
      <c r="T17" s="51" t="n"/>
      <c r="U17" s="51" t="n"/>
      <c r="V17" s="51" t="n"/>
      <c r="W17" s="51" t="n"/>
      <c r="X17" s="51" t="n"/>
      <c r="Y17" s="51" t="n"/>
      <c r="Z17" s="51" t="n"/>
      <c r="AA17" s="48" t="n"/>
      <c r="AB17" s="51" t="n"/>
      <c r="AC17" s="51" t="n"/>
      <c r="AD17" s="51" t="n"/>
      <c r="AE17" s="51" t="n"/>
      <c r="AF17" s="51" t="n"/>
      <c r="AG17" s="51" t="n"/>
      <c r="AH17" s="51" t="n"/>
      <c r="AI17" s="48" t="n"/>
      <c r="AJ17" s="51" t="n"/>
      <c r="AK17" s="51" t="n"/>
      <c r="AL17" s="51" t="n"/>
      <c r="AM17" s="51" t="n"/>
      <c r="AN17" s="51" t="n"/>
      <c r="AO17" s="51" t="n"/>
      <c r="AP17" s="51" t="n"/>
      <c r="AQ17" s="48" t="n"/>
      <c r="AR17" s="48" t="n"/>
      <c r="AS17" s="48" t="n"/>
      <c r="AT17" s="48" t="n"/>
    </row>
    <row r="18">
      <c r="B18" s="17" t="n"/>
      <c r="C18" s="38" t="n"/>
      <c r="D18" s="52" t="inlineStr">
        <is>
          <t>FOR</t>
        </is>
      </c>
      <c r="E18" s="11" t="n"/>
      <c r="F18" s="11" t="n"/>
      <c r="G18" s="11" t="n"/>
      <c r="H18" s="11" t="n"/>
      <c r="I18" s="11" t="n"/>
      <c r="J18" s="12" t="n"/>
      <c r="K18" s="53" t="n"/>
      <c r="L18" s="54" t="inlineStr">
        <is>
          <t>DES</t>
        </is>
      </c>
      <c r="M18" s="19" t="n"/>
      <c r="N18" s="19" t="n"/>
      <c r="O18" s="19" t="n"/>
      <c r="P18" s="19" t="n"/>
      <c r="Q18" s="19" t="n"/>
      <c r="R18" s="20" t="n"/>
      <c r="S18" s="55" t="n"/>
      <c r="T18" s="56" t="inlineStr">
        <is>
          <t>CON</t>
        </is>
      </c>
      <c r="U18" s="19" t="n"/>
      <c r="V18" s="19" t="n"/>
      <c r="W18" s="19" t="n"/>
      <c r="X18" s="19" t="n"/>
      <c r="Y18" s="19" t="n"/>
      <c r="Z18" s="20" t="n"/>
      <c r="AA18" s="55" t="n"/>
      <c r="AB18" s="56" t="inlineStr">
        <is>
          <t>INT</t>
        </is>
      </c>
      <c r="AC18" s="19" t="n"/>
      <c r="AD18" s="19" t="n"/>
      <c r="AE18" s="19" t="n"/>
      <c r="AF18" s="19" t="n"/>
      <c r="AG18" s="19" t="n"/>
      <c r="AH18" s="20" t="n"/>
      <c r="AI18" s="55" t="n"/>
      <c r="AJ18" s="56" t="inlineStr">
        <is>
          <t>ESS</t>
        </is>
      </c>
      <c r="AK18" s="19" t="n"/>
      <c r="AL18" s="19" t="n"/>
      <c r="AM18" s="19" t="n"/>
      <c r="AN18" s="19" t="n"/>
      <c r="AO18" s="19" t="n"/>
      <c r="AP18" s="20" t="n"/>
      <c r="AQ18" s="48" t="n"/>
      <c r="AR18" s="67" t="n"/>
      <c r="AS18" s="48" t="n"/>
      <c r="AT18" s="48" t="n"/>
    </row>
    <row r="19">
      <c r="B19" s="17" t="n"/>
      <c r="C19" s="38" t="n"/>
      <c r="D19" s="68">
        <f>IFERROR(VALUE($D$21&amp;""),0)+IFERROR(VALUE($AK$15&amp;""),0)</f>
        <v/>
      </c>
      <c r="E19" s="14" t="n"/>
      <c r="F19" s="14" t="n"/>
      <c r="G19" s="14" t="n"/>
      <c r="H19" s="14" t="n"/>
      <c r="I19" s="14" t="n"/>
      <c r="J19" s="15" t="n"/>
      <c r="K19" s="55" t="n"/>
      <c r="L19" s="69">
        <f>IFERROR(VALUE($L$21&amp;""),0)+IFERROR(VALUE($AM$15&amp;""),0)</f>
        <v/>
      </c>
      <c r="M19" s="14" t="n"/>
      <c r="N19" s="14" t="n"/>
      <c r="O19" s="14" t="n"/>
      <c r="P19" s="14" t="n"/>
      <c r="Q19" s="14" t="n"/>
      <c r="R19" s="15" t="n"/>
      <c r="S19" s="55" t="n"/>
      <c r="T19" s="69">
        <f>IFERROR(VALUE($T$21&amp;""),0)+IFERROR(VALUE($AO$15&amp;""),0)</f>
        <v/>
      </c>
      <c r="U19" s="14" t="n"/>
      <c r="V19" s="14" t="n"/>
      <c r="W19" s="14" t="n"/>
      <c r="X19" s="14" t="n"/>
      <c r="Y19" s="14" t="n"/>
      <c r="Z19" s="15" t="n"/>
      <c r="AA19" s="55" t="n"/>
      <c r="AB19" s="69">
        <f>IFERROR(VALUE($AB$21&amp;""),0)+IFERROR(VALUE($AQ$15&amp;""),0)</f>
        <v/>
      </c>
      <c r="AC19" s="14" t="n"/>
      <c r="AD19" s="14" t="n"/>
      <c r="AE19" s="14" t="n"/>
      <c r="AF19" s="14" t="n"/>
      <c r="AG19" s="14" t="n"/>
      <c r="AH19" s="15" t="n"/>
      <c r="AI19" s="55" t="n"/>
      <c r="AJ19" s="69">
        <f>IFERROR(VALUE($AJ$21&amp;""),0)+IFERROR(VALUE($AS$15&amp;""),0)</f>
        <v/>
      </c>
      <c r="AK19" s="14" t="n"/>
      <c r="AL19" s="14" t="n"/>
      <c r="AM19" s="14" t="n"/>
      <c r="AN19" s="14" t="n"/>
      <c r="AO19" s="14" t="n"/>
      <c r="AP19" s="15" t="n"/>
      <c r="AQ19" s="48" t="n"/>
      <c r="AR19" s="67" t="n"/>
      <c r="AS19" s="48" t="n"/>
      <c r="AT19" s="48" t="n"/>
    </row>
    <row r="20" ht="29.25" customHeight="1">
      <c r="B20" s="17" t="n"/>
      <c r="C20" s="38" t="n"/>
      <c r="D20" s="18" t="n"/>
      <c r="E20" s="19" t="n"/>
      <c r="F20" s="19" t="n"/>
      <c r="G20" s="19" t="n"/>
      <c r="H20" s="19" t="n"/>
      <c r="I20" s="19" t="n"/>
      <c r="J20" s="20" t="n"/>
      <c r="K20" s="55" t="n"/>
      <c r="L20" s="19" t="n"/>
      <c r="M20" s="19" t="n"/>
      <c r="N20" s="19" t="n"/>
      <c r="O20" s="19" t="n"/>
      <c r="P20" s="19" t="n"/>
      <c r="Q20" s="19" t="n"/>
      <c r="R20" s="20" t="n"/>
      <c r="S20" s="55" t="n"/>
      <c r="T20" s="19" t="n"/>
      <c r="U20" s="19" t="n"/>
      <c r="V20" s="19" t="n"/>
      <c r="W20" s="19" t="n"/>
      <c r="X20" s="19" t="n"/>
      <c r="Y20" s="19" t="n"/>
      <c r="Z20" s="20" t="n"/>
      <c r="AA20" s="55" t="n"/>
      <c r="AB20" s="19" t="n"/>
      <c r="AC20" s="19" t="n"/>
      <c r="AD20" s="19" t="n"/>
      <c r="AE20" s="19" t="n"/>
      <c r="AF20" s="19" t="n"/>
      <c r="AG20" s="19" t="n"/>
      <c r="AH20" s="20" t="n"/>
      <c r="AI20" s="55" t="n"/>
      <c r="AJ20" s="19" t="n"/>
      <c r="AK20" s="19" t="n"/>
      <c r="AL20" s="19" t="n"/>
      <c r="AM20" s="19" t="n"/>
      <c r="AN20" s="19" t="n"/>
      <c r="AO20" s="19" t="n"/>
      <c r="AP20" s="20" t="n"/>
      <c r="AQ20" s="48" t="n"/>
      <c r="AR20" s="48" t="n"/>
      <c r="AS20" s="48" t="n"/>
      <c r="AT20" s="48" t="n"/>
    </row>
    <row r="21" ht="21.75" customHeight="1">
      <c r="B21" s="17" t="n"/>
      <c r="C21" s="38" t="n"/>
      <c r="D21" s="70" t="n">
        <v>0</v>
      </c>
      <c r="E21" s="11" t="n"/>
      <c r="F21" s="11" t="n"/>
      <c r="G21" s="11" t="n"/>
      <c r="H21" s="11" t="n"/>
      <c r="I21" s="11" t="n"/>
      <c r="J21" s="12" t="n"/>
      <c r="K21" s="53" t="n"/>
      <c r="L21" s="71" t="n">
        <v>0</v>
      </c>
      <c r="M21" s="19" t="n"/>
      <c r="N21" s="19" t="n"/>
      <c r="O21" s="19" t="n"/>
      <c r="P21" s="19" t="n"/>
      <c r="Q21" s="19" t="n"/>
      <c r="R21" s="20" t="n"/>
      <c r="S21" s="55" t="n"/>
      <c r="T21" s="72" t="n">
        <v>0</v>
      </c>
      <c r="U21" s="19" t="n"/>
      <c r="V21" s="19" t="n"/>
      <c r="W21" s="19" t="n"/>
      <c r="X21" s="19" t="n"/>
      <c r="Y21" s="19" t="n"/>
      <c r="Z21" s="20" t="n"/>
      <c r="AA21" s="55" t="n"/>
      <c r="AB21" s="72" t="n">
        <v>0</v>
      </c>
      <c r="AC21" s="19" t="n"/>
      <c r="AD21" s="19" t="n"/>
      <c r="AE21" s="19" t="n"/>
      <c r="AF21" s="19" t="n"/>
      <c r="AG21" s="19" t="n"/>
      <c r="AH21" s="20" t="n"/>
      <c r="AI21" s="55" t="n"/>
      <c r="AJ21" s="72" t="n">
        <v>0</v>
      </c>
      <c r="AK21" s="19" t="n"/>
      <c r="AL21" s="19" t="n"/>
      <c r="AM21" s="19" t="n"/>
      <c r="AN21" s="19" t="n"/>
      <c r="AO21" s="19" t="n"/>
      <c r="AP21" s="20" t="n"/>
      <c r="AQ21" s="48" t="n"/>
      <c r="AR21" s="48" t="n"/>
      <c r="AS21" s="48" t="n"/>
      <c r="AT21" s="48" t="n"/>
    </row>
    <row r="22">
      <c r="B22" s="17" t="n"/>
      <c r="C22" s="38" t="n"/>
      <c r="D22" s="73" t="inlineStr">
        <is>
          <t>Força</t>
        </is>
      </c>
      <c r="E22" s="11" t="n"/>
      <c r="F22" s="11" t="n"/>
      <c r="G22" s="11" t="n"/>
      <c r="H22" s="11" t="n"/>
      <c r="I22" s="11" t="n"/>
      <c r="J22" s="12" t="n"/>
      <c r="K22" s="55" t="n"/>
      <c r="L22" s="74" t="inlineStr">
        <is>
          <t>Destreza</t>
        </is>
      </c>
      <c r="M22" s="11" t="n"/>
      <c r="N22" s="11" t="n"/>
      <c r="O22" s="11" t="n"/>
      <c r="P22" s="11" t="n"/>
      <c r="Q22" s="11" t="n"/>
      <c r="R22" s="12" t="n"/>
      <c r="S22" s="55" t="n"/>
      <c r="T22" s="74" t="inlineStr">
        <is>
          <t>Constituição</t>
        </is>
      </c>
      <c r="U22" s="11" t="n"/>
      <c r="V22" s="11" t="n"/>
      <c r="W22" s="11" t="n"/>
      <c r="X22" s="11" t="n"/>
      <c r="Y22" s="11" t="n"/>
      <c r="Z22" s="12" t="n"/>
      <c r="AA22" s="55" t="n"/>
      <c r="AB22" s="74" t="inlineStr">
        <is>
          <t>Inteligência</t>
        </is>
      </c>
      <c r="AC22" s="11" t="n"/>
      <c r="AD22" s="11" t="n"/>
      <c r="AE22" s="11" t="n"/>
      <c r="AF22" s="11" t="n"/>
      <c r="AG22" s="11" t="n"/>
      <c r="AH22" s="12" t="n"/>
      <c r="AI22" s="55" t="n"/>
      <c r="AJ22" s="74" t="inlineStr">
        <is>
          <t>Essência</t>
        </is>
      </c>
      <c r="AK22" s="11" t="n"/>
      <c r="AL22" s="11" t="n"/>
      <c r="AM22" s="11" t="n"/>
      <c r="AN22" s="11" t="n"/>
      <c r="AO22" s="11" t="n"/>
      <c r="AP22" s="12" t="n"/>
      <c r="AQ22" s="48" t="n"/>
      <c r="AR22" s="48" t="n"/>
      <c r="AS22" s="48" t="n"/>
      <c r="AT22" s="48" t="n"/>
    </row>
    <row r="23">
      <c r="B23" s="17" t="n"/>
      <c r="C23" s="38" t="n"/>
      <c r="D23" s="48" t="n"/>
      <c r="E23" s="48" t="n"/>
      <c r="F23" s="49"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c r="AA23" s="48" t="n"/>
      <c r="AB23" s="48" t="n"/>
      <c r="AC23" s="48" t="n"/>
      <c r="AD23" s="48" t="n"/>
      <c r="AE23" s="48" t="n"/>
      <c r="AF23" s="48" t="n"/>
      <c r="AG23" s="48" t="n"/>
      <c r="AH23" s="48" t="n"/>
      <c r="AI23" s="48" t="n"/>
      <c r="AJ23" s="48" t="n"/>
      <c r="AK23" s="48" t="n"/>
      <c r="AL23" s="48" t="n"/>
      <c r="AM23" s="48" t="n"/>
      <c r="AN23" s="48" t="n"/>
      <c r="AO23" s="48" t="n"/>
      <c r="AP23" s="48" t="n"/>
      <c r="AQ23" s="48" t="n"/>
      <c r="AR23" s="48" t="n"/>
      <c r="AS23" s="48" t="n"/>
      <c r="AT23" s="48" t="n"/>
    </row>
    <row r="24">
      <c r="B24" s="17" t="n"/>
      <c r="C24" s="3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c r="AA24" s="48" t="n"/>
      <c r="AB24" s="48" t="n"/>
      <c r="AC24" s="48" t="n"/>
      <c r="AD24" s="48" t="n"/>
      <c r="AE24" s="48" t="n"/>
      <c r="AF24" s="48" t="n"/>
      <c r="AG24" s="48" t="n"/>
      <c r="AH24" s="48" t="n"/>
      <c r="AI24" s="48" t="n"/>
      <c r="AJ24" s="48" t="n"/>
      <c r="AK24" s="48" t="n"/>
      <c r="AL24" s="48" t="n"/>
      <c r="AM24" s="48" t="n"/>
      <c r="AN24" s="48" t="n"/>
      <c r="AO24" s="48" t="n"/>
      <c r="AP24" s="48" t="n"/>
      <c r="AQ24" s="48" t="n"/>
      <c r="AR24" s="48" t="n"/>
      <c r="AS24" s="48" t="n"/>
      <c r="AT24" s="48" t="n"/>
    </row>
    <row r="25">
      <c r="B25" s="17" t="n"/>
      <c r="C25" s="38" t="n"/>
      <c r="D25" s="52" t="inlineStr">
        <is>
          <t>VIDA - Atual/Máxima</t>
        </is>
      </c>
      <c r="E25" s="11" t="n"/>
      <c r="F25" s="11" t="n"/>
      <c r="G25" s="11" t="n"/>
      <c r="H25" s="11" t="n"/>
      <c r="I25" s="11" t="n"/>
      <c r="J25" s="11" t="n"/>
      <c r="K25" s="11" t="n"/>
      <c r="L25" s="11" t="n"/>
      <c r="M25" s="11" t="n"/>
      <c r="N25" s="12" t="n"/>
      <c r="O25" s="48" t="n"/>
      <c r="P25" s="48" t="n"/>
      <c r="Q25" s="48" t="n"/>
      <c r="R25" s="48" t="n"/>
      <c r="S25" s="48" t="n"/>
      <c r="T25" s="48" t="n"/>
      <c r="U25" s="48" t="n"/>
      <c r="V25" s="48" t="n"/>
      <c r="W25" s="48" t="n"/>
      <c r="X25" s="48" t="n"/>
      <c r="Y25" s="48" t="n"/>
      <c r="Z25" s="48" t="n"/>
      <c r="AA25" s="48" t="n"/>
      <c r="AB25" s="48" t="n"/>
      <c r="AC25" s="48" t="n"/>
      <c r="AD25" s="48" t="n"/>
      <c r="AE25" s="48" t="n"/>
      <c r="AF25" s="52" t="inlineStr">
        <is>
          <t>TEMPORÁRIO</t>
        </is>
      </c>
      <c r="AG25" s="11" t="n"/>
      <c r="AH25" s="11" t="n"/>
      <c r="AI25" s="11" t="n"/>
      <c r="AJ25" s="11" t="n"/>
      <c r="AK25" s="12" t="n"/>
      <c r="AL25" s="55" t="n"/>
      <c r="AM25" s="75" t="inlineStr">
        <is>
          <t>± PERDA &amp;/ou GANHO</t>
        </is>
      </c>
      <c r="AN25" s="11" t="n"/>
      <c r="AO25" s="11" t="n"/>
      <c r="AP25" s="11" t="n"/>
      <c r="AQ25" s="11" t="n"/>
      <c r="AR25" s="12" t="n"/>
      <c r="AS25" s="48" t="n"/>
      <c r="AT25" s="48" t="n"/>
    </row>
    <row r="26" ht="27" customHeight="1">
      <c r="B26" s="17" t="n"/>
      <c r="C26" s="38" t="n"/>
      <c r="D26" s="76">
        <f>J26</f>
        <v/>
      </c>
      <c r="E26" s="14" t="n"/>
      <c r="F26" s="14" t="n"/>
      <c r="G26" s="14" t="n"/>
      <c r="H26" s="15" t="n"/>
      <c r="I26" s="48" t="n"/>
      <c r="J26" s="77">
        <f>IFERROR(IF($D$11="","",(VLOOKUP($D$11,DADOS!$N$5:$U$9,3,FALSE)+$T$19)+(VLOOKUP($D$11,DADOS!$N$5:$U$9,4,FALSE)+$T$19)*($AH$11-1)),"")</f>
        <v/>
      </c>
      <c r="K26" s="14" t="n"/>
      <c r="L26" s="14" t="n"/>
      <c r="M26" s="14" t="n"/>
      <c r="N26" s="15" t="n"/>
      <c r="O26" s="48" t="n"/>
      <c r="P26" s="78">
        <f>IFERROR(__xludf.DUMMYFUNCTION("IFERROR(SPARKLINE($D$26,{""charttype"",""bar"";""max"",$J$26;""color1"",IF(N($J$26)=0,DADOS!$CZ$48,IF($D$26/$J$26&lt;=0.25,""#C2334D"",IF($D$26/$J$26&lt;=0.5,""#D89B3A"",DADOS!$CZ$48)))}),"""")"),"")</f>
        <v/>
      </c>
      <c r="Q26" s="14" t="n"/>
      <c r="R26" s="14" t="n"/>
      <c r="S26" s="14" t="n"/>
      <c r="T26" s="14" t="n"/>
      <c r="U26" s="14" t="n"/>
      <c r="V26" s="14" t="n"/>
      <c r="W26" s="14" t="n"/>
      <c r="X26" s="14" t="n"/>
      <c r="Y26" s="14" t="n"/>
      <c r="Z26" s="14" t="n"/>
      <c r="AA26" s="14" t="n"/>
      <c r="AB26" s="14" t="n"/>
      <c r="AC26" s="14" t="n"/>
      <c r="AD26" s="15" t="n"/>
      <c r="AE26" s="48" t="n"/>
      <c r="AF26" s="79" t="n">
        <v>0</v>
      </c>
      <c r="AG26" s="19" t="n"/>
      <c r="AH26" s="19" t="n"/>
      <c r="AI26" s="19" t="n"/>
      <c r="AJ26" s="19" t="n"/>
      <c r="AK26" s="20" t="n"/>
      <c r="AL26" s="48" t="n"/>
      <c r="AM26" s="80" t="n"/>
      <c r="AN26" s="11" t="n"/>
      <c r="AO26" s="11" t="n"/>
      <c r="AP26" s="11" t="n"/>
      <c r="AQ26" s="11" t="n"/>
      <c r="AR26" s="12" t="n"/>
      <c r="AS26" s="48" t="n"/>
      <c r="AT26" s="48" t="n"/>
    </row>
    <row r="27">
      <c r="B27" s="17" t="n"/>
      <c r="C27" s="38" t="n"/>
      <c r="D27" s="18" t="n"/>
      <c r="E27" s="19" t="n"/>
      <c r="F27" s="19" t="n"/>
      <c r="G27" s="19" t="n"/>
      <c r="H27" s="20" t="n"/>
      <c r="I27" s="48" t="n"/>
      <c r="J27" s="18" t="n"/>
      <c r="K27" s="19" t="n"/>
      <c r="L27" s="19" t="n"/>
      <c r="M27" s="19" t="n"/>
      <c r="N27" s="20" t="n"/>
      <c r="O27" s="48" t="n"/>
      <c r="P27" s="18" t="n"/>
      <c r="Q27" s="19" t="n"/>
      <c r="R27" s="19" t="n"/>
      <c r="S27" s="19" t="n"/>
      <c r="T27" s="19" t="n"/>
      <c r="U27" s="19" t="n"/>
      <c r="V27" s="19" t="n"/>
      <c r="W27" s="19" t="n"/>
      <c r="X27" s="19" t="n"/>
      <c r="Y27" s="19" t="n"/>
      <c r="Z27" s="19" t="n"/>
      <c r="AA27" s="19" t="n"/>
      <c r="AB27" s="19" t="n"/>
      <c r="AC27" s="19" t="n"/>
      <c r="AD27" s="20" t="n"/>
      <c r="AE27" s="48" t="n"/>
      <c r="AF27" s="48" t="n"/>
      <c r="AG27" s="48" t="n"/>
      <c r="AH27" s="48" t="n"/>
      <c r="AI27" s="48" t="n"/>
      <c r="AJ27" s="48" t="n"/>
      <c r="AK27" s="48" t="n"/>
      <c r="AL27" s="48" t="n"/>
      <c r="AM27" s="48" t="n"/>
      <c r="AN27" s="48" t="n"/>
      <c r="AO27" s="48" t="n"/>
      <c r="AP27" s="48" t="n"/>
      <c r="AQ27" s="48" t="n"/>
      <c r="AR27" s="49" t="n"/>
      <c r="AS27" s="48" t="n"/>
      <c r="AT27" s="48" t="n"/>
    </row>
    <row r="28">
      <c r="B28" s="17" t="n"/>
      <c r="C28" s="38" t="n"/>
      <c r="D28" s="51" t="n"/>
      <c r="E28" s="51" t="n"/>
      <c r="F28" s="51" t="n"/>
      <c r="G28" s="51" t="n"/>
      <c r="H28" s="51" t="n"/>
      <c r="I28" s="51" t="n"/>
      <c r="J28" s="51" t="n"/>
      <c r="K28" s="51" t="n"/>
      <c r="L28" s="51" t="n"/>
      <c r="M28" s="51" t="n"/>
      <c r="N28" s="51" t="n"/>
      <c r="O28" s="48" t="n"/>
      <c r="P28" s="48" t="n"/>
      <c r="Q28" s="48" t="n"/>
      <c r="R28" s="48" t="n"/>
      <c r="S28" s="48" t="n"/>
      <c r="T28" s="48" t="n"/>
      <c r="U28" s="48" t="n"/>
      <c r="V28" s="48" t="n"/>
      <c r="W28" s="48" t="n"/>
      <c r="X28" s="48" t="n"/>
      <c r="Y28" s="48" t="n"/>
      <c r="Z28" s="48" t="n"/>
      <c r="AA28" s="48" t="n"/>
      <c r="AB28" s="48" t="n"/>
      <c r="AC28" s="48" t="n"/>
      <c r="AD28" s="48" t="n"/>
      <c r="AE28" s="48" t="n"/>
      <c r="AF28" s="48" t="n"/>
      <c r="AG28" s="48" t="n"/>
      <c r="AH28" s="48" t="n"/>
      <c r="AI28" s="48" t="n"/>
      <c r="AJ28" s="48" t="n"/>
      <c r="AK28" s="48" t="n"/>
      <c r="AL28" s="48" t="n"/>
      <c r="AM28" s="48" t="n"/>
      <c r="AN28" s="48" t="n"/>
      <c r="AO28" s="48" t="n"/>
      <c r="AP28" s="48" t="n"/>
      <c r="AQ28" s="48" t="n"/>
      <c r="AR28" s="51" t="n"/>
      <c r="AS28" s="48" t="n"/>
      <c r="AT28" s="48" t="n"/>
    </row>
    <row r="29">
      <c r="B29" s="17" t="n"/>
      <c r="C29" s="38" t="n"/>
      <c r="D29" s="54" t="inlineStr">
        <is>
          <t>ENERGIA - Atual/Máxima</t>
        </is>
      </c>
      <c r="E29" s="19" t="n"/>
      <c r="F29" s="19" t="n"/>
      <c r="G29" s="19" t="n"/>
      <c r="H29" s="19" t="n"/>
      <c r="I29" s="19" t="n"/>
      <c r="J29" s="19" t="n"/>
      <c r="K29" s="19" t="n"/>
      <c r="L29" s="19" t="n"/>
      <c r="M29" s="19" t="n"/>
      <c r="N29" s="20" t="n"/>
      <c r="O29" s="48" t="n"/>
      <c r="P29" s="48" t="n"/>
      <c r="Q29" s="48" t="n"/>
      <c r="R29" s="48" t="n"/>
      <c r="S29" s="48" t="n"/>
      <c r="T29" s="48" t="n"/>
      <c r="U29" s="48" t="n"/>
      <c r="V29" s="48" t="n"/>
      <c r="W29" s="48" t="n"/>
      <c r="X29" s="48" t="n"/>
      <c r="Y29" s="48" t="n"/>
      <c r="Z29" s="48" t="n"/>
      <c r="AA29" s="48" t="n"/>
      <c r="AB29" s="48" t="n"/>
      <c r="AC29" s="48" t="n"/>
      <c r="AD29" s="48" t="n"/>
      <c r="AE29" s="48" t="n"/>
      <c r="AF29" s="52" t="inlineStr">
        <is>
          <t>TEMPORÁRIO</t>
        </is>
      </c>
      <c r="AG29" s="11" t="n"/>
      <c r="AH29" s="11" t="n"/>
      <c r="AI29" s="11" t="n"/>
      <c r="AJ29" s="11" t="n"/>
      <c r="AK29" s="12" t="n"/>
      <c r="AL29" s="55" t="n"/>
      <c r="AM29" s="75" t="inlineStr">
        <is>
          <t>± PERDA &amp;/ou GANHO</t>
        </is>
      </c>
      <c r="AN29" s="11" t="n"/>
      <c r="AO29" s="11" t="n"/>
      <c r="AP29" s="11" t="n"/>
      <c r="AQ29" s="11" t="n"/>
      <c r="AR29" s="12" t="n"/>
      <c r="AS29" s="48" t="n"/>
      <c r="AT29" s="48" t="n"/>
    </row>
    <row r="30" ht="27" customHeight="1">
      <c r="A30" s="8" t="n"/>
      <c r="B30" s="22" t="n"/>
      <c r="C30" s="38" t="n"/>
      <c r="D30" s="76">
        <f>J30</f>
        <v/>
      </c>
      <c r="E30" s="14" t="n"/>
      <c r="F30" s="14" t="n"/>
      <c r="G30" s="14" t="n"/>
      <c r="H30" s="15" t="n"/>
      <c r="I30" s="48" t="n"/>
      <c r="J30" s="77">
        <f>IFERROR(IF($D$11="","",VLOOKUP($D$11,DADOS!$N$5:$U$9,5,FALSE)*$AH$11),"")</f>
        <v/>
      </c>
      <c r="K30" s="14" t="n"/>
      <c r="L30" s="14" t="n"/>
      <c r="M30" s="14" t="n"/>
      <c r="N30" s="15" t="n"/>
      <c r="O30" s="48" t="n"/>
      <c r="P30" s="81">
        <f>IFERROR(__xludf.DUMMYFUNCTION("IFERROR(SPARKLINE($D$30,{""charttype"",""bar"";""max"",$J$30;""color1"",IF(N($J$30)=0,DADOS!$CZ$48,IF($D$30/$J$30&lt;=0.25,""#C2334D"",IF($D$30/$J$30&lt;=0.5,""#D89B3A"",DADOS!$CZ$48)))}),"""")"),"")</f>
        <v/>
      </c>
      <c r="Q30" s="14" t="n"/>
      <c r="R30" s="14" t="n"/>
      <c r="S30" s="14" t="n"/>
      <c r="T30" s="14" t="n"/>
      <c r="U30" s="14" t="n"/>
      <c r="V30" s="14" t="n"/>
      <c r="W30" s="14" t="n"/>
      <c r="X30" s="14" t="n"/>
      <c r="Y30" s="14" t="n"/>
      <c r="Z30" s="14" t="n"/>
      <c r="AA30" s="14" t="n"/>
      <c r="AB30" s="14" t="n"/>
      <c r="AC30" s="14" t="n"/>
      <c r="AD30" s="15" t="n"/>
      <c r="AE30" s="48" t="n"/>
      <c r="AF30" s="79" t="n">
        <v>0</v>
      </c>
      <c r="AG30" s="19" t="n"/>
      <c r="AH30" s="19" t="n"/>
      <c r="AI30" s="19" t="n"/>
      <c r="AJ30" s="19" t="n"/>
      <c r="AK30" s="20" t="n"/>
      <c r="AL30" s="48" t="n"/>
      <c r="AM30" s="80" t="n"/>
      <c r="AN30" s="11" t="n"/>
      <c r="AO30" s="11" t="n"/>
      <c r="AP30" s="11" t="n"/>
      <c r="AQ30" s="11" t="n"/>
      <c r="AR30" s="12" t="n"/>
      <c r="AS30" s="48" t="n"/>
      <c r="AT30" s="48" t="n"/>
    </row>
    <row r="31">
      <c r="A31" s="8" t="n"/>
      <c r="B31" s="22" t="n"/>
      <c r="C31" s="38" t="n"/>
      <c r="D31" s="18" t="n"/>
      <c r="E31" s="19" t="n"/>
      <c r="F31" s="19" t="n"/>
      <c r="G31" s="19" t="n"/>
      <c r="H31" s="20" t="n"/>
      <c r="I31" s="48" t="n"/>
      <c r="J31" s="18" t="n"/>
      <c r="K31" s="19" t="n"/>
      <c r="L31" s="19" t="n"/>
      <c r="M31" s="19" t="n"/>
      <c r="N31" s="20" t="n"/>
      <c r="O31" s="48" t="n"/>
      <c r="P31" s="18" t="n"/>
      <c r="Q31" s="19" t="n"/>
      <c r="R31" s="19" t="n"/>
      <c r="S31" s="19" t="n"/>
      <c r="T31" s="19" t="n"/>
      <c r="U31" s="19" t="n"/>
      <c r="V31" s="19" t="n"/>
      <c r="W31" s="19" t="n"/>
      <c r="X31" s="19" t="n"/>
      <c r="Y31" s="19" t="n"/>
      <c r="Z31" s="19" t="n"/>
      <c r="AA31" s="19" t="n"/>
      <c r="AB31" s="19" t="n"/>
      <c r="AC31" s="19" t="n"/>
      <c r="AD31" s="20" t="n"/>
      <c r="AE31" s="48" t="n"/>
      <c r="AF31" s="48" t="n"/>
      <c r="AG31" s="48" t="n"/>
      <c r="AH31" s="48" t="n"/>
      <c r="AI31" s="48" t="n"/>
      <c r="AJ31" s="48" t="n"/>
      <c r="AK31" s="48" t="n"/>
      <c r="AL31" s="48" t="n"/>
      <c r="AM31" s="48" t="n"/>
      <c r="AN31" s="48" t="n"/>
      <c r="AO31" s="48" t="n"/>
      <c r="AP31" s="48" t="n"/>
      <c r="AQ31" s="48" t="n"/>
      <c r="AR31" s="49" t="n"/>
      <c r="AS31" s="48" t="n"/>
      <c r="AT31" s="48" t="n"/>
    </row>
    <row r="32">
      <c r="A32" s="8" t="n"/>
      <c r="B32" s="22" t="n"/>
      <c r="C32" s="38" t="n"/>
      <c r="D32" s="51" t="n"/>
      <c r="E32" s="51" t="n"/>
      <c r="F32" s="51" t="n"/>
      <c r="G32" s="51" t="n"/>
      <c r="H32" s="51" t="n"/>
      <c r="I32" s="51" t="n"/>
      <c r="J32" s="51" t="n"/>
      <c r="K32" s="51" t="n"/>
      <c r="L32" s="51" t="n"/>
      <c r="M32" s="51" t="n"/>
      <c r="N32" s="51" t="n"/>
      <c r="O32" s="48" t="n"/>
      <c r="P32" s="48" t="n"/>
      <c r="Q32" s="48" t="n"/>
      <c r="R32" s="48" t="n"/>
      <c r="S32" s="48" t="n"/>
      <c r="T32" s="48" t="n"/>
      <c r="U32" s="48" t="n"/>
      <c r="V32" s="48" t="n"/>
      <c r="W32" s="48" t="n"/>
      <c r="X32" s="48" t="n"/>
      <c r="Y32" s="48" t="n"/>
      <c r="Z32" s="48" t="n"/>
      <c r="AA32" s="48" t="n"/>
      <c r="AB32" s="48" t="n"/>
      <c r="AC32" s="48" t="n"/>
      <c r="AD32" s="48" t="n"/>
      <c r="AE32" s="48" t="n"/>
      <c r="AF32" s="48" t="n"/>
      <c r="AG32" s="48" t="n"/>
      <c r="AH32" s="48" t="n"/>
      <c r="AI32" s="48" t="n"/>
      <c r="AJ32" s="48" t="n"/>
      <c r="AK32" s="48" t="n"/>
      <c r="AL32" s="48" t="n"/>
      <c r="AM32" s="48" t="n"/>
      <c r="AN32" s="48" t="n"/>
      <c r="AO32" s="48" t="n"/>
      <c r="AP32" s="48" t="n"/>
      <c r="AQ32" s="48" t="n"/>
      <c r="AR32" s="51" t="n"/>
      <c r="AS32" s="48" t="n"/>
      <c r="AT32" s="48" t="n"/>
    </row>
    <row r="33">
      <c r="A33" s="45" t="inlineStr">
        <is>
          <t>FICHA DE REGISTRO</t>
        </is>
      </c>
      <c r="B33" s="17" t="n"/>
      <c r="C33" s="38" t="n"/>
      <c r="D33" s="54" t="inlineStr">
        <is>
          <t>INTEGRIDADE - Atual/Máxima</t>
        </is>
      </c>
      <c r="E33" s="19" t="n"/>
      <c r="F33" s="19" t="n"/>
      <c r="G33" s="19" t="n"/>
      <c r="H33" s="19" t="n"/>
      <c r="I33" s="19" t="n"/>
      <c r="J33" s="19" t="n"/>
      <c r="K33" s="19" t="n"/>
      <c r="L33" s="19" t="n"/>
      <c r="M33" s="19" t="n"/>
      <c r="N33" s="20" t="n"/>
      <c r="O33" s="48" t="n"/>
      <c r="P33" s="48" t="n"/>
      <c r="Q33" s="48" t="n"/>
      <c r="R33" s="48" t="n"/>
      <c r="S33" s="48" t="n"/>
      <c r="T33" s="48" t="n"/>
      <c r="U33" s="48" t="n"/>
      <c r="V33" s="48" t="n"/>
      <c r="W33" s="48" t="n"/>
      <c r="X33" s="48" t="n"/>
      <c r="Y33" s="48" t="n"/>
      <c r="Z33" s="48" t="n"/>
      <c r="AA33" s="48" t="n"/>
      <c r="AB33" s="48" t="n"/>
      <c r="AC33" s="48" t="n"/>
      <c r="AD33" s="48" t="n"/>
      <c r="AE33" s="48" t="n"/>
      <c r="AF33" s="52" t="inlineStr">
        <is>
          <t>TEMPORÁRIO</t>
        </is>
      </c>
      <c r="AG33" s="11" t="n"/>
      <c r="AH33" s="11" t="n"/>
      <c r="AI33" s="11" t="n"/>
      <c r="AJ33" s="11" t="n"/>
      <c r="AK33" s="12" t="n"/>
      <c r="AL33" s="55" t="n"/>
      <c r="AM33" s="75" t="inlineStr">
        <is>
          <t>± PERDA &amp;/ou GANHO</t>
        </is>
      </c>
      <c r="AN33" s="11" t="n"/>
      <c r="AO33" s="11" t="n"/>
      <c r="AP33" s="11" t="n"/>
      <c r="AQ33" s="11" t="n"/>
      <c r="AR33" s="12" t="n"/>
      <c r="AS33" s="48" t="n"/>
      <c r="AT33" s="48" t="n"/>
    </row>
    <row r="34" ht="27" customHeight="1">
      <c r="B34" s="17" t="n"/>
      <c r="C34" s="38" t="n"/>
      <c r="D34" s="76">
        <f>J34</f>
        <v/>
      </c>
      <c r="E34" s="14" t="n"/>
      <c r="F34" s="14" t="n"/>
      <c r="G34" s="14" t="n"/>
      <c r="H34" s="15" t="n"/>
      <c r="I34" s="53" t="n"/>
      <c r="J34" s="82">
        <f>20+(AJ19+5)*($AH$11-1)</f>
        <v/>
      </c>
      <c r="K34" s="14" t="n"/>
      <c r="L34" s="14" t="n"/>
      <c r="M34" s="14" t="n"/>
      <c r="N34" s="15" t="n"/>
      <c r="O34" s="48" t="n"/>
      <c r="P34" s="81">
        <f>IFERROR(__xludf.DUMMYFUNCTION("IFERROR(SPARKLINE($D$34,{""charttype"",""bar"";""max"",$J$34;""color1"",IF(N($J$34)=0,DADOS!$CZ$48,IF($D$34/$J$34&lt;=0.25,""#C2334D"",IF($D$34/$J$34&lt;=0.5,""#D89B3A"",DADOS!$CZ$48)))}),"""")"),"")</f>
        <v/>
      </c>
      <c r="Q34" s="14" t="n"/>
      <c r="R34" s="14" t="n"/>
      <c r="S34" s="14" t="n"/>
      <c r="T34" s="14" t="n"/>
      <c r="U34" s="14" t="n"/>
      <c r="V34" s="14" t="n"/>
      <c r="W34" s="14" t="n"/>
      <c r="X34" s="14" t="n"/>
      <c r="Y34" s="14" t="n"/>
      <c r="Z34" s="14" t="n"/>
      <c r="AA34" s="14" t="n"/>
      <c r="AB34" s="14" t="n"/>
      <c r="AC34" s="14" t="n"/>
      <c r="AD34" s="15" t="n"/>
      <c r="AE34" s="55" t="n"/>
      <c r="AF34" s="79" t="n">
        <v>0</v>
      </c>
      <c r="AG34" s="19" t="n"/>
      <c r="AH34" s="19" t="n"/>
      <c r="AI34" s="19" t="n"/>
      <c r="AJ34" s="19" t="n"/>
      <c r="AK34" s="20" t="n"/>
      <c r="AL34" s="53" t="n"/>
      <c r="AM34" s="83" t="n"/>
      <c r="AR34" s="17" t="n"/>
      <c r="AS34" s="48" t="n"/>
      <c r="AT34" s="48" t="n"/>
    </row>
    <row r="35">
      <c r="B35" s="17" t="n"/>
      <c r="C35" s="38" t="n"/>
      <c r="D35" s="18" t="n"/>
      <c r="E35" s="19" t="n"/>
      <c r="F35" s="19" t="n"/>
      <c r="G35" s="19" t="n"/>
      <c r="H35" s="20" t="n"/>
      <c r="I35" s="53" t="n"/>
      <c r="J35" s="19" t="n"/>
      <c r="K35" s="19" t="n"/>
      <c r="L35" s="19" t="n"/>
      <c r="M35" s="19" t="n"/>
      <c r="N35" s="20" t="n"/>
      <c r="O35" s="48" t="n"/>
      <c r="P35" s="18" t="n"/>
      <c r="Q35" s="19" t="n"/>
      <c r="R35" s="19" t="n"/>
      <c r="S35" s="19" t="n"/>
      <c r="T35" s="19" t="n"/>
      <c r="U35" s="19" t="n"/>
      <c r="V35" s="19" t="n"/>
      <c r="W35" s="19" t="n"/>
      <c r="X35" s="19" t="n"/>
      <c r="Y35" s="19" t="n"/>
      <c r="Z35" s="19" t="n"/>
      <c r="AA35" s="19" t="n"/>
      <c r="AB35" s="19" t="n"/>
      <c r="AC35" s="19" t="n"/>
      <c r="AD35" s="20" t="n"/>
      <c r="AE35" s="48" t="n"/>
      <c r="AF35" s="49" t="n"/>
      <c r="AG35" s="49" t="n"/>
      <c r="AH35" s="49" t="n"/>
      <c r="AI35" s="49" t="n"/>
      <c r="AJ35" s="49" t="n"/>
      <c r="AK35" s="49" t="n"/>
      <c r="AL35" s="48" t="n"/>
      <c r="AM35" s="49" t="n"/>
      <c r="AN35" s="49" t="n"/>
      <c r="AO35" s="49" t="n"/>
      <c r="AP35" s="49" t="n"/>
      <c r="AQ35" s="49" t="n"/>
      <c r="AR35" s="49" t="n"/>
      <c r="AS35" s="48" t="n"/>
      <c r="AT35" s="48" t="n"/>
    </row>
    <row r="36">
      <c r="B36" s="17" t="n"/>
      <c r="C36" s="3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c r="AA36" s="48" t="n"/>
      <c r="AB36" s="48" t="n"/>
      <c r="AC36" s="48" t="n"/>
      <c r="AD36" s="48" t="n"/>
      <c r="AE36" s="48" t="n"/>
      <c r="AF36" s="48" t="n"/>
      <c r="AG36" s="48" t="n"/>
      <c r="AH36" s="48" t="n"/>
      <c r="AI36" s="48" t="n"/>
      <c r="AJ36" s="48" t="n"/>
      <c r="AK36" s="48" t="n"/>
      <c r="AL36" s="48" t="n"/>
      <c r="AM36" s="48" t="n"/>
      <c r="AN36" s="48" t="n"/>
      <c r="AO36" s="48" t="n"/>
      <c r="AP36" s="48" t="n"/>
      <c r="AQ36" s="48" t="n"/>
      <c r="AR36" s="48" t="n"/>
      <c r="AS36" s="48" t="n"/>
      <c r="AT36" s="48" t="n"/>
    </row>
    <row r="37">
      <c r="B37" s="17" t="n"/>
      <c r="C37" s="38" t="n"/>
      <c r="D37" s="84">
        <f>IF($D$34=""," ",IF($D$34&lt;=0,"Estágio 4 · Você não é mais você mesmo",IF($D$34&lt;=$J$34/4,"Estágio 3 · Desvantagem em ataques e TRs",IF($D$34&lt;=$J$34/2,"Estágio 2 · Metade do deslocamento, +1 PE por Classe",IF($D$34&lt;=$J$34*3/4,"Estágio 1 · Desvantagem em perícias","Alma Inteira")))))</f>
        <v/>
      </c>
      <c r="E37" s="11" t="n"/>
      <c r="F37" s="11" t="n"/>
      <c r="G37" s="11" t="n"/>
      <c r="H37" s="11" t="n"/>
      <c r="I37" s="11" t="n"/>
      <c r="J37" s="11" t="n"/>
      <c r="K37" s="11" t="n"/>
      <c r="L37" s="11" t="n"/>
      <c r="M37" s="11" t="n"/>
      <c r="N37" s="11" t="n"/>
      <c r="O37" s="11" t="n"/>
      <c r="P37" s="11" t="n"/>
      <c r="Q37" s="11" t="n"/>
      <c r="R37" s="11" t="n"/>
      <c r="S37" s="11" t="n"/>
      <c r="T37" s="11"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2" t="n"/>
    </row>
    <row r="38">
      <c r="B38" s="17" t="n"/>
      <c r="C38" s="3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c r="AA38" s="48" t="n"/>
      <c r="AB38" s="48" t="n"/>
      <c r="AC38" s="48" t="n"/>
      <c r="AD38" s="48" t="n"/>
      <c r="AE38" s="48" t="n"/>
      <c r="AF38" s="48" t="n"/>
      <c r="AG38" s="48" t="n"/>
      <c r="AH38" s="48" t="n"/>
      <c r="AI38" s="48" t="n"/>
      <c r="AJ38" s="48" t="n"/>
      <c r="AK38" s="48" t="n"/>
      <c r="AL38" s="48" t="n"/>
      <c r="AM38" s="48" t="n"/>
      <c r="AN38" s="48" t="n"/>
      <c r="AO38" s="48" t="n"/>
      <c r="AP38" s="48" t="n"/>
      <c r="AQ38" s="48" t="n"/>
      <c r="AR38" s="48" t="n"/>
      <c r="AS38" s="48" t="n"/>
      <c r="AT38" s="48" t="n"/>
    </row>
    <row r="39">
      <c r="B39" s="17" t="n"/>
      <c r="C39" s="3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52" t="inlineStr">
        <is>
          <t>BLOQUEAR</t>
        </is>
      </c>
      <c r="AA39" s="11" t="n"/>
      <c r="AB39" s="11" t="n"/>
      <c r="AC39" s="11" t="n"/>
      <c r="AD39" s="11" t="n"/>
      <c r="AE39" s="11" t="n"/>
      <c r="AF39" s="11" t="n"/>
      <c r="AG39" s="11" t="n"/>
      <c r="AH39" s="11" t="n"/>
      <c r="AI39" s="12" t="n"/>
      <c r="AJ39" s="48" t="n"/>
      <c r="AK39" s="66" t="inlineStr">
        <is>
          <t>Marco Escolhido</t>
        </is>
      </c>
      <c r="AL39" s="11" t="n"/>
      <c r="AM39" s="11" t="n"/>
      <c r="AN39" s="11" t="n"/>
      <c r="AO39" s="66" t="inlineStr">
        <is>
          <t>Refino</t>
        </is>
      </c>
      <c r="AP39" s="11" t="n"/>
      <c r="AQ39" s="66" t="inlineStr">
        <is>
          <t>Corpo</t>
        </is>
      </c>
      <c r="AR39" s="11" t="n"/>
      <c r="AS39" s="62" t="inlineStr">
        <is>
          <t>Leque</t>
        </is>
      </c>
      <c r="AT39" s="12" t="n"/>
    </row>
    <row r="40" ht="27" customHeight="1">
      <c r="B40" s="17" t="n"/>
      <c r="C40" s="38" t="n"/>
      <c r="D40" s="63" t="n">
        <v>3</v>
      </c>
      <c r="E40" s="14" t="n"/>
      <c r="F40" s="15" t="n"/>
      <c r="G40" s="85" t="inlineStr">
        <is>
          <t>REGISTRO</t>
        </is>
      </c>
      <c r="H40" s="11" t="n"/>
      <c r="I40" s="11" t="n"/>
      <c r="J40" s="11" t="n"/>
      <c r="K40" s="11" t="n"/>
      <c r="L40" s="11" t="n"/>
      <c r="M40" s="11" t="n"/>
      <c r="N40" s="11" t="n"/>
      <c r="O40" s="11" t="n"/>
      <c r="P40" s="11" t="n"/>
      <c r="Q40" s="11" t="n"/>
      <c r="R40" s="11" t="n"/>
      <c r="S40" s="11" t="n"/>
      <c r="T40" s="11" t="n"/>
      <c r="U40" s="11" t="n"/>
      <c r="V40" s="11" t="n"/>
      <c r="W40" s="11" t="n"/>
      <c r="X40" s="12" t="n"/>
      <c r="Y40" s="48" t="n"/>
      <c r="Z40" s="80">
        <f>"2d10 + " &amp; D43-11</f>
        <v/>
      </c>
      <c r="AA40" s="11" t="n"/>
      <c r="AB40" s="11" t="n"/>
      <c r="AC40" s="11" t="n"/>
      <c r="AD40" s="11" t="n"/>
      <c r="AE40" s="11" t="n"/>
      <c r="AF40" s="11" t="n"/>
      <c r="AG40" s="11" t="n"/>
      <c r="AH40" s="11" t="n"/>
      <c r="AI40" s="12" t="n"/>
      <c r="AJ40" s="67" t="n"/>
      <c r="AK40" s="86">
        <f>IF(DADOS!$AK$12&gt;DADOS!$AK$5,DADOS!$AK$12-DADOS!$AK$5&amp;" a mais",IF(DADOS!$AK$5=0,"Escolha 1 a cada 4 Nv",DADOS!$AK$5-DADOS!$AK$12&amp;" de "&amp;DADOS!$AK$5&amp;" para escolher"))</f>
        <v/>
      </c>
      <c r="AL40" s="11" t="n"/>
      <c r="AM40" s="11" t="n"/>
      <c r="AN40" s="12" t="n"/>
      <c r="AO40" s="87" t="n">
        <v>0</v>
      </c>
      <c r="AP40" s="11" t="n"/>
      <c r="AQ40" s="87" t="n">
        <v>0</v>
      </c>
      <c r="AR40" s="11" t="n"/>
      <c r="AS40" s="65" t="n">
        <v>0</v>
      </c>
      <c r="AT40" s="12" t="n"/>
    </row>
    <row r="41">
      <c r="B41" s="17" t="n"/>
      <c r="C41" s="38" t="n"/>
      <c r="D41" s="18" t="n"/>
      <c r="E41" s="19" t="n"/>
      <c r="F41" s="20"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c r="AA41" s="48" t="n"/>
      <c r="AB41" s="48" t="n"/>
      <c r="AC41" s="48" t="n"/>
      <c r="AD41" s="48" t="n"/>
      <c r="AE41" s="48" t="n"/>
      <c r="AF41" s="48" t="n"/>
      <c r="AG41" s="48" t="n"/>
      <c r="AH41" s="48" t="n"/>
      <c r="AI41" s="48" t="n"/>
      <c r="AJ41" s="48" t="n"/>
      <c r="AK41" s="48" t="n"/>
      <c r="AL41" s="48" t="n"/>
      <c r="AM41" s="48" t="n"/>
      <c r="AN41" s="48" t="n"/>
      <c r="AO41" s="48" t="n"/>
      <c r="AP41" s="48" t="n"/>
      <c r="AQ41" s="48" t="n"/>
      <c r="AR41" s="48" t="n"/>
      <c r="AS41" s="48" t="n"/>
      <c r="AT41" s="48" t="n"/>
    </row>
    <row r="42">
      <c r="B42" s="17" t="n"/>
      <c r="C42" s="38" t="n"/>
      <c r="D42" s="52" t="inlineStr">
        <is>
          <t>DEFESA</t>
        </is>
      </c>
      <c r="E42" s="11" t="n"/>
      <c r="F42" s="11" t="n"/>
      <c r="G42" s="11" t="n"/>
      <c r="H42" s="11" t="n"/>
      <c r="I42" s="11" t="n"/>
      <c r="J42" s="11" t="n"/>
      <c r="K42" s="12" t="n"/>
      <c r="L42" s="88" t="inlineStr">
        <is>
          <t>Buff/Debuff</t>
        </is>
      </c>
      <c r="M42" s="12" t="n"/>
      <c r="N42" s="48" t="n"/>
      <c r="O42" s="52" t="inlineStr">
        <is>
          <t>PROTEÇÃO</t>
        </is>
      </c>
      <c r="P42" s="11" t="n"/>
      <c r="Q42" s="11" t="n"/>
      <c r="R42" s="11" t="n"/>
      <c r="S42" s="11" t="n"/>
      <c r="T42" s="11" t="n"/>
      <c r="U42" s="11" t="n"/>
      <c r="V42" s="11" t="n"/>
      <c r="W42" s="11" t="n"/>
      <c r="X42" s="12" t="n"/>
      <c r="Y42" s="48" t="n"/>
      <c r="Z42" s="52" t="inlineStr">
        <is>
          <t>EQUIPAMENTO</t>
        </is>
      </c>
      <c r="AA42" s="11" t="n"/>
      <c r="AB42" s="11" t="n"/>
      <c r="AC42" s="11" t="n"/>
      <c r="AD42" s="11" t="n"/>
      <c r="AE42" s="11" t="n"/>
      <c r="AF42" s="11" t="n"/>
      <c r="AG42" s="11" t="n"/>
      <c r="AH42" s="11" t="n"/>
      <c r="AI42" s="12" t="n"/>
      <c r="AJ42" s="48" t="n"/>
      <c r="AK42" s="52" t="inlineStr">
        <is>
          <t>INICIATIVA</t>
        </is>
      </c>
      <c r="AL42" s="11" t="n"/>
      <c r="AM42" s="11" t="n"/>
      <c r="AN42" s="11" t="n"/>
      <c r="AO42" s="11" t="n"/>
      <c r="AP42" s="11" t="n"/>
      <c r="AQ42" s="11" t="n"/>
      <c r="AR42" s="12" t="n"/>
      <c r="AS42" s="88" t="inlineStr">
        <is>
          <t>Buff/Debuff</t>
        </is>
      </c>
      <c r="AT42" s="12" t="n"/>
    </row>
    <row r="43" ht="21" customHeight="1">
      <c r="B43" s="17" t="n"/>
      <c r="C43" s="38" t="n"/>
      <c r="D43" s="89">
        <f>10+IF($Z$43="",$L$19,MIN($L$19,IFERROR(VALUE(VLOOKUP($Z$43,DADOS!$AE$5:$AH$31,3,FALSE)&amp;""),$L$19)))+$O$43+IFERROR(VALUE($L$43&amp;""),0)</f>
        <v/>
      </c>
      <c r="E43" s="11" t="n"/>
      <c r="F43" s="11" t="n"/>
      <c r="G43" s="11" t="n"/>
      <c r="H43" s="11" t="n"/>
      <c r="I43" s="11" t="n"/>
      <c r="J43" s="11" t="n"/>
      <c r="K43" s="12" t="n"/>
      <c r="L43" s="90" t="n">
        <v>0</v>
      </c>
      <c r="M43" s="12" t="n"/>
      <c r="N43" s="48" t="n"/>
      <c r="O43" s="89">
        <f>IF($Z$43="",FLOOR(MIN(10,$O$57+MIN($O$57-1,IFERROR(VALUE($AO$40&amp;""),0)))/3,1)+1,IF(VLOOKUP($Z$43,DADOS!$AE$5:$AH$31,4,FALSE)="sim",0,FLOOR(MIN(10,$O$57+MIN($O$57-1,IFERROR(VALUE($AO$40&amp;""),0)))/3,1)+1)+VLOOKUP($Z$43,DADOS!$AE$5:$AH$31,2,FALSE))</f>
        <v/>
      </c>
      <c r="P43" s="11" t="n"/>
      <c r="Q43" s="11" t="n"/>
      <c r="R43" s="11" t="n"/>
      <c r="S43" s="11" t="n"/>
      <c r="T43" s="11" t="n"/>
      <c r="U43" s="11" t="n"/>
      <c r="V43" s="11" t="n"/>
      <c r="W43" s="11" t="n"/>
      <c r="X43" s="12" t="n"/>
      <c r="Y43" s="48" t="n"/>
      <c r="Z43" s="80">
        <f>IF(DADOS!$CZ$27=1,'FICHA PESSOAL'!$AH$41&amp;IF(DADOS!$CZ$19=1," + "&amp;'FICHA PESSOAL'!$S$41,""),IF(DADOS!$CZ$19=1,'FICHA PESSOAL'!$S$41,""))</f>
        <v/>
      </c>
      <c r="AA43" s="11" t="n"/>
      <c r="AB43" s="11" t="n"/>
      <c r="AC43" s="11" t="n"/>
      <c r="AD43" s="11" t="n"/>
      <c r="AE43" s="11" t="n"/>
      <c r="AF43" s="11" t="n"/>
      <c r="AG43" s="11" t="n"/>
      <c r="AH43" s="11" t="n"/>
      <c r="AI43" s="12" t="n"/>
      <c r="AJ43" s="48" t="n"/>
      <c r="AK43" s="89">
        <f>"d20 + "&amp;($L$19+IFERROR(VALUE($AS$43&amp;""),0))</f>
        <v/>
      </c>
      <c r="AL43" s="11" t="n"/>
      <c r="AM43" s="11" t="n"/>
      <c r="AN43" s="11" t="n"/>
      <c r="AO43" s="11" t="n"/>
      <c r="AP43" s="11" t="n"/>
      <c r="AQ43" s="11" t="n"/>
      <c r="AR43" s="12" t="n"/>
      <c r="AS43" s="90" t="n">
        <v>0</v>
      </c>
      <c r="AT43" s="12" t="n"/>
    </row>
    <row r="44">
      <c r="B44" s="17" t="n"/>
      <c r="C44" s="3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c r="AA44" s="48" t="n"/>
      <c r="AB44" s="48" t="n"/>
      <c r="AC44" s="48" t="n"/>
      <c r="AD44" s="48" t="n"/>
      <c r="AE44" s="48" t="n"/>
      <c r="AF44" s="48" t="n"/>
      <c r="AG44" s="48" t="n"/>
      <c r="AH44" s="48" t="n"/>
      <c r="AI44" s="48" t="n"/>
      <c r="AJ44" s="48" t="n"/>
      <c r="AK44" s="48" t="n"/>
      <c r="AL44" s="48" t="n"/>
      <c r="AM44" s="48" t="n"/>
      <c r="AN44" s="48" t="n"/>
      <c r="AO44" s="48" t="n"/>
      <c r="AP44" s="48" t="n"/>
      <c r="AQ44" s="48" t="n"/>
      <c r="AR44" s="48" t="n"/>
      <c r="AS44" s="48" t="n"/>
      <c r="AT44" s="48" t="n"/>
    </row>
    <row r="45">
      <c r="B45" s="17" t="n"/>
      <c r="C45" s="3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c r="AA45" s="48" t="n"/>
      <c r="AB45" s="48" t="n"/>
      <c r="AC45" s="48" t="n"/>
      <c r="AD45" s="48" t="n"/>
      <c r="AE45" s="48" t="n"/>
      <c r="AF45" s="48" t="n"/>
      <c r="AG45" s="48" t="n"/>
      <c r="AH45" s="48" t="n"/>
      <c r="AI45" s="48" t="n"/>
      <c r="AJ45" s="48" t="n"/>
      <c r="AK45" s="48" t="n"/>
      <c r="AL45" s="48" t="n"/>
      <c r="AM45" s="48" t="n"/>
      <c r="AN45" s="48" t="n"/>
      <c r="AO45" s="48" t="n"/>
      <c r="AP45" s="48" t="n"/>
      <c r="AQ45" s="48" t="n"/>
      <c r="AR45" s="48" t="n"/>
      <c r="AS45" s="48" t="n"/>
      <c r="AT45" s="48" t="n"/>
    </row>
    <row r="46">
      <c r="B46" s="17" t="n"/>
      <c r="C46" s="38" t="n"/>
      <c r="D46" s="52" t="inlineStr">
        <is>
          <t>CD DE FEITIÇO</t>
        </is>
      </c>
      <c r="E46" s="11" t="n"/>
      <c r="F46" s="11" t="n"/>
      <c r="G46" s="11" t="n"/>
      <c r="H46" s="11" t="n"/>
      <c r="I46" s="11" t="n"/>
      <c r="J46" s="11" t="n"/>
      <c r="K46" s="12" t="n"/>
      <c r="L46" s="88" t="inlineStr">
        <is>
          <t>Buff/Debuff</t>
        </is>
      </c>
      <c r="M46" s="12" t="n"/>
      <c r="N46" s="48" t="n"/>
      <c r="O46" s="52" t="inlineStr">
        <is>
          <t>CONJURAÇÃO</t>
        </is>
      </c>
      <c r="P46" s="11" t="n"/>
      <c r="Q46" s="11" t="n"/>
      <c r="R46" s="11" t="n"/>
      <c r="S46" s="11" t="n"/>
      <c r="T46" s="11" t="n"/>
      <c r="U46" s="11" t="n"/>
      <c r="V46" s="12" t="n"/>
      <c r="W46" s="88" t="inlineStr">
        <is>
          <t>Buff/Debuff</t>
        </is>
      </c>
      <c r="X46" s="12" t="n"/>
      <c r="Y46" s="48" t="n"/>
      <c r="Z46" s="52" t="inlineStr">
        <is>
          <t>CORPO A CORPO</t>
        </is>
      </c>
      <c r="AA46" s="11" t="n"/>
      <c r="AB46" s="11" t="n"/>
      <c r="AC46" s="11" t="n"/>
      <c r="AD46" s="11" t="n"/>
      <c r="AE46" s="11" t="n"/>
      <c r="AF46" s="11" t="n"/>
      <c r="AG46" s="12" t="n"/>
      <c r="AH46" s="88" t="inlineStr">
        <is>
          <t>Buff/Debuff</t>
        </is>
      </c>
      <c r="AI46" s="12" t="n"/>
      <c r="AJ46" s="48" t="n"/>
      <c r="AK46" s="52" t="inlineStr">
        <is>
          <t>À DISTÂNCIA</t>
        </is>
      </c>
      <c r="AL46" s="11" t="n"/>
      <c r="AM46" s="11" t="n"/>
      <c r="AN46" s="11" t="n"/>
      <c r="AO46" s="11" t="n"/>
      <c r="AP46" s="11" t="n"/>
      <c r="AQ46" s="11" t="n"/>
      <c r="AR46" s="12" t="n"/>
      <c r="AS46" s="88" t="inlineStr">
        <is>
          <t>Buff/Debuff</t>
        </is>
      </c>
      <c r="AT46" s="12" t="n"/>
    </row>
    <row r="47" ht="21" customHeight="1">
      <c r="B47" s="17" t="n"/>
      <c r="C47" s="38" t="n"/>
      <c r="D47" s="89">
        <f>8+D51+IFS(Z51="FORÇA",$D$19, Z51="DESTREZA",$L$19, Z51="CONSTITUIÇÃO",$T$19, Z51="INTELIGÊNCIA",$AB$19, Z51="ESSÊNCIA",$AJ$19)+IFERROR(VALUE($L$47&amp;""),0)</f>
        <v/>
      </c>
      <c r="E47" s="11" t="n"/>
      <c r="F47" s="11" t="n"/>
      <c r="G47" s="11" t="n"/>
      <c r="H47" s="11" t="n"/>
      <c r="I47" s="11" t="n"/>
      <c r="J47" s="11" t="n"/>
      <c r="K47" s="12" t="n"/>
      <c r="L47" s="90" t="n">
        <v>0</v>
      </c>
      <c r="M47" s="12" t="n"/>
      <c r="N47" s="48" t="n"/>
      <c r="O47" s="89">
        <f>"d20 + "&amp;(D51+IFS(Z51="FORÇA",$D$19, Z51="DESTREZA",$L$19, Z51="CONSTITUIÇÃO",$T$19, Z51="INTELIGÊNCIA",$AB$19, Z51="ESSÊNCIA",$AJ$19)+IFERROR(VALUE($W$47&amp;""),0))</f>
        <v/>
      </c>
      <c r="P47" s="11" t="n"/>
      <c r="Q47" s="11" t="n"/>
      <c r="R47" s="11" t="n"/>
      <c r="S47" s="11" t="n"/>
      <c r="T47" s="11" t="n"/>
      <c r="U47" s="11" t="n"/>
      <c r="V47" s="12" t="n"/>
      <c r="W47" s="90" t="n">
        <v>0</v>
      </c>
      <c r="X47" s="12" t="n"/>
      <c r="Y47" s="48" t="n"/>
      <c r="Z47" s="89">
        <f>"d20 + "&amp;(D51+IFS(AK51="FORÇA",$D$19, AK51="DESTREZA",$L$19, AK51="CONSTITUIÇÃO",$T$19, AK51="INTELIGÊNCIA",$AB$19, AK51="ESSÊNCIA",$AJ$19)+IFERROR(VALUE($AH$47&amp;""),0))</f>
        <v/>
      </c>
      <c r="AA47" s="11" t="n"/>
      <c r="AB47" s="11" t="n"/>
      <c r="AC47" s="11" t="n"/>
      <c r="AD47" s="11" t="n"/>
      <c r="AE47" s="11" t="n"/>
      <c r="AF47" s="11" t="n"/>
      <c r="AG47" s="12" t="n"/>
      <c r="AH47" s="90" t="n">
        <v>0</v>
      </c>
      <c r="AI47" s="12" t="n"/>
      <c r="AJ47" s="48" t="n"/>
      <c r="AK47" s="89">
        <f>"d20 + "&amp;(D51+IFS(AE54="FORÇA",$D$19, AE54="DESTREZA",$L$19, AE54="CONSTITUIÇÃO",$T$19, AE54="INTELIGÊNCIA",$AB$19, AE54="ESSÊNCIA",$AJ$19)+IFERROR(VALUE($AS$47&amp;""),0))</f>
        <v/>
      </c>
      <c r="AL47" s="11" t="n"/>
      <c r="AM47" s="11" t="n"/>
      <c r="AN47" s="11" t="n"/>
      <c r="AO47" s="11" t="n"/>
      <c r="AP47" s="11" t="n"/>
      <c r="AQ47" s="11" t="n"/>
      <c r="AR47" s="12" t="n"/>
      <c r="AS47" s="90" t="n">
        <v>0</v>
      </c>
      <c r="AT47" s="12" t="n"/>
    </row>
    <row r="48">
      <c r="B48" s="17" t="n"/>
      <c r="C48" s="3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c r="AA48" s="48" t="n"/>
      <c r="AB48" s="48" t="n"/>
      <c r="AC48" s="48" t="n"/>
      <c r="AD48" s="48" t="n"/>
      <c r="AE48" s="48" t="n"/>
      <c r="AF48" s="48" t="n"/>
      <c r="AG48" s="48" t="n"/>
      <c r="AH48" s="48" t="n"/>
      <c r="AI48" s="48" t="n"/>
      <c r="AJ48" s="48" t="n"/>
      <c r="AK48" s="48" t="n"/>
      <c r="AL48" s="48" t="n"/>
      <c r="AM48" s="48" t="n"/>
      <c r="AN48" s="48" t="n"/>
      <c r="AO48" s="48" t="n"/>
      <c r="AP48" s="48" t="n"/>
      <c r="AQ48" s="48" t="n"/>
      <c r="AR48" s="48" t="n"/>
      <c r="AS48" s="48" t="n"/>
      <c r="AT48" s="48" t="n"/>
    </row>
    <row r="49">
      <c r="B49" s="17" t="n"/>
      <c r="C49" s="3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c r="AA49" s="48" t="n"/>
      <c r="AB49" s="48" t="n"/>
      <c r="AC49" s="48" t="n"/>
      <c r="AD49" s="48" t="n"/>
      <c r="AE49" s="48" t="n"/>
      <c r="AF49" s="48" t="n"/>
      <c r="AG49" s="48" t="n"/>
      <c r="AH49" s="48" t="n"/>
      <c r="AI49" s="48" t="n"/>
      <c r="AJ49" s="48" t="n"/>
      <c r="AK49" s="48" t="n"/>
      <c r="AL49" s="48" t="n"/>
      <c r="AM49" s="48" t="n"/>
      <c r="AN49" s="48" t="n"/>
      <c r="AO49" s="48" t="n"/>
      <c r="AP49" s="48" t="n"/>
      <c r="AQ49" s="48" t="n"/>
      <c r="AR49" s="48" t="n"/>
      <c r="AS49" s="48" t="n"/>
      <c r="AT49" s="48" t="n"/>
    </row>
    <row r="50">
      <c r="B50" s="17" t="n"/>
      <c r="C50" s="38" t="n"/>
      <c r="D50" s="52" t="inlineStr">
        <is>
          <t>MAESTRIA</t>
        </is>
      </c>
      <c r="E50" s="11" t="n"/>
      <c r="F50" s="11" t="n"/>
      <c r="G50" s="11" t="n"/>
      <c r="H50" s="11" t="n"/>
      <c r="I50" s="11" t="n"/>
      <c r="J50" s="11" t="n"/>
      <c r="K50" s="11" t="n"/>
      <c r="L50" s="11" t="n"/>
      <c r="M50" s="12" t="n"/>
      <c r="N50" s="48" t="n"/>
      <c r="O50" s="52" t="inlineStr">
        <is>
          <t>DESLOCAMENTO</t>
        </is>
      </c>
      <c r="P50" s="11" t="n"/>
      <c r="Q50" s="11" t="n"/>
      <c r="R50" s="11" t="n"/>
      <c r="S50" s="11" t="n"/>
      <c r="T50" s="11" t="n"/>
      <c r="U50" s="11" t="n"/>
      <c r="V50" s="12" t="n"/>
      <c r="W50" s="88" t="inlineStr">
        <is>
          <t>Buff/Debuff</t>
        </is>
      </c>
      <c r="X50" s="12" t="n"/>
      <c r="Y50" s="48" t="n"/>
      <c r="Z50" s="52" t="inlineStr">
        <is>
          <t xml:space="preserve">ATRIBUTO DE CONJURAÇÃO </t>
        </is>
      </c>
      <c r="AA50" s="11" t="n"/>
      <c r="AB50" s="11" t="n"/>
      <c r="AC50" s="11" t="n"/>
      <c r="AD50" s="11" t="n"/>
      <c r="AE50" s="11" t="n"/>
      <c r="AF50" s="11" t="n"/>
      <c r="AG50" s="11" t="n"/>
      <c r="AH50" s="11" t="n"/>
      <c r="AI50" s="12" t="n"/>
      <c r="AJ50" s="48" t="n"/>
      <c r="AK50" s="52" t="inlineStr">
        <is>
          <t>ATRIBUTO DE ATAQUE - CORPO A CORPO</t>
        </is>
      </c>
      <c r="AL50" s="11" t="n"/>
      <c r="AM50" s="11" t="n"/>
      <c r="AN50" s="11" t="n"/>
      <c r="AO50" s="11" t="n"/>
      <c r="AP50" s="11" t="n"/>
      <c r="AQ50" s="11" t="n"/>
      <c r="AR50" s="11" t="n"/>
      <c r="AS50" s="11" t="n"/>
      <c r="AT50" s="12" t="n"/>
    </row>
    <row r="51" ht="21" customHeight="1">
      <c r="B51" s="17" t="n"/>
      <c r="C51" s="38" t="n"/>
      <c r="D51" s="89">
        <f>(1+COUNTIF(DADOS!$X$5:$X$7,"&lt;="&amp;$AH$11))</f>
        <v/>
      </c>
      <c r="E51" s="11" t="n"/>
      <c r="F51" s="11" t="n"/>
      <c r="G51" s="11" t="n"/>
      <c r="H51" s="11" t="n"/>
      <c r="I51" s="11" t="n"/>
      <c r="J51" s="11" t="n"/>
      <c r="K51" s="11" t="n"/>
      <c r="L51" s="11" t="n"/>
      <c r="M51" s="12" t="n"/>
      <c r="N51" s="48" t="n"/>
      <c r="O51" s="89">
        <f>((9+IFERROR(VALUE($W$51&amp;""),0))/IF(DADOS!$CZ$43=1,2,1))&amp;" m"</f>
        <v/>
      </c>
      <c r="P51" s="11" t="n"/>
      <c r="Q51" s="11" t="n"/>
      <c r="R51" s="11" t="n"/>
      <c r="S51" s="11" t="n"/>
      <c r="T51" s="11" t="n"/>
      <c r="U51" s="11" t="n"/>
      <c r="V51" s="12" t="n"/>
      <c r="W51" s="90" t="n">
        <v>0</v>
      </c>
      <c r="X51" s="12" t="n"/>
      <c r="Y51" s="38" t="n"/>
      <c r="Z51" s="89" t="inlineStr">
        <is>
          <t>ESSÊNCIA</t>
        </is>
      </c>
      <c r="AA51" s="11" t="n"/>
      <c r="AB51" s="11" t="n"/>
      <c r="AC51" s="11" t="n"/>
      <c r="AD51" s="11" t="n"/>
      <c r="AE51" s="11" t="n"/>
      <c r="AF51" s="11" t="n"/>
      <c r="AG51" s="11" t="n"/>
      <c r="AH51" s="11" t="n"/>
      <c r="AI51" s="12" t="n"/>
      <c r="AJ51" s="48" t="n"/>
      <c r="AK51" s="89" t="inlineStr">
        <is>
          <t>FORÇA</t>
        </is>
      </c>
      <c r="AL51" s="11" t="n"/>
      <c r="AM51" s="11" t="n"/>
      <c r="AN51" s="11" t="n"/>
      <c r="AO51" s="11" t="n"/>
      <c r="AP51" s="11" t="n"/>
      <c r="AQ51" s="11" t="n"/>
      <c r="AR51" s="11" t="n"/>
      <c r="AS51" s="11" t="n"/>
      <c r="AT51" s="12" t="n"/>
    </row>
    <row r="52">
      <c r="A52" s="8" t="n"/>
      <c r="B52" s="22" t="n"/>
      <c r="C52" s="3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38" t="n"/>
      <c r="Z52" s="48" t="n"/>
      <c r="AA52" s="48" t="n"/>
      <c r="AB52" s="48" t="n"/>
      <c r="AC52" s="48" t="n"/>
      <c r="AD52" s="48" t="n"/>
      <c r="AE52" s="48" t="n"/>
      <c r="AF52" s="48" t="n"/>
      <c r="AG52" s="48" t="n"/>
      <c r="AH52" s="48" t="n"/>
      <c r="AI52" s="48" t="n"/>
      <c r="AJ52" s="48" t="n"/>
      <c r="AK52" s="48" t="n"/>
      <c r="AL52" s="48" t="n"/>
      <c r="AM52" s="48" t="n"/>
      <c r="AN52" s="48" t="n"/>
      <c r="AO52" s="48" t="n"/>
      <c r="AP52" s="48" t="n"/>
      <c r="AQ52" s="48" t="n"/>
      <c r="AR52" s="48" t="n"/>
      <c r="AS52" s="48" t="n"/>
      <c r="AT52" s="48" t="n"/>
    </row>
    <row r="53">
      <c r="A53" s="8" t="n"/>
      <c r="B53" s="22" t="n"/>
      <c r="C53" s="3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38" t="n"/>
      <c r="Z53" s="48" t="n"/>
      <c r="AA53" s="48" t="n"/>
      <c r="AB53" s="48" t="n"/>
      <c r="AC53" s="48" t="n"/>
      <c r="AD53" s="48" t="n"/>
      <c r="AE53" s="52" t="inlineStr">
        <is>
          <t xml:space="preserve">ATRIBUTO DE ATAQUE - À DISTÂNCIA </t>
        </is>
      </c>
      <c r="AF53" s="11" t="n"/>
      <c r="AG53" s="11" t="n"/>
      <c r="AH53" s="11" t="n"/>
      <c r="AI53" s="11" t="n"/>
      <c r="AJ53" s="11" t="n"/>
      <c r="AK53" s="11" t="n"/>
      <c r="AL53" s="11" t="n"/>
      <c r="AM53" s="11" t="n"/>
      <c r="AN53" s="11" t="n"/>
      <c r="AO53" s="12" t="n"/>
      <c r="AP53" s="48" t="n"/>
      <c r="AQ53" s="48" t="n"/>
      <c r="AR53" s="48" t="n"/>
      <c r="AS53" s="48" t="n"/>
      <c r="AT53" s="48" t="n"/>
    </row>
    <row r="54" ht="27" customHeight="1">
      <c r="A54" s="8" t="n"/>
      <c r="B54" s="22" t="n"/>
      <c r="C54" s="38" t="n"/>
      <c r="D54" s="63" t="n">
        <v>4</v>
      </c>
      <c r="E54" s="14" t="n"/>
      <c r="F54" s="15" t="n"/>
      <c r="G54" s="85" t="inlineStr">
        <is>
          <t>PROGRESSÃO</t>
        </is>
      </c>
      <c r="H54" s="11" t="n"/>
      <c r="I54" s="11" t="n"/>
      <c r="J54" s="11" t="n"/>
      <c r="K54" s="11" t="n"/>
      <c r="L54" s="11" t="n"/>
      <c r="M54" s="11" t="n"/>
      <c r="N54" s="11" t="n"/>
      <c r="O54" s="11" t="n"/>
      <c r="P54" s="11" t="n"/>
      <c r="Q54" s="11" t="n"/>
      <c r="R54" s="11" t="n"/>
      <c r="S54" s="11" t="n"/>
      <c r="T54" s="11" t="n"/>
      <c r="U54" s="11" t="n"/>
      <c r="V54" s="11" t="n"/>
      <c r="W54" s="11" t="n"/>
      <c r="X54" s="12" t="n"/>
      <c r="Y54" s="38" t="n"/>
      <c r="Z54" s="48" t="n"/>
      <c r="AA54" s="48" t="n"/>
      <c r="AB54" s="48" t="n"/>
      <c r="AC54" s="48" t="n"/>
      <c r="AD54" s="48" t="n"/>
      <c r="AE54" s="89" t="inlineStr">
        <is>
          <t>DESTREZA</t>
        </is>
      </c>
      <c r="AF54" s="11" t="n"/>
      <c r="AG54" s="11" t="n"/>
      <c r="AH54" s="11" t="n"/>
      <c r="AI54" s="11" t="n"/>
      <c r="AJ54" s="11" t="n"/>
      <c r="AK54" s="11" t="n"/>
      <c r="AL54" s="11" t="n"/>
      <c r="AM54" s="11" t="n"/>
      <c r="AN54" s="11" t="n"/>
      <c r="AO54" s="12" t="n"/>
      <c r="AP54" s="48" t="n"/>
      <c r="AQ54" s="48" t="n"/>
      <c r="AR54" s="48" t="n"/>
      <c r="AS54" s="48" t="n"/>
      <c r="AT54" s="48" t="n"/>
    </row>
    <row r="55">
      <c r="A55" s="8" t="n"/>
      <c r="B55" s="22" t="n"/>
      <c r="C55" s="38" t="n"/>
      <c r="D55" s="18" t="n"/>
      <c r="E55" s="19" t="n"/>
      <c r="F55" s="20" t="n"/>
      <c r="G55" s="48" t="n"/>
      <c r="H55" s="48" t="n"/>
      <c r="I55" s="48" t="n"/>
      <c r="J55" s="48" t="n"/>
      <c r="K55" s="48" t="n"/>
      <c r="L55" s="48" t="n"/>
      <c r="M55" s="48" t="n"/>
      <c r="N55" s="48" t="n"/>
      <c r="O55" s="48" t="n"/>
      <c r="P55" s="48" t="n"/>
      <c r="Q55" s="48" t="n"/>
      <c r="R55" s="48" t="n"/>
      <c r="S55" s="48" t="n"/>
      <c r="T55" s="48" t="n"/>
      <c r="U55" s="48" t="n"/>
      <c r="V55" s="48" t="n"/>
      <c r="W55" s="48" t="n"/>
      <c r="X55" s="48" t="n"/>
      <c r="Y55" s="38" t="n"/>
      <c r="Z55" s="48" t="n"/>
      <c r="AA55" s="48" t="n"/>
      <c r="AB55" s="48" t="n"/>
      <c r="AC55" s="48" t="n"/>
      <c r="AD55" s="48" t="n"/>
      <c r="AE55" s="48" t="n"/>
      <c r="AF55" s="48" t="n"/>
      <c r="AG55" s="48" t="n"/>
      <c r="AH55" s="48" t="n"/>
      <c r="AI55" s="48" t="n"/>
      <c r="AJ55" s="48" t="n"/>
      <c r="AK55" s="48" t="n"/>
      <c r="AL55" s="48" t="n"/>
      <c r="AM55" s="48" t="n"/>
      <c r="AN55" s="48" t="n"/>
      <c r="AO55" s="48" t="n"/>
      <c r="AP55" s="48" t="n"/>
      <c r="AQ55" s="48" t="n"/>
      <c r="AR55" s="48" t="n"/>
      <c r="AS55" s="48" t="n"/>
      <c r="AT55" s="48" t="n"/>
    </row>
    <row r="56">
      <c r="A56" s="8" t="n"/>
      <c r="B56" s="22" t="n"/>
      <c r="C56" s="38" t="n"/>
      <c r="D56" s="52" t="inlineStr">
        <is>
          <t>ESPAÇOS DE FEITIÇO</t>
        </is>
      </c>
      <c r="E56" s="11" t="n"/>
      <c r="F56" s="11" t="n"/>
      <c r="G56" s="11" t="n"/>
      <c r="H56" s="11" t="n"/>
      <c r="I56" s="11" t="n"/>
      <c r="J56" s="11" t="n"/>
      <c r="K56" s="11" t="n"/>
      <c r="L56" s="11" t="n"/>
      <c r="M56" s="12" t="n"/>
      <c r="N56" s="48" t="n"/>
      <c r="O56" s="52" t="inlineStr">
        <is>
          <t>REFINO DE GRAÇA</t>
        </is>
      </c>
      <c r="P56" s="11" t="n"/>
      <c r="Q56" s="11" t="n"/>
      <c r="R56" s="11" t="n"/>
      <c r="S56" s="11" t="n"/>
      <c r="T56" s="11" t="n"/>
      <c r="U56" s="11" t="n"/>
      <c r="V56" s="11" t="n"/>
      <c r="W56" s="11" t="n"/>
      <c r="X56" s="12" t="n"/>
      <c r="Y56" s="38" t="n"/>
      <c r="Z56" s="52" t="inlineStr">
        <is>
          <t>CLASSE MÁXIMA</t>
        </is>
      </c>
      <c r="AA56" s="11" t="n"/>
      <c r="AB56" s="11" t="n"/>
      <c r="AC56" s="11" t="n"/>
      <c r="AD56" s="11" t="n"/>
      <c r="AE56" s="11" t="n"/>
      <c r="AF56" s="11" t="n"/>
      <c r="AG56" s="11" t="n"/>
      <c r="AH56" s="11" t="n"/>
      <c r="AI56" s="12" t="n"/>
      <c r="AJ56" s="48" t="n"/>
      <c r="AK56" s="52" t="inlineStr">
        <is>
          <t xml:space="preserve">CLASSE 0 </t>
        </is>
      </c>
      <c r="AL56" s="11" t="n"/>
      <c r="AM56" s="11" t="n"/>
      <c r="AN56" s="11" t="n"/>
      <c r="AO56" s="11" t="n"/>
      <c r="AP56" s="11" t="n"/>
      <c r="AQ56" s="11" t="n"/>
      <c r="AR56" s="11" t="n"/>
      <c r="AS56" s="11" t="n"/>
      <c r="AT56" s="12" t="n"/>
    </row>
    <row r="57" ht="21" customHeight="1">
      <c r="A57" s="8" t="n"/>
      <c r="B57" s="22" t="n"/>
      <c r="C57" s="38" t="n"/>
      <c r="D57" s="89">
        <f>2+INT($AH$11/2)+COUNTIF(DADOS!$W$5:$W$11,"&lt;="&amp;$AH$11)+IFERROR(VALUE($AS$40&amp;""),0)</f>
        <v/>
      </c>
      <c r="E57" s="11" t="n"/>
      <c r="F57" s="11" t="n"/>
      <c r="G57" s="11" t="n"/>
      <c r="H57" s="11" t="n"/>
      <c r="I57" s="11" t="n"/>
      <c r="J57" s="11" t="n"/>
      <c r="K57" s="11" t="n"/>
      <c r="L57" s="11" t="n"/>
      <c r="M57" s="12" t="n"/>
      <c r="N57" s="38" t="n"/>
      <c r="O57" s="89">
        <f>(1+COUNTIF(DADOS!$W$5:$W$11,"&lt;="&amp;$AH$11))</f>
        <v/>
      </c>
      <c r="P57" s="11" t="n"/>
      <c r="Q57" s="11" t="n"/>
      <c r="R57" s="11" t="n"/>
      <c r="S57" s="11" t="n"/>
      <c r="T57" s="11" t="n"/>
      <c r="U57" s="11" t="n"/>
      <c r="V57" s="11" t="n"/>
      <c r="W57" s="11" t="n"/>
      <c r="X57" s="12" t="n"/>
      <c r="Y57" s="38" t="n"/>
      <c r="Z57" s="89">
        <f>COUNTIF(DADOS!$Y$5:$Y$11,"&lt;="&amp;$AH$11)</f>
        <v/>
      </c>
      <c r="AA57" s="11" t="n"/>
      <c r="AB57" s="11" t="n"/>
      <c r="AC57" s="11" t="n"/>
      <c r="AD57" s="11" t="n"/>
      <c r="AE57" s="11" t="n"/>
      <c r="AF57" s="11" t="n"/>
      <c r="AG57" s="11" t="n"/>
      <c r="AH57" s="11" t="n"/>
      <c r="AI57" s="12" t="n"/>
      <c r="AJ57" s="48" t="n"/>
      <c r="AK57" s="89">
        <f>2+COUNTIF(DADOS!$Z$5:$Z$7,"&lt;="&amp;$AH$11)</f>
        <v/>
      </c>
      <c r="AL57" s="11" t="n"/>
      <c r="AM57" s="11" t="n"/>
      <c r="AN57" s="11" t="n"/>
      <c r="AO57" s="11" t="n"/>
      <c r="AP57" s="11" t="n"/>
      <c r="AQ57" s="11" t="n"/>
      <c r="AR57" s="11" t="n"/>
      <c r="AS57" s="11" t="n"/>
      <c r="AT57" s="12" t="n"/>
    </row>
    <row r="58">
      <c r="A58" s="8" t="n"/>
      <c r="B58" s="22"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48" t="n"/>
      <c r="AA58" s="48" t="n"/>
      <c r="AB58" s="48" t="n"/>
      <c r="AC58" s="48" t="n"/>
      <c r="AD58" s="48" t="n"/>
      <c r="AE58" s="48" t="n"/>
      <c r="AF58" s="48" t="n"/>
      <c r="AG58" s="48" t="n"/>
      <c r="AH58" s="48" t="n"/>
      <c r="AI58" s="48" t="n"/>
      <c r="AJ58" s="48" t="n"/>
      <c r="AK58" s="48" t="n"/>
      <c r="AL58" s="48" t="n"/>
      <c r="AM58" s="48" t="n"/>
      <c r="AN58" s="48" t="n"/>
      <c r="AO58" s="48" t="n"/>
      <c r="AP58" s="48" t="n"/>
      <c r="AQ58" s="48" t="n"/>
      <c r="AR58" s="48" t="n"/>
      <c r="AS58" s="48" t="n"/>
      <c r="AT58" s="48" t="n"/>
    </row>
    <row r="59">
      <c r="A59" s="8" t="n"/>
      <c r="B59" s="22"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row>
    <row r="60" ht="27" customHeight="1">
      <c r="A60" s="8" t="n"/>
      <c r="B60" s="22" t="n"/>
      <c r="C60" s="38" t="n"/>
      <c r="D60" s="63" t="n">
        <v>5</v>
      </c>
      <c r="E60" s="14" t="n"/>
      <c r="F60" s="15" t="n"/>
      <c r="G60" s="85" t="inlineStr">
        <is>
          <t>PERÍCIAS</t>
        </is>
      </c>
      <c r="H60" s="11" t="n"/>
      <c r="I60" s="11" t="n"/>
      <c r="J60" s="11" t="n"/>
      <c r="K60" s="11" t="n"/>
      <c r="L60" s="11" t="n"/>
      <c r="M60" s="11" t="n"/>
      <c r="N60" s="11" t="n"/>
      <c r="O60" s="11" t="n"/>
      <c r="P60" s="11" t="n"/>
      <c r="Q60" s="11" t="n"/>
      <c r="R60" s="11" t="n"/>
      <c r="S60" s="11" t="n"/>
      <c r="T60" s="11" t="n"/>
      <c r="U60" s="11" t="n"/>
      <c r="V60" s="11" t="n"/>
      <c r="W60" s="11" t="n"/>
      <c r="X60" s="11" t="n"/>
      <c r="Y60" s="11" t="n"/>
      <c r="Z60" s="11" t="n"/>
      <c r="AA60" s="11" t="n"/>
      <c r="AB60" s="11" t="n"/>
      <c r="AC60" s="11" t="n"/>
      <c r="AD60" s="12" t="n"/>
      <c r="AE60" s="48" t="n"/>
      <c r="AF60" s="48" t="n"/>
      <c r="AG60" s="48" t="n"/>
      <c r="AH60" s="48" t="n"/>
      <c r="AI60" s="48" t="n"/>
      <c r="AJ60" s="48" t="n"/>
      <c r="AK60" s="48" t="n"/>
      <c r="AL60" s="48" t="n"/>
      <c r="AM60" s="48" t="n"/>
      <c r="AN60" s="48" t="n"/>
      <c r="AO60" s="48" t="n"/>
      <c r="AP60" s="48" t="n"/>
      <c r="AQ60" s="48" t="n"/>
      <c r="AR60" s="48" t="n"/>
      <c r="AS60" s="48" t="n"/>
      <c r="AT60" s="48" t="n"/>
    </row>
    <row r="61">
      <c r="A61" s="8" t="n"/>
      <c r="B61" s="22" t="n"/>
      <c r="C61" s="38" t="n"/>
      <c r="D61" s="16" t="n"/>
      <c r="F61" s="17"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91" t="n"/>
      <c r="AG61" s="48" t="n"/>
      <c r="AH61" s="48" t="n"/>
      <c r="AI61" s="48" t="n"/>
      <c r="AJ61" s="48" t="n"/>
      <c r="AK61" s="48" t="n"/>
      <c r="AL61" s="48" t="n"/>
      <c r="AM61" s="48" t="n"/>
      <c r="AN61" s="48" t="n"/>
      <c r="AO61" s="48" t="n"/>
      <c r="AP61" s="48" t="n"/>
      <c r="AQ61" s="48" t="n"/>
      <c r="AR61" s="48" t="n"/>
      <c r="AS61" s="48" t="n"/>
      <c r="AT61" s="48" t="n"/>
    </row>
    <row r="62">
      <c r="A62" s="8" t="n"/>
      <c r="B62" s="22" t="n"/>
      <c r="C62" s="38" t="n"/>
      <c r="D62" s="18" t="n"/>
      <c r="E62" s="19" t="n"/>
      <c r="F62" s="20" t="n"/>
      <c r="G62" s="48" t="n"/>
      <c r="H62" s="48" t="n"/>
      <c r="I62" s="48" t="n"/>
      <c r="J62" s="48" t="n"/>
      <c r="K62" s="48" t="n"/>
      <c r="L62" s="48" t="n"/>
      <c r="M62" s="48" t="n"/>
      <c r="N62" s="48" t="n"/>
      <c r="O62" s="48" t="n"/>
      <c r="P62" s="48" t="n"/>
      <c r="Q62" s="48" t="n"/>
      <c r="R62" s="48" t="n"/>
      <c r="S62" s="48" t="n"/>
      <c r="T62" s="92" t="inlineStr">
        <is>
          <t>Trein</t>
        </is>
      </c>
      <c r="U62" s="92" t="inlineStr">
        <is>
          <t>Espec</t>
        </is>
      </c>
      <c r="V62" s="48" t="n"/>
      <c r="W62" s="48" t="n"/>
      <c r="X62" s="48" t="n"/>
      <c r="Y62" s="48" t="n"/>
      <c r="Z62" s="48" t="n"/>
      <c r="AA62" s="48" t="n"/>
      <c r="AB62" s="48" t="n"/>
      <c r="AC62" s="48" t="n"/>
      <c r="AD62" s="48" t="n"/>
      <c r="AE62" s="48" t="n"/>
      <c r="AF62" s="91" t="n"/>
      <c r="AG62" s="48" t="n"/>
      <c r="AH62" s="92" t="inlineStr">
        <is>
          <t>Extra</t>
        </is>
      </c>
      <c r="AI62" s="48" t="n"/>
      <c r="AJ62" s="48" t="n"/>
      <c r="AK62" s="52" t="inlineStr">
        <is>
          <t>TREINAMENTO EM ARMAS</t>
        </is>
      </c>
      <c r="AL62" s="11" t="n"/>
      <c r="AM62" s="11" t="n"/>
      <c r="AN62" s="11" t="n"/>
      <c r="AO62" s="11" t="n"/>
      <c r="AP62" s="11" t="n"/>
      <c r="AQ62" s="11" t="n"/>
      <c r="AR62" s="11" t="n"/>
      <c r="AS62" s="11" t="n"/>
      <c r="AT62" s="12" t="n"/>
    </row>
    <row r="63">
      <c r="A63" s="8" t="n"/>
      <c r="B63" s="22" t="n"/>
      <c r="C63" s="38" t="n"/>
      <c r="D63" s="92" t="inlineStr">
        <is>
          <t>Trein</t>
        </is>
      </c>
      <c r="E63" s="92" t="inlineStr">
        <is>
          <t>Espec</t>
        </is>
      </c>
      <c r="F63" s="48" t="n"/>
      <c r="G63" s="48" t="n"/>
      <c r="H63" s="48" t="n"/>
      <c r="I63" s="48" t="n"/>
      <c r="J63" s="48" t="n"/>
      <c r="K63" s="48" t="n"/>
      <c r="L63" s="48" t="n"/>
      <c r="M63" s="48" t="n"/>
      <c r="N63" s="48" t="n"/>
      <c r="O63" s="48" t="n"/>
      <c r="P63" s="48" t="n"/>
      <c r="Q63" s="48" t="n"/>
      <c r="R63" s="92" t="inlineStr">
        <is>
          <t>Extra</t>
        </is>
      </c>
      <c r="S63" s="48" t="n"/>
      <c r="T63" s="93" t="b">
        <v>0</v>
      </c>
      <c r="U63" s="93" t="b">
        <v>0</v>
      </c>
      <c r="V63" s="94" t="inlineStr">
        <is>
          <t>Sobrevivência</t>
        </is>
      </c>
      <c r="W63" s="11" t="n"/>
      <c r="X63" s="11" t="n"/>
      <c r="Y63" s="11" t="n"/>
      <c r="Z63" s="11" t="n"/>
      <c r="AA63" s="11" t="n"/>
      <c r="AB63" s="11" t="n"/>
      <c r="AC63" s="12" t="n"/>
      <c r="AD63" s="70" t="inlineStr">
        <is>
          <t>Int</t>
        </is>
      </c>
      <c r="AE63" s="12" t="n"/>
      <c r="AF63" s="95">
        <f>$AB$19 + IF(U63, $D$51 + INT($D$51 / 2), IF(T63, $D$51, 0)) + AH63</f>
        <v/>
      </c>
      <c r="AG63" s="12" t="n"/>
      <c r="AH63" s="96" t="n"/>
      <c r="AI63" s="48" t="n"/>
      <c r="AJ63" s="48" t="n"/>
      <c r="AK63" s="89">
        <f>IF(FICHA!$D$11="Escolha seu Caminho","—",IF(OR(FICHA!$D$11="Bastião",FICHA!$D$11="Vanguarda"),"Treinado em Todas as Armas","Treinado em Arma de Fogo e Balestra"))</f>
        <v/>
      </c>
      <c r="AL63" s="14" t="n"/>
      <c r="AM63" s="14" t="n"/>
      <c r="AN63" s="14" t="n"/>
      <c r="AO63" s="14" t="n"/>
      <c r="AP63" s="14" t="n"/>
      <c r="AQ63" s="14" t="n"/>
      <c r="AR63" s="14" t="n"/>
      <c r="AS63" s="14" t="n"/>
      <c r="AT63" s="15" t="n"/>
    </row>
    <row r="64">
      <c r="A64" s="8" t="n"/>
      <c r="B64" s="22" t="n"/>
      <c r="C64" s="38" t="n"/>
      <c r="D64" s="93" t="b">
        <v>0</v>
      </c>
      <c r="E64" s="93" t="b">
        <v>0</v>
      </c>
      <c r="F64" s="94" t="inlineStr">
        <is>
          <t>Atletismo</t>
        </is>
      </c>
      <c r="G64" s="11" t="n"/>
      <c r="H64" s="11" t="n"/>
      <c r="I64" s="11" t="n"/>
      <c r="J64" s="11" t="n"/>
      <c r="K64" s="11" t="n"/>
      <c r="L64" s="11" t="n"/>
      <c r="M64" s="12" t="n"/>
      <c r="N64" s="70" t="inlineStr">
        <is>
          <t>For</t>
        </is>
      </c>
      <c r="O64" s="12" t="n"/>
      <c r="P64" s="95">
        <f>$D$19 + IF(E64, $D$51 + INT($D$51 / 2), IF(D64, $D$51, 0)) + R64</f>
        <v/>
      </c>
      <c r="Q64" s="12" t="n"/>
      <c r="R64" s="96" t="n"/>
      <c r="S64" s="48" t="n"/>
      <c r="T64" s="93" t="b">
        <v>0</v>
      </c>
      <c r="U64" s="93" t="b">
        <v>0</v>
      </c>
      <c r="V64" s="94" t="inlineStr">
        <is>
          <t>Natureza</t>
        </is>
      </c>
      <c r="W64" s="11" t="n"/>
      <c r="X64" s="11" t="n"/>
      <c r="Y64" s="11" t="n"/>
      <c r="Z64" s="11" t="n"/>
      <c r="AA64" s="11" t="n"/>
      <c r="AB64" s="11" t="n"/>
      <c r="AC64" s="12" t="n"/>
      <c r="AD64" s="70" t="inlineStr">
        <is>
          <t>Int</t>
        </is>
      </c>
      <c r="AE64" s="12" t="n"/>
      <c r="AF64" s="95">
        <f>$AB$19 + IF(U64, $D$51 + INT($D$51 / 2), IF(T64, $D$51, 0)) + AH64</f>
        <v/>
      </c>
      <c r="AG64" s="12" t="n"/>
      <c r="AH64" s="96" t="n"/>
      <c r="AI64" s="48" t="n"/>
      <c r="AJ64" s="48" t="n"/>
      <c r="AK64" s="18" t="n"/>
      <c r="AL64" s="19" t="n"/>
      <c r="AM64" s="19" t="n"/>
      <c r="AN64" s="19" t="n"/>
      <c r="AO64" s="19" t="n"/>
      <c r="AP64" s="19" t="n"/>
      <c r="AQ64" s="19" t="n"/>
      <c r="AR64" s="19" t="n"/>
      <c r="AS64" s="19" t="n"/>
      <c r="AT64" s="20" t="n"/>
    </row>
    <row r="65">
      <c r="A65" s="8" t="n"/>
      <c r="B65" s="22" t="n"/>
      <c r="C65" s="38" t="n"/>
      <c r="D65" s="93" t="b">
        <v>0</v>
      </c>
      <c r="E65" s="93" t="b">
        <v>0</v>
      </c>
      <c r="F65" s="94" t="inlineStr">
        <is>
          <t>Acrobacia</t>
        </is>
      </c>
      <c r="G65" s="11" t="n"/>
      <c r="H65" s="11" t="n"/>
      <c r="I65" s="11" t="n"/>
      <c r="J65" s="11" t="n"/>
      <c r="K65" s="11" t="n"/>
      <c r="L65" s="11" t="n"/>
      <c r="M65" s="12" t="n"/>
      <c r="N65" s="70" t="inlineStr">
        <is>
          <t>Des</t>
        </is>
      </c>
      <c r="O65" s="12" t="n"/>
      <c r="P65" s="95">
        <f>$L$19 + IF(E65, $D$51 + INT($D$51 / 2), IF(D65, $D$51, 0)) + R65</f>
        <v/>
      </c>
      <c r="Q65" s="12" t="n"/>
      <c r="R65" s="96" t="n"/>
      <c r="S65" s="48" t="n"/>
      <c r="T65" s="93" t="b">
        <v>0</v>
      </c>
      <c r="U65" s="93" t="b">
        <v>0</v>
      </c>
      <c r="V65" s="94" t="inlineStr">
        <is>
          <t>Lidar com Animais</t>
        </is>
      </c>
      <c r="W65" s="11" t="n"/>
      <c r="X65" s="11" t="n"/>
      <c r="Y65" s="11" t="n"/>
      <c r="Z65" s="11" t="n"/>
      <c r="AA65" s="11" t="n"/>
      <c r="AB65" s="11" t="n"/>
      <c r="AC65" s="12" t="n"/>
      <c r="AD65" s="70" t="inlineStr">
        <is>
          <t>Int</t>
        </is>
      </c>
      <c r="AE65" s="12" t="n"/>
      <c r="AF65" s="95">
        <f>$AB$19 + IF(U65, $D$51 + INT($D$51 / 2), IF(T65, $D$51, 0)) + AH65</f>
        <v/>
      </c>
      <c r="AG65" s="12" t="n"/>
      <c r="AH65" s="96" t="n"/>
      <c r="AI65" s="48" t="n"/>
      <c r="AJ65" s="48" t="n"/>
      <c r="AK65" s="97" t="inlineStr">
        <is>
          <t>Não trocou</t>
        </is>
      </c>
      <c r="AL65" s="14" t="n"/>
      <c r="AM65" s="14" t="n"/>
      <c r="AN65" s="14" t="n"/>
      <c r="AO65" s="14" t="n"/>
      <c r="AP65" s="14" t="n"/>
      <c r="AQ65" s="14" t="n"/>
      <c r="AR65" s="14" t="n"/>
      <c r="AS65" s="14" t="n"/>
      <c r="AT65" s="15" t="n"/>
    </row>
    <row r="66">
      <c r="A66" s="8" t="n"/>
      <c r="B66" s="22" t="n"/>
      <c r="C66" s="38" t="n"/>
      <c r="D66" s="93" t="b">
        <v>0</v>
      </c>
      <c r="E66" s="93" t="b">
        <v>0</v>
      </c>
      <c r="F66" s="94" t="inlineStr">
        <is>
          <t>Furtividade</t>
        </is>
      </c>
      <c r="G66" s="11" t="n"/>
      <c r="H66" s="11" t="n"/>
      <c r="I66" s="11" t="n"/>
      <c r="J66" s="11" t="n"/>
      <c r="K66" s="11" t="n"/>
      <c r="L66" s="11" t="n"/>
      <c r="M66" s="12" t="n"/>
      <c r="N66" s="70" t="inlineStr">
        <is>
          <t>Des</t>
        </is>
      </c>
      <c r="O66" s="12" t="n"/>
      <c r="P66" s="95">
        <f>$L$19 + IF(E66, $D$51 + INT($D$51 / 2), IF(D66, $D$51, 0)) + R66</f>
        <v/>
      </c>
      <c r="Q66" s="12" t="n"/>
      <c r="R66" s="96" t="n"/>
      <c r="S66" s="48" t="n"/>
      <c r="T66" s="93" t="b">
        <v>0</v>
      </c>
      <c r="U66" s="93" t="b">
        <v>0</v>
      </c>
      <c r="V66" s="94" t="inlineStr">
        <is>
          <t>Tecnologia</t>
        </is>
      </c>
      <c r="W66" s="11" t="n"/>
      <c r="X66" s="11" t="n"/>
      <c r="Y66" s="11" t="n"/>
      <c r="Z66" s="11" t="n"/>
      <c r="AA66" s="11" t="n"/>
      <c r="AB66" s="11" t="n"/>
      <c r="AC66" s="12" t="n"/>
      <c r="AD66" s="70" t="inlineStr">
        <is>
          <t>Int</t>
        </is>
      </c>
      <c r="AE66" s="12" t="n"/>
      <c r="AF66" s="95">
        <f>$AB$19 + IF(U66, $D$51 + INT($D$51 / 2), IF(T66, $D$51, 0)) + AH66</f>
        <v/>
      </c>
      <c r="AG66" s="12" t="n"/>
      <c r="AH66" s="96" t="n"/>
      <c r="AI66" s="48" t="n"/>
      <c r="AJ66" s="48" t="n"/>
      <c r="AK66" s="18" t="n"/>
      <c r="AL66" s="19" t="n"/>
      <c r="AM66" s="19" t="n"/>
      <c r="AN66" s="19" t="n"/>
      <c r="AO66" s="19" t="n"/>
      <c r="AP66" s="19" t="n"/>
      <c r="AQ66" s="19" t="n"/>
      <c r="AR66" s="19" t="n"/>
      <c r="AS66" s="19" t="n"/>
      <c r="AT66" s="20" t="n"/>
    </row>
    <row r="67">
      <c r="A67" s="8" t="n"/>
      <c r="B67" s="22" t="n"/>
      <c r="C67" s="38" t="n"/>
      <c r="D67" s="93" t="b">
        <v>0</v>
      </c>
      <c r="E67" s="93" t="b">
        <v>0</v>
      </c>
      <c r="F67" s="94" t="inlineStr">
        <is>
          <t>Pontaria</t>
        </is>
      </c>
      <c r="G67" s="11" t="n"/>
      <c r="H67" s="11" t="n"/>
      <c r="I67" s="11" t="n"/>
      <c r="J67" s="11" t="n"/>
      <c r="K67" s="11" t="n"/>
      <c r="L67" s="11" t="n"/>
      <c r="M67" s="12" t="n"/>
      <c r="N67" s="70" t="inlineStr">
        <is>
          <t>Des</t>
        </is>
      </c>
      <c r="O67" s="12" t="n"/>
      <c r="P67" s="95">
        <f>$L$19 + IF(E67, $D$51 + INT($D$51 / 2), IF(D67, $D$51, 0)) + R67</f>
        <v/>
      </c>
      <c r="Q67" s="12" t="n"/>
      <c r="R67" s="96" t="n"/>
      <c r="S67" s="48" t="n"/>
      <c r="T67" s="93" t="b">
        <v>0</v>
      </c>
      <c r="U67" s="93" t="b">
        <v>0</v>
      </c>
      <c r="V67" s="94" t="inlineStr">
        <is>
          <t>Medicina</t>
        </is>
      </c>
      <c r="W67" s="11" t="n"/>
      <c r="X67" s="11" t="n"/>
      <c r="Y67" s="11" t="n"/>
      <c r="Z67" s="11" t="n"/>
      <c r="AA67" s="11" t="n"/>
      <c r="AB67" s="11" t="n"/>
      <c r="AC67" s="12" t="n"/>
      <c r="AD67" s="70" t="inlineStr">
        <is>
          <t>Int</t>
        </is>
      </c>
      <c r="AE67" s="12" t="n"/>
      <c r="AF67" s="95">
        <f>$AB$19 + IF(U67, $D$51 + INT($D$51 / 2), IF(T67, $D$51, 0)) + AH67</f>
        <v/>
      </c>
      <c r="AG67" s="12" t="n"/>
      <c r="AH67" s="96" t="n"/>
      <c r="AI67" s="48" t="n"/>
      <c r="AJ67" s="48" t="n"/>
      <c r="AK67" s="97">
        <f>IF(AK65="Não trocou","Anotações e Equipamentos","Treinamentos Extras")</f>
        <v/>
      </c>
      <c r="AL67" s="14" t="n"/>
      <c r="AM67" s="14" t="n"/>
      <c r="AN67" s="14" t="n"/>
      <c r="AO67" s="14" t="n"/>
      <c r="AP67" s="14" t="n"/>
      <c r="AQ67" s="14" t="n"/>
      <c r="AR67" s="14" t="n"/>
      <c r="AS67" s="14" t="n"/>
      <c r="AT67" s="15" t="n"/>
    </row>
    <row r="68">
      <c r="A68" s="8" t="n"/>
      <c r="B68" s="22" t="n"/>
      <c r="C68" s="38" t="n"/>
      <c r="D68" s="93" t="b">
        <v>0</v>
      </c>
      <c r="E68" s="93" t="b">
        <v>0</v>
      </c>
      <c r="F68" s="94" t="inlineStr">
        <is>
          <t>Prestidigitação</t>
        </is>
      </c>
      <c r="G68" s="11" t="n"/>
      <c r="H68" s="11" t="n"/>
      <c r="I68" s="11" t="n"/>
      <c r="J68" s="11" t="n"/>
      <c r="K68" s="11" t="n"/>
      <c r="L68" s="11" t="n"/>
      <c r="M68" s="12" t="n"/>
      <c r="N68" s="70" t="inlineStr">
        <is>
          <t>Des</t>
        </is>
      </c>
      <c r="O68" s="12" t="n"/>
      <c r="P68" s="95">
        <f>$L$19 + IF(E68, $D$51 + INT($D$51 / 2), IF(D68, $D$51, 0)) + R68</f>
        <v/>
      </c>
      <c r="Q68" s="12" t="n"/>
      <c r="R68" s="96" t="n"/>
      <c r="S68" s="48" t="n"/>
      <c r="T68" s="93" t="b">
        <v>0</v>
      </c>
      <c r="U68" s="93" t="b">
        <v>0</v>
      </c>
      <c r="V68" s="94" t="inlineStr">
        <is>
          <t>Sentir Energia</t>
        </is>
      </c>
      <c r="W68" s="11" t="n"/>
      <c r="X68" s="11" t="n"/>
      <c r="Y68" s="11" t="n"/>
      <c r="Z68" s="11" t="n"/>
      <c r="AA68" s="11" t="n"/>
      <c r="AB68" s="11" t="n"/>
      <c r="AC68" s="12" t="n"/>
      <c r="AD68" s="70" t="inlineStr">
        <is>
          <t>Ess</t>
        </is>
      </c>
      <c r="AE68" s="12" t="n"/>
      <c r="AF68" s="95">
        <f>$AJ$19 + IF(U68, $D$51 + INT($D$51 / 2), IF(T68, $D$51, 0)) + AH68</f>
        <v/>
      </c>
      <c r="AG68" s="12" t="n"/>
      <c r="AH68" s="96" t="n"/>
      <c r="AI68" s="48" t="n"/>
      <c r="AJ68" s="48" t="n"/>
      <c r="AK68" s="18" t="n"/>
      <c r="AL68" s="19" t="n"/>
      <c r="AM68" s="19" t="n"/>
      <c r="AN68" s="19" t="n"/>
      <c r="AO68" s="19" t="n"/>
      <c r="AP68" s="19" t="n"/>
      <c r="AQ68" s="19" t="n"/>
      <c r="AR68" s="19" t="n"/>
      <c r="AS68" s="19" t="n"/>
      <c r="AT68" s="20" t="n"/>
    </row>
    <row r="69">
      <c r="A69" s="8" t="n"/>
      <c r="B69" s="22" t="n"/>
      <c r="C69" s="38" t="n"/>
      <c r="D69" s="93" t="b">
        <v>0</v>
      </c>
      <c r="E69" s="93" t="b">
        <v>0</v>
      </c>
      <c r="F69" s="94" t="inlineStr">
        <is>
          <t>Investigação</t>
        </is>
      </c>
      <c r="G69" s="11" t="n"/>
      <c r="H69" s="11" t="n"/>
      <c r="I69" s="11" t="n"/>
      <c r="J69" s="11" t="n"/>
      <c r="K69" s="11" t="n"/>
      <c r="L69" s="11" t="n"/>
      <c r="M69" s="12" t="n"/>
      <c r="N69" s="70" t="inlineStr">
        <is>
          <t>Int</t>
        </is>
      </c>
      <c r="O69" s="12" t="n"/>
      <c r="P69" s="95">
        <f>$AB$19 + IF(E69, $D$51 + INT($D$51 / 2), IF(D69, $D$51, 0)) + R69</f>
        <v/>
      </c>
      <c r="Q69" s="12" t="n"/>
      <c r="R69" s="96" t="n"/>
      <c r="S69" s="48" t="n"/>
      <c r="T69" s="93" t="b">
        <v>0</v>
      </c>
      <c r="U69" s="93" t="b">
        <v>0</v>
      </c>
      <c r="V69" s="94" t="inlineStr">
        <is>
          <t>Percepção</t>
        </is>
      </c>
      <c r="W69" s="11" t="n"/>
      <c r="X69" s="11" t="n"/>
      <c r="Y69" s="11" t="n"/>
      <c r="Z69" s="11" t="n"/>
      <c r="AA69" s="11" t="n"/>
      <c r="AB69" s="11" t="n"/>
      <c r="AC69" s="12" t="n"/>
      <c r="AD69" s="70" t="inlineStr">
        <is>
          <t>Ess</t>
        </is>
      </c>
      <c r="AE69" s="12" t="n"/>
      <c r="AF69" s="95">
        <f>$AJ$19 + IF(U69, $D$51 + INT($D$51 / 2), IF(T69, $D$51, 0)) + AH69</f>
        <v/>
      </c>
      <c r="AG69" s="12" t="n"/>
      <c r="AH69" s="96" t="n"/>
      <c r="AI69" s="48" t="n"/>
      <c r="AJ69" s="48" t="n"/>
      <c r="AK69" s="98" t="n"/>
      <c r="AL69" s="14" t="n"/>
      <c r="AM69" s="14" t="n"/>
      <c r="AN69" s="14" t="n"/>
      <c r="AO69" s="14" t="n"/>
      <c r="AP69" s="14" t="n"/>
      <c r="AQ69" s="14" t="n"/>
      <c r="AR69" s="14" t="n"/>
      <c r="AS69" s="14" t="n"/>
      <c r="AT69" s="15" t="n"/>
    </row>
    <row r="70">
      <c r="A70" s="8" t="n"/>
      <c r="B70" s="22" t="n"/>
      <c r="C70" s="38" t="n"/>
      <c r="D70" s="93" t="b">
        <v>0</v>
      </c>
      <c r="E70" s="93" t="b">
        <v>0</v>
      </c>
      <c r="F70" s="94" t="inlineStr">
        <is>
          <t>Intuição</t>
        </is>
      </c>
      <c r="G70" s="11" t="n"/>
      <c r="H70" s="11" t="n"/>
      <c r="I70" s="11" t="n"/>
      <c r="J70" s="11" t="n"/>
      <c r="K70" s="11" t="n"/>
      <c r="L70" s="11" t="n"/>
      <c r="M70" s="12" t="n"/>
      <c r="N70" s="70" t="inlineStr">
        <is>
          <t>Int</t>
        </is>
      </c>
      <c r="O70" s="12" t="n"/>
      <c r="P70" s="95">
        <f>$AB$19 + IF(E70, $D$51 + INT($D$51 / 2), IF(D70, $D$51, 0)) + R70</f>
        <v/>
      </c>
      <c r="Q70" s="12" t="n"/>
      <c r="R70" s="96" t="n"/>
      <c r="S70" s="48" t="n"/>
      <c r="T70" s="93" t="b">
        <v>0</v>
      </c>
      <c r="U70" s="93" t="b">
        <v>0</v>
      </c>
      <c r="V70" s="94" t="inlineStr">
        <is>
          <t>Persuasão</t>
        </is>
      </c>
      <c r="W70" s="11" t="n"/>
      <c r="X70" s="11" t="n"/>
      <c r="Y70" s="11" t="n"/>
      <c r="Z70" s="11" t="n"/>
      <c r="AA70" s="11" t="n"/>
      <c r="AB70" s="11" t="n"/>
      <c r="AC70" s="12" t="n"/>
      <c r="AD70" s="70" t="inlineStr">
        <is>
          <t>Ess</t>
        </is>
      </c>
      <c r="AE70" s="12" t="n"/>
      <c r="AF70" s="95">
        <f>$AJ$19 + IF(U70, $D$51 + INT($D$51 / 2), IF(T70, $D$51, 0)) + AH70</f>
        <v/>
      </c>
      <c r="AG70" s="12" t="n"/>
      <c r="AH70" s="96" t="n"/>
      <c r="AI70" s="48" t="n"/>
      <c r="AJ70" s="48" t="n"/>
      <c r="AK70" s="18" t="n"/>
      <c r="AL70" s="19" t="n"/>
      <c r="AM70" s="19" t="n"/>
      <c r="AN70" s="19" t="n"/>
      <c r="AO70" s="19" t="n"/>
      <c r="AP70" s="19" t="n"/>
      <c r="AQ70" s="19" t="n"/>
      <c r="AR70" s="19" t="n"/>
      <c r="AS70" s="19" t="n"/>
      <c r="AT70" s="20" t="n"/>
    </row>
    <row r="71">
      <c r="A71" s="8" t="n"/>
      <c r="B71" s="22" t="n"/>
      <c r="C71" s="38" t="n"/>
      <c r="D71" s="93" t="b">
        <v>0</v>
      </c>
      <c r="E71" s="93" t="b">
        <v>0</v>
      </c>
      <c r="F71" s="94" t="inlineStr">
        <is>
          <t>Ocultismo</t>
        </is>
      </c>
      <c r="G71" s="11" t="n"/>
      <c r="H71" s="11" t="n"/>
      <c r="I71" s="11" t="n"/>
      <c r="J71" s="11" t="n"/>
      <c r="K71" s="11" t="n"/>
      <c r="L71" s="11" t="n"/>
      <c r="M71" s="12" t="n"/>
      <c r="N71" s="70" t="inlineStr">
        <is>
          <t>Int</t>
        </is>
      </c>
      <c r="O71" s="12" t="n"/>
      <c r="P71" s="95">
        <f>$AB$19 + IF(E71, $D$51 + INT($D$51 / 2), IF(D71, $D$51, 0)) + R71</f>
        <v/>
      </c>
      <c r="Q71" s="12" t="n"/>
      <c r="R71" s="96" t="n"/>
      <c r="S71" s="48" t="n"/>
      <c r="T71" s="93" t="b">
        <v>0</v>
      </c>
      <c r="U71" s="93" t="b">
        <v>0</v>
      </c>
      <c r="V71" s="94" t="inlineStr">
        <is>
          <t>Enganação</t>
        </is>
      </c>
      <c r="W71" s="11" t="n"/>
      <c r="X71" s="11" t="n"/>
      <c r="Y71" s="11" t="n"/>
      <c r="Z71" s="11" t="n"/>
      <c r="AA71" s="11" t="n"/>
      <c r="AB71" s="11" t="n"/>
      <c r="AC71" s="12" t="n"/>
      <c r="AD71" s="70" t="inlineStr">
        <is>
          <t>Ess</t>
        </is>
      </c>
      <c r="AE71" s="12" t="n"/>
      <c r="AF71" s="95">
        <f>$AJ$19 + IF(U71, $D$51 + INT($D$51 / 2), IF(T71, $D$51, 0)) + AH71</f>
        <v/>
      </c>
      <c r="AG71" s="12" t="n"/>
      <c r="AH71" s="96" t="n"/>
      <c r="AI71" s="48" t="n"/>
      <c r="AJ71" s="48" t="n"/>
      <c r="AK71" s="48" t="n"/>
      <c r="AL71" s="48" t="n"/>
      <c r="AM71" s="48" t="n"/>
    </row>
    <row r="72">
      <c r="A72" s="8" t="n"/>
      <c r="B72" s="22" t="n"/>
      <c r="C72" s="38" t="n"/>
      <c r="D72" s="93" t="b">
        <v>0</v>
      </c>
      <c r="E72" s="93" t="b">
        <v>0</v>
      </c>
      <c r="F72" s="94" t="inlineStr">
        <is>
          <t>Religião</t>
        </is>
      </c>
      <c r="G72" s="11" t="n"/>
      <c r="H72" s="11" t="n"/>
      <c r="I72" s="11" t="n"/>
      <c r="J72" s="11" t="n"/>
      <c r="K72" s="11" t="n"/>
      <c r="L72" s="11" t="n"/>
      <c r="M72" s="12" t="n"/>
      <c r="N72" s="70" t="inlineStr">
        <is>
          <t>Int</t>
        </is>
      </c>
      <c r="O72" s="12" t="n"/>
      <c r="P72" s="95">
        <f>$AB$19 + IF(E72, $D$51 + INT($D$51 / 2), IF(D72, $D$51, 0)) + R72</f>
        <v/>
      </c>
      <c r="Q72" s="12" t="n"/>
      <c r="R72" s="96" t="n"/>
      <c r="S72" s="48" t="n"/>
      <c r="T72" s="93" t="b">
        <v>0</v>
      </c>
      <c r="U72" s="93" t="b">
        <v>0</v>
      </c>
      <c r="V72" s="94" t="inlineStr">
        <is>
          <t>Intimidação</t>
        </is>
      </c>
      <c r="W72" s="11" t="n"/>
      <c r="X72" s="11" t="n"/>
      <c r="Y72" s="11" t="n"/>
      <c r="Z72" s="11" t="n"/>
      <c r="AA72" s="11" t="n"/>
      <c r="AB72" s="11" t="n"/>
      <c r="AC72" s="12" t="n"/>
      <c r="AD72" s="70" t="inlineStr">
        <is>
          <t>Ess</t>
        </is>
      </c>
      <c r="AE72" s="12" t="n"/>
      <c r="AF72" s="95">
        <f>$AJ$19 + IF(U72, $D$51 + INT($D$51 / 2), IF(T72, $D$51, 0)) + AH72</f>
        <v/>
      </c>
      <c r="AG72" s="12" t="n"/>
      <c r="AH72" s="96" t="n"/>
      <c r="AI72" s="48" t="n"/>
      <c r="AJ72" s="48" t="n"/>
      <c r="AK72" s="52" t="inlineStr">
        <is>
          <t>Perícias Disponíveis</t>
        </is>
      </c>
      <c r="AL72" s="11" t="n"/>
      <c r="AM72" s="11" t="n"/>
      <c r="AN72" s="11" t="n"/>
      <c r="AO72" s="11" t="n"/>
      <c r="AP72" s="11" t="n"/>
      <c r="AQ72" s="11" t="n"/>
      <c r="AR72" s="11" t="n"/>
      <c r="AS72" s="11" t="n"/>
      <c r="AT72" s="12" t="n"/>
    </row>
    <row r="73">
      <c r="A73" s="8" t="n"/>
      <c r="B73" s="22" t="n"/>
      <c r="C73" s="38" t="n"/>
      <c r="D73" s="93" t="b">
        <v>0</v>
      </c>
      <c r="E73" s="93" t="b">
        <v>0</v>
      </c>
      <c r="F73" s="94" t="inlineStr">
        <is>
          <t>História</t>
        </is>
      </c>
      <c r="G73" s="11" t="n"/>
      <c r="H73" s="11" t="n"/>
      <c r="I73" s="11" t="n"/>
      <c r="J73" s="11" t="n"/>
      <c r="K73" s="11" t="n"/>
      <c r="L73" s="11" t="n"/>
      <c r="M73" s="12" t="n"/>
      <c r="N73" s="70" t="inlineStr">
        <is>
          <t>Int</t>
        </is>
      </c>
      <c r="O73" s="12" t="n"/>
      <c r="P73" s="95">
        <f>$AB$19 + IF(E73, $D$51 + INT($D$51 / 2), IF(D73, $D$51, 0)) + R73</f>
        <v/>
      </c>
      <c r="Q73" s="12" t="n"/>
      <c r="R73" s="96" t="n"/>
      <c r="S73" s="48" t="n"/>
      <c r="T73" s="93" t="b">
        <v>0</v>
      </c>
      <c r="U73" s="93" t="b">
        <v>0</v>
      </c>
      <c r="V73" s="94" t="inlineStr">
        <is>
          <t>Atuação</t>
        </is>
      </c>
      <c r="W73" s="11" t="n"/>
      <c r="X73" s="11" t="n"/>
      <c r="Y73" s="11" t="n"/>
      <c r="Z73" s="11" t="n"/>
      <c r="AA73" s="11" t="n"/>
      <c r="AB73" s="11" t="n"/>
      <c r="AC73" s="12" t="n"/>
      <c r="AD73" s="70" t="inlineStr">
        <is>
          <t>Ess</t>
        </is>
      </c>
      <c r="AE73" s="12" t="n"/>
      <c r="AF73" s="95">
        <f>$AJ$19 + IF(U73, $D$51 + INT($D$51 / 2), IF(T73, $D$51, 0)) + AH73</f>
        <v/>
      </c>
      <c r="AG73" s="12" t="n"/>
      <c r="AH73" s="96" t="n"/>
      <c r="AI73" s="48" t="n"/>
      <c r="AJ73" s="48" t="n"/>
      <c r="AK73" s="89">
        <f>IF(AND(DADOS!$AK$15&gt;0,$AH$11&lt;10),"Especialização só no nível 10",IF(DADOS!$AK$24&gt;0,DADOS!$AK$24&amp;" a mais",DADOS!$AK$19+DADOS!$AK$21-DADOS!$AK$13&amp;" de "&amp;(DADOS!$AK$19+DADOS!$AK$21)))</f>
        <v/>
      </c>
      <c r="AL73" s="14" t="n"/>
      <c r="AM73" s="14" t="n"/>
      <c r="AN73" s="14" t="n"/>
      <c r="AO73" s="14" t="n"/>
      <c r="AP73" s="14" t="n"/>
      <c r="AQ73" s="14" t="n"/>
      <c r="AR73" s="14" t="n"/>
      <c r="AS73" s="14" t="n"/>
      <c r="AT73" s="15" t="n"/>
    </row>
    <row r="74">
      <c r="A74" s="8" t="n"/>
      <c r="B74" s="22" t="n"/>
      <c r="C74" s="38" t="n"/>
      <c r="D74" s="93" t="b">
        <v>0</v>
      </c>
      <c r="E74" s="93" t="b">
        <v>0</v>
      </c>
      <c r="F74" s="94" t="inlineStr">
        <is>
          <t>Hierarquia</t>
        </is>
      </c>
      <c r="G74" s="11" t="n"/>
      <c r="H74" s="11" t="n"/>
      <c r="I74" s="11" t="n"/>
      <c r="J74" s="11" t="n"/>
      <c r="K74" s="11" t="n"/>
      <c r="L74" s="11" t="n"/>
      <c r="M74" s="12" t="n"/>
      <c r="N74" s="70" t="inlineStr">
        <is>
          <t>Int</t>
        </is>
      </c>
      <c r="O74" s="12" t="n"/>
      <c r="P74" s="95">
        <f>$AB$19 + IF(E74, $D$51 + INT($D$51 / 2), IF(D74, $D$51, 0)) + R74</f>
        <v/>
      </c>
      <c r="Q74" s="12" t="n"/>
      <c r="R74" s="96" t="n"/>
      <c r="S74" s="91" t="n"/>
      <c r="T74" s="93" t="b">
        <v>0</v>
      </c>
      <c r="U74" s="93" t="b">
        <v>0</v>
      </c>
      <c r="V74" s="94" t="inlineStr">
        <is>
          <t>Provocar</t>
        </is>
      </c>
      <c r="W74" s="11" t="n"/>
      <c r="X74" s="11" t="n"/>
      <c r="Y74" s="11" t="n"/>
      <c r="Z74" s="11" t="n"/>
      <c r="AA74" s="11" t="n"/>
      <c r="AB74" s="11" t="n"/>
      <c r="AC74" s="12" t="n"/>
      <c r="AD74" s="70" t="inlineStr">
        <is>
          <t>Ess</t>
        </is>
      </c>
      <c r="AE74" s="12" t="n"/>
      <c r="AF74" s="95">
        <f>$AJ$19 + IF(U74, $D$51 + INT($D$51 / 2), IF(T74, $D$51, 0)) + AH74</f>
        <v/>
      </c>
      <c r="AG74" s="12" t="n"/>
      <c r="AH74" s="96" t="n"/>
      <c r="AI74" s="48" t="n"/>
      <c r="AJ74" s="48" t="n"/>
      <c r="AK74" s="18" t="n"/>
      <c r="AL74" s="19" t="n"/>
      <c r="AM74" s="19" t="n"/>
      <c r="AN74" s="19" t="n"/>
      <c r="AO74" s="19" t="n"/>
      <c r="AP74" s="19" t="n"/>
      <c r="AQ74" s="19" t="n"/>
      <c r="AR74" s="19" t="n"/>
      <c r="AS74" s="19" t="n"/>
      <c r="AT74" s="20" t="n"/>
    </row>
    <row r="75">
      <c r="A75" s="8" t="n"/>
      <c r="B75" s="22" t="n"/>
      <c r="C75" s="3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c r="AG75" s="48" t="n"/>
      <c r="AH75" s="48" t="n"/>
      <c r="AI75" s="48" t="n"/>
      <c r="AJ75" s="48" t="n"/>
      <c r="AK75" s="48" t="n"/>
      <c r="AL75" s="48" t="n"/>
      <c r="AM75" s="48" t="n"/>
      <c r="AN75" s="48" t="n"/>
      <c r="AO75" s="48" t="n"/>
      <c r="AP75" s="48" t="n"/>
      <c r="AQ75" s="48" t="n"/>
      <c r="AR75" s="48" t="n"/>
      <c r="AS75" s="48" t="n"/>
      <c r="AT75" s="48" t="n"/>
    </row>
    <row r="76" ht="27" customHeight="1">
      <c r="A76" s="8" t="n"/>
      <c r="B76" s="22" t="n"/>
      <c r="C76" s="38" t="n"/>
      <c r="D76" s="63" t="n">
        <v>6</v>
      </c>
      <c r="E76" s="14" t="n"/>
      <c r="F76" s="15" t="n"/>
      <c r="G76" s="85" t="inlineStr">
        <is>
          <t>OFÍCIOS E TESTES DE RESISTÊNCIA</t>
        </is>
      </c>
      <c r="H76" s="11" t="n"/>
      <c r="I76" s="11" t="n"/>
      <c r="J76" s="11" t="n"/>
      <c r="K76" s="11" t="n"/>
      <c r="L76" s="11"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2" t="n"/>
      <c r="AI76" s="48" t="n"/>
      <c r="AJ76" s="48" t="n"/>
      <c r="AK76" s="99">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1" t="n"/>
      <c r="AM76" s="11" t="n"/>
      <c r="AN76" s="11" t="n"/>
      <c r="AO76" s="11" t="n"/>
      <c r="AP76" s="11" t="n"/>
      <c r="AQ76" s="11" t="n"/>
      <c r="AR76" s="11" t="n"/>
      <c r="AS76" s="11" t="n"/>
      <c r="AT76" s="12" t="n"/>
    </row>
    <row r="77">
      <c r="A77" s="8" t="n"/>
      <c r="B77" s="22" t="n"/>
      <c r="C77" s="38" t="n"/>
      <c r="D77" s="18" t="n"/>
      <c r="E77" s="19" t="n"/>
      <c r="F77" s="20"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c r="AG77" s="48" t="n"/>
      <c r="AH77" s="48" t="n"/>
      <c r="AI77" s="48" t="n"/>
      <c r="AJ77" s="48" t="n"/>
      <c r="AK77" s="48" t="n"/>
      <c r="AL77" s="48" t="n"/>
      <c r="AM77" s="48" t="n"/>
      <c r="AN77" s="48" t="n"/>
      <c r="AO77" s="48" t="n"/>
      <c r="AP77" s="48" t="n"/>
      <c r="AQ77" s="48" t="n"/>
      <c r="AR77" s="48" t="n"/>
      <c r="AS77" s="48" t="n"/>
      <c r="AT77" s="48" t="n"/>
    </row>
    <row r="78">
      <c r="A78" s="8" t="n"/>
      <c r="B78" s="22" t="n"/>
      <c r="C78" s="38" t="n"/>
      <c r="D78" s="92" t="inlineStr">
        <is>
          <t>Trein</t>
        </is>
      </c>
      <c r="E78" s="92" t="inlineStr">
        <is>
          <t>Espec</t>
        </is>
      </c>
      <c r="F78" s="48" t="n"/>
      <c r="G78" s="48" t="n"/>
      <c r="H78" s="48" t="n"/>
      <c r="I78" s="48" t="n"/>
      <c r="J78" s="48" t="n"/>
      <c r="K78" s="48" t="n"/>
      <c r="L78" s="48" t="n"/>
      <c r="M78" s="48" t="n"/>
      <c r="N78" s="48" t="n"/>
      <c r="O78" s="92" t="inlineStr">
        <is>
          <t>Extra</t>
        </is>
      </c>
      <c r="P78" s="48" t="n"/>
      <c r="Q78" s="92" t="inlineStr">
        <is>
          <t>Trein</t>
        </is>
      </c>
      <c r="R78" s="92" t="inlineStr">
        <is>
          <t>Espec</t>
        </is>
      </c>
      <c r="S78" s="48" t="n"/>
      <c r="T78" s="48" t="n"/>
      <c r="U78" s="48" t="n"/>
      <c r="V78" s="48" t="n"/>
      <c r="W78" s="48" t="n"/>
      <c r="X78" s="48" t="n"/>
      <c r="Y78" s="48" t="n"/>
      <c r="Z78" s="48" t="n"/>
      <c r="AA78" s="48" t="n"/>
      <c r="AB78" s="92" t="inlineStr">
        <is>
          <t>Extra</t>
        </is>
      </c>
      <c r="AC78" s="48" t="n"/>
      <c r="AD78" s="48" t="n"/>
      <c r="AE78" s="91" t="n"/>
      <c r="AF78" s="92" t="inlineStr">
        <is>
          <t>Trein</t>
        </is>
      </c>
      <c r="AG78" s="48" t="n"/>
      <c r="AH78" s="48" t="n"/>
      <c r="AI78" s="48" t="n"/>
      <c r="AJ78" s="92" t="inlineStr">
        <is>
          <t>Extra</t>
        </is>
      </c>
      <c r="AK78" s="48" t="n"/>
      <c r="AL78" s="48" t="n"/>
      <c r="AM78" s="48" t="n"/>
      <c r="AN78" s="48" t="n"/>
      <c r="AO78" s="48" t="n"/>
      <c r="AP78" s="48" t="n"/>
      <c r="AQ78" s="48" t="n"/>
      <c r="AR78" s="48" t="n"/>
      <c r="AS78" s="48" t="n"/>
      <c r="AT78" s="48" t="n"/>
    </row>
    <row r="79">
      <c r="A79" s="8" t="n"/>
      <c r="B79" s="22" t="n"/>
      <c r="C79" s="38" t="n"/>
      <c r="D79" s="93" t="b">
        <v>0</v>
      </c>
      <c r="E79" s="93" t="b">
        <v>0</v>
      </c>
      <c r="F79" s="100" t="inlineStr">
        <is>
          <t>Condução</t>
        </is>
      </c>
      <c r="G79" s="11" t="n"/>
      <c r="H79" s="11" t="n"/>
      <c r="I79" s="11" t="n"/>
      <c r="J79" s="12" t="n"/>
      <c r="K79" s="101" t="inlineStr">
        <is>
          <t>INTELIGÊNCIA</t>
        </is>
      </c>
      <c r="L79" s="11" t="n"/>
      <c r="M79" s="12" t="n"/>
      <c r="N79" s="102">
        <f>+IFS(K79="FORÇA",$D$19, K79="DESTREZA",$L$19, K79="CONSTITUIÇÃO",$T$19, K79="INTELIGÊNCIA",$AB$19, K79="ESSÊNCIA",$AJ$19) + IF(E79, $D$51 + INT($D$51 / 2), IF(D79, $D$51, 0)) + O79</f>
        <v/>
      </c>
      <c r="O79" s="99" t="n"/>
      <c r="P79" s="48" t="n"/>
      <c r="Q79" s="93" t="b">
        <v>0</v>
      </c>
      <c r="R79" s="93" t="b">
        <v>0</v>
      </c>
      <c r="S79" s="100" t="inlineStr">
        <is>
          <t>Entalhador</t>
        </is>
      </c>
      <c r="T79" s="11" t="n"/>
      <c r="U79" s="11" t="n"/>
      <c r="V79" s="11" t="n"/>
      <c r="W79" s="12" t="n"/>
      <c r="X79" s="101" t="inlineStr">
        <is>
          <t>INTELIGÊNCIA</t>
        </is>
      </c>
      <c r="Y79" s="11" t="n"/>
      <c r="Z79" s="12" t="n"/>
      <c r="AA79" s="103">
        <f>+IFS(X79="FORÇA",$D$19, X79="DESTREZA",$L$19, X79="CONSTITUIÇÃO",$T$19, X79="INTELIGÊNCIA",$AB$19, X79="ESSÊNCIA",$AJ$19) + IF(R79, $D$51 + INT($D$51 / 2), IF(Q79, $D$51, 0)) + AB79</f>
        <v/>
      </c>
      <c r="AB79" s="96" t="n"/>
      <c r="AC79" s="48" t="n"/>
      <c r="AD79" s="48" t="n"/>
      <c r="AE79" s="91" t="n"/>
      <c r="AF79" s="93" t="b">
        <v>0</v>
      </c>
      <c r="AG79" s="104" t="inlineStr">
        <is>
          <t>Físico</t>
        </is>
      </c>
      <c r="AH79" s="11" t="n"/>
      <c r="AI79" s="11" t="n"/>
      <c r="AJ79" s="99" t="n"/>
      <c r="AK79" s="105" t="inlineStr">
        <is>
          <t>FORÇA</t>
        </is>
      </c>
      <c r="AL79" s="11" t="n"/>
      <c r="AM79" s="11" t="n"/>
      <c r="AN79" s="11" t="n"/>
      <c r="AO79" s="12" t="n"/>
      <c r="AP79" s="98">
        <f>+IFS(AK79="FORÇA",$D$19, AK79="DESTREZA",$L$19)+IF($AF$79=TRUE,$D$51,0)+AJ79</f>
        <v/>
      </c>
      <c r="AQ79" s="11" t="n"/>
      <c r="AR79" s="11" t="n"/>
      <c r="AS79" s="11" t="n"/>
      <c r="AT79" s="12" t="n"/>
    </row>
    <row r="80">
      <c r="A80" s="8" t="n"/>
      <c r="B80" s="22" t="n"/>
      <c r="C80" s="38" t="n"/>
      <c r="D80" s="93" t="b">
        <v>0</v>
      </c>
      <c r="E80" s="93" t="b">
        <v>0</v>
      </c>
      <c r="F80" s="100" t="inlineStr">
        <is>
          <t>Arrombamento</t>
        </is>
      </c>
      <c r="G80" s="11" t="n"/>
      <c r="H80" s="11" t="n"/>
      <c r="I80" s="11" t="n"/>
      <c r="J80" s="12" t="n"/>
      <c r="K80" s="101" t="inlineStr">
        <is>
          <t>INTELIGÊNCIA</t>
        </is>
      </c>
      <c r="L80" s="11" t="n"/>
      <c r="M80" s="12" t="n"/>
      <c r="N80" s="103">
        <f>+IFS(K80="FORÇA",$D$19, K80="DESTREZA",$L$19, K80="CONSTITUIÇÃO",$T$19, K80="INTELIGÊNCIA",$AB$19, K80="ESSÊNCIA",$AJ$19) + IF(E80, $D$51 + INT($D$51 / 2), IF(D80, $D$51, 0)) + O80</f>
        <v/>
      </c>
      <c r="O80" s="96" t="n"/>
      <c r="P80" s="48" t="n"/>
      <c r="Q80" s="93" t="b">
        <v>0</v>
      </c>
      <c r="R80" s="93" t="b">
        <v>0</v>
      </c>
      <c r="S80" s="100" t="inlineStr">
        <is>
          <t xml:space="preserve">Alfaiate </t>
        </is>
      </c>
      <c r="T80" s="11" t="n"/>
      <c r="U80" s="11" t="n"/>
      <c r="V80" s="11" t="n"/>
      <c r="W80" s="12" t="n"/>
      <c r="X80" s="101" t="inlineStr">
        <is>
          <t>INTELIGÊNCIA</t>
        </is>
      </c>
      <c r="Y80" s="11" t="n"/>
      <c r="Z80" s="12" t="n"/>
      <c r="AA80" s="103">
        <f>+IFS(X80="FORÇA",$D$19, X80="DESTREZA",$L$19, X80="CONSTITUIÇÃO",$T$19, X80="INTELIGÊNCIA",$AB$19, X80="ESSÊNCIA",$AJ$19) + IF(R80, $D$51 + INT($D$51 / 2), IF(Q80, $D$51, 0)) + AB80</f>
        <v/>
      </c>
      <c r="AB80" s="96" t="n"/>
      <c r="AC80" s="48" t="n"/>
      <c r="AD80" s="48" t="n"/>
      <c r="AE80" s="91" t="n"/>
      <c r="AF80" s="93" t="b">
        <v>0</v>
      </c>
      <c r="AG80" s="104" t="inlineStr">
        <is>
          <t>Vigor</t>
        </is>
      </c>
      <c r="AH80" s="11" t="n"/>
      <c r="AI80" s="11" t="n"/>
      <c r="AJ80" s="99" t="n"/>
      <c r="AK80" s="101" t="inlineStr">
        <is>
          <t xml:space="preserve">CONSTITUIÇÃO </t>
        </is>
      </c>
      <c r="AL80" s="11" t="n"/>
      <c r="AM80" s="11" t="n"/>
      <c r="AN80" s="11" t="n"/>
      <c r="AO80" s="12" t="n"/>
      <c r="AP80" s="98">
        <f>$T$19+IF($AF$80=TRUE,$D$51,0)+AJ80</f>
        <v/>
      </c>
      <c r="AQ80" s="11" t="n"/>
      <c r="AR80" s="11" t="n"/>
      <c r="AS80" s="11" t="n"/>
      <c r="AT80" s="12" t="n"/>
    </row>
    <row r="81">
      <c r="A81" s="8" t="n"/>
      <c r="B81" s="22" t="n"/>
      <c r="C81" s="38" t="n"/>
      <c r="D81" s="93" t="b">
        <v>0</v>
      </c>
      <c r="E81" s="93" t="b">
        <v>0</v>
      </c>
      <c r="F81" s="100" t="inlineStr">
        <is>
          <t>Herbalismo</t>
        </is>
      </c>
      <c r="G81" s="11" t="n"/>
      <c r="H81" s="11" t="n"/>
      <c r="I81" s="11" t="n"/>
      <c r="J81" s="12" t="n"/>
      <c r="K81" s="101" t="inlineStr">
        <is>
          <t>INTELIGÊNCIA</t>
        </is>
      </c>
      <c r="L81" s="11" t="n"/>
      <c r="M81" s="12" t="n"/>
      <c r="N81" s="103">
        <f>+IFS(K81="FORÇA",$D$19, K81="DESTREZA",$L$19, K81="CONSTITUIÇÃO",$T$19, K81="INTELIGÊNCIA",$AB$19, K81="ESSÊNCIA",$AJ$19) + IF(E81, $D$51 + INT($D$51 / 2), IF(D81, $D$51, 0)) + O81</f>
        <v/>
      </c>
      <c r="O81" s="96" t="n"/>
      <c r="P81" s="48" t="n"/>
      <c r="Q81" s="93" t="b">
        <v>0</v>
      </c>
      <c r="R81" s="93" t="b">
        <v>0</v>
      </c>
      <c r="S81" s="94" t="inlineStr">
        <is>
          <t>Culinária</t>
        </is>
      </c>
      <c r="T81" s="11" t="n"/>
      <c r="U81" s="11" t="n"/>
      <c r="V81" s="11" t="n"/>
      <c r="W81" s="12" t="n"/>
      <c r="X81" s="101" t="inlineStr">
        <is>
          <t>INTELIGÊNCIA</t>
        </is>
      </c>
      <c r="Y81" s="11" t="n"/>
      <c r="Z81" s="12" t="n"/>
      <c r="AA81" s="103">
        <f>+IFS(X81="FORÇA",$D$19, X81="DESTREZA",$L$19, X81="CONSTITUIÇÃO",$T$19, X81="INTELIGÊNCIA",$AB$19, X81="ESSÊNCIA",$AJ$19) + IF(R81, $D$51 + INT($D$51 / 2), IF(Q81, $D$51, 0)) + AB81</f>
        <v/>
      </c>
      <c r="AB81" s="96" t="n"/>
      <c r="AC81" s="48" t="n"/>
      <c r="AD81" s="48" t="n"/>
      <c r="AE81" s="91" t="n"/>
      <c r="AF81" s="93" t="b">
        <v>0</v>
      </c>
      <c r="AG81" s="104" t="inlineStr">
        <is>
          <t>Intelecto</t>
        </is>
      </c>
      <c r="AH81" s="11" t="n"/>
      <c r="AI81" s="11" t="n"/>
      <c r="AJ81" s="99" t="n"/>
      <c r="AK81" s="101" t="inlineStr">
        <is>
          <t>INTELIGÊNCIA</t>
        </is>
      </c>
      <c r="AL81" s="11" t="n"/>
      <c r="AM81" s="11" t="n"/>
      <c r="AN81" s="11" t="n"/>
      <c r="AO81" s="12" t="n"/>
      <c r="AP81" s="98">
        <f>$AB$19+IF($AF$81=TRUE,$D$51,0)+AJ81</f>
        <v/>
      </c>
      <c r="AQ81" s="11" t="n"/>
      <c r="AR81" s="11" t="n"/>
      <c r="AS81" s="11" t="n"/>
      <c r="AT81" s="12" t="n"/>
    </row>
    <row r="82">
      <c r="A82" s="8" t="n"/>
      <c r="B82" s="22" t="n"/>
      <c r="C82" s="38" t="n"/>
      <c r="D82" s="93" t="b">
        <v>0</v>
      </c>
      <c r="E82" s="93" t="b">
        <v>0</v>
      </c>
      <c r="F82" s="100" t="inlineStr">
        <is>
          <t>Forja</t>
        </is>
      </c>
      <c r="G82" s="11" t="n"/>
      <c r="H82" s="11" t="n"/>
      <c r="I82" s="11" t="n"/>
      <c r="J82" s="12" t="n"/>
      <c r="K82" s="101" t="inlineStr">
        <is>
          <t>INTELIGÊNCIA</t>
        </is>
      </c>
      <c r="L82" s="11" t="n"/>
      <c r="M82" s="12" t="n"/>
      <c r="N82" s="103">
        <f>+IFS(K82="FORÇA",$D$19, K82="DESTREZA",$L$19, K82="CONSTITUIÇÃO",$T$19, K82="INTELIGÊNCIA",$AB$19, K82="ESSÊNCIA",$AJ$19) + IF(E82, $D$51 + INT($D$51 / 2), IF(D82, $D$51, 0)) + O82</f>
        <v/>
      </c>
      <c r="O82" s="96" t="n"/>
      <c r="P82" s="48" t="n"/>
      <c r="Q82" s="93" t="b">
        <v>0</v>
      </c>
      <c r="R82" s="93" t="b">
        <v>0</v>
      </c>
      <c r="S82" s="100" t="inlineStr">
        <is>
          <t>Jogatina</t>
        </is>
      </c>
      <c r="T82" s="11" t="n"/>
      <c r="U82" s="11" t="n"/>
      <c r="V82" s="11" t="n"/>
      <c r="W82" s="12" t="n"/>
      <c r="X82" s="101" t="inlineStr">
        <is>
          <t>INTELIGÊNCIA</t>
        </is>
      </c>
      <c r="Y82" s="11" t="n"/>
      <c r="Z82" s="12" t="n"/>
      <c r="AA82" s="103">
        <f>+IFS(X82="FORÇA",$D$19, X82="DESTREZA",$L$19, X82="CONSTITUIÇÃO",$T$19, X82="INTELIGÊNCIA",$AB$19, X82="ESSÊNCIA",$AJ$19) + IF(R82, $D$51 + INT($D$51 / 2), IF(Q82, $D$51, 0)) + AB82</f>
        <v/>
      </c>
      <c r="AB82" s="96" t="n"/>
      <c r="AC82" s="48" t="n"/>
      <c r="AD82" s="48" t="n"/>
      <c r="AE82" s="48" t="n"/>
      <c r="AF82" s="93" t="b">
        <v>0</v>
      </c>
      <c r="AG82" s="104" t="inlineStr">
        <is>
          <t>Espírito</t>
        </is>
      </c>
      <c r="AH82" s="11" t="n"/>
      <c r="AI82" s="11" t="n"/>
      <c r="AJ82" s="99" t="n"/>
      <c r="AK82" s="101" t="inlineStr">
        <is>
          <t>ESSÊNCIA</t>
        </is>
      </c>
      <c r="AL82" s="11" t="n"/>
      <c r="AM82" s="11" t="n"/>
      <c r="AN82" s="11" t="n"/>
      <c r="AO82" s="12" t="n"/>
      <c r="AP82" s="98">
        <f>$AJ$19+IF($AF$82=TRUE,$D$51,0)+AJ82</f>
        <v/>
      </c>
      <c r="AQ82" s="11" t="n"/>
      <c r="AR82" s="11" t="n"/>
      <c r="AS82" s="11" t="n"/>
      <c r="AT82" s="12" t="n"/>
    </row>
    <row r="83">
      <c r="A83" s="8" t="n"/>
      <c r="B83" s="22" t="n"/>
      <c r="C83" s="38" t="n"/>
      <c r="D83" s="93" t="b">
        <v>0</v>
      </c>
      <c r="E83" s="93" t="b">
        <v>0</v>
      </c>
      <c r="F83" s="100" t="inlineStr">
        <is>
          <t>Caligrafia</t>
        </is>
      </c>
      <c r="G83" s="11" t="n"/>
      <c r="H83" s="11" t="n"/>
      <c r="I83" s="11" t="n"/>
      <c r="J83" s="12" t="n"/>
      <c r="K83" s="101" t="inlineStr">
        <is>
          <t>INTELIGÊNCIA</t>
        </is>
      </c>
      <c r="L83" s="11" t="n"/>
      <c r="M83" s="12" t="n"/>
      <c r="N83" s="103">
        <f>+IFS(K83="FORÇA",$D$19, K83="DESTREZA",$L$19, K83="CONSTITUIÇÃO",$T$19, K83="INTELIGÊNCIA",$AB$19, K83="ESSÊNCIA",$AJ$19) + IF(E83, $D$51 + INT($D$51 / 2), IF(D83, $D$51, 0)) + O83</f>
        <v/>
      </c>
      <c r="O83" s="96" t="n"/>
      <c r="P83" s="48" t="n"/>
      <c r="Q83" s="93" t="b">
        <v>0</v>
      </c>
      <c r="R83" s="93" t="b">
        <v>0</v>
      </c>
      <c r="S83" s="100" t="inlineStr">
        <is>
          <t>Instrumento</t>
        </is>
      </c>
      <c r="T83" s="11" t="n"/>
      <c r="U83" s="11" t="n"/>
      <c r="V83" s="11" t="n"/>
      <c r="W83" s="12" t="n"/>
      <c r="X83" s="101" t="inlineStr">
        <is>
          <t>INTELIGÊNCIA</t>
        </is>
      </c>
      <c r="Y83" s="11" t="n"/>
      <c r="Z83" s="12" t="n"/>
      <c r="AA83" s="103">
        <f>+IFS(X83="FORÇA",$D$19, X83="DESTREZA",$L$19, X83="CONSTITUIÇÃO",$T$19, X83="INTELIGÊNCIA",$AB$19, X83="ESSÊNCIA",$AJ$19) + IF(R83, $D$51 + INT($D$51 / 2), IF(Q83, $D$51, 0)) + AB83</f>
        <v/>
      </c>
      <c r="AB83" s="96" t="n"/>
      <c r="AC83" s="48" t="n"/>
      <c r="AD83" s="48" t="n"/>
      <c r="AE83" s="48" t="n"/>
      <c r="AF83" s="48" t="n"/>
      <c r="AG83" s="48" t="n"/>
      <c r="AH83" s="48" t="n"/>
      <c r="AI83" s="48" t="n"/>
      <c r="AJ83" s="48" t="n"/>
      <c r="AK83" s="48" t="n"/>
      <c r="AL83" s="48" t="n"/>
      <c r="AM83" s="48" t="n"/>
      <c r="AN83" s="48" t="n"/>
      <c r="AO83" s="48" t="n"/>
      <c r="AP83" s="48" t="n"/>
      <c r="AQ83" s="48" t="n"/>
      <c r="AR83" s="48" t="n"/>
      <c r="AS83" s="48" t="n"/>
      <c r="AT83" s="48" t="n"/>
    </row>
    <row r="84">
      <c r="A84" s="8" t="n"/>
      <c r="B84" s="22" t="n"/>
      <c r="C84" s="38" t="n"/>
      <c r="D84" s="93" t="b">
        <v>0</v>
      </c>
      <c r="E84" s="93" t="b">
        <v>0</v>
      </c>
      <c r="F84" s="100" t="inlineStr">
        <is>
          <t>Burocracia</t>
        </is>
      </c>
      <c r="G84" s="11" t="n"/>
      <c r="H84" s="11" t="n"/>
      <c r="I84" s="11" t="n"/>
      <c r="J84" s="12" t="n"/>
      <c r="K84" s="101" t="inlineStr">
        <is>
          <t>INTELIGÊNCIA</t>
        </is>
      </c>
      <c r="L84" s="11" t="n"/>
      <c r="M84" s="12" t="n"/>
      <c r="N84" s="103">
        <f>+IFS(K84="FORÇA",$D$19, K84="DESTREZA",$L$19, K84="CONSTITUIÇÃO",$T$19, K84="INTELIGÊNCIA",$AB$19, K84="ESSÊNCIA",$AJ$19) + IF(E84, $D$51 + INT($D$51 / 2), IF(D84, $D$51, 0)) + O84</f>
        <v/>
      </c>
      <c r="O84" s="96" t="n"/>
      <c r="P84" s="48" t="n"/>
      <c r="Q84" s="48" t="n"/>
      <c r="R84" s="48" t="n"/>
      <c r="S84" s="48" t="n"/>
      <c r="T84" s="48" t="n"/>
      <c r="U84" s="48" t="n"/>
      <c r="V84" s="48" t="n"/>
      <c r="W84" s="48" t="n"/>
      <c r="X84" s="48" t="n"/>
      <c r="Y84" s="48" t="n"/>
      <c r="Z84" s="48" t="n"/>
      <c r="AA84" s="48" t="n"/>
      <c r="AB84" s="48" t="n"/>
      <c r="AC84" s="48" t="n"/>
      <c r="AD84" s="48" t="n"/>
      <c r="AE84" s="48" t="n"/>
      <c r="AF84" s="106" t="inlineStr">
        <is>
          <t>Ofícios Disponíveis</t>
        </is>
      </c>
      <c r="AG84" s="11" t="n"/>
      <c r="AH84" s="11" t="n"/>
      <c r="AI84" s="11" t="n"/>
      <c r="AJ84" s="11" t="n"/>
      <c r="AK84" s="11" t="n"/>
      <c r="AL84" s="11" t="n"/>
      <c r="AM84" s="12" t="n"/>
      <c r="AN84" s="107" t="inlineStr">
        <is>
          <t>Testes de Resistência Disponíveis</t>
        </is>
      </c>
      <c r="AO84" s="11" t="n"/>
      <c r="AP84" s="11" t="n"/>
      <c r="AQ84" s="11" t="n"/>
      <c r="AR84" s="11" t="n"/>
      <c r="AS84" s="11" t="n"/>
      <c r="AT84" s="12" t="n"/>
    </row>
    <row r="85">
      <c r="A85" s="8" t="n"/>
      <c r="B85" s="22" t="n"/>
      <c r="C85" s="3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108">
        <f>IF(AND(DADOS!$AK$15&gt;0,$AH$11&lt;10),"Especialização só no nível 10",IF(DADOS!$AK$24&gt;0,DADOS!$AK$24&amp;" a mais",DADOS!$AK$20+DADOS!$AK$22-DADOS!$AK$14&amp;" de "&amp;(DADOS!$AK$20+DADOS!$AK$22)))</f>
        <v/>
      </c>
      <c r="AG85" s="11" t="n"/>
      <c r="AH85" s="11" t="n"/>
      <c r="AI85" s="11" t="n"/>
      <c r="AJ85" s="11" t="n"/>
      <c r="AK85" s="11" t="n"/>
      <c r="AL85" s="11" t="n"/>
      <c r="AM85" s="12" t="n"/>
      <c r="AN85" s="109">
        <f>IF(DADOS!$AK$29&gt;2,DADOS!$AK$29-2&amp;" a mais",2-DADOS!$AK$29&amp;" de "&amp;2)</f>
        <v/>
      </c>
      <c r="AO85" s="11" t="n"/>
      <c r="AP85" s="11" t="n"/>
      <c r="AQ85" s="11" t="n"/>
      <c r="AR85" s="11" t="n"/>
      <c r="AS85" s="11" t="n"/>
      <c r="AT85" s="12" t="n"/>
    </row>
    <row r="86">
      <c r="A86" s="8" t="n"/>
      <c r="B86" s="22" t="n"/>
      <c r="C86" s="3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c r="AG86" s="48" t="n"/>
      <c r="AH86" s="48" t="n"/>
      <c r="AI86" s="48" t="n"/>
      <c r="AJ86" s="48" t="n"/>
      <c r="AK86" s="48" t="n"/>
      <c r="AL86" s="48" t="n"/>
      <c r="AM86" s="48" t="n"/>
      <c r="AN86" s="48" t="n"/>
      <c r="AO86" s="48" t="n"/>
      <c r="AP86" s="48" t="n"/>
      <c r="AQ86" s="48" t="n"/>
      <c r="AR86" s="48" t="n"/>
      <c r="AS86" s="48" t="n"/>
      <c r="AT86" s="48" t="n"/>
    </row>
    <row r="87">
      <c r="A87" s="8" t="n"/>
      <c r="B87" s="22" t="n"/>
      <c r="C87" s="3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c r="AG87" s="48" t="n"/>
      <c r="AH87" s="48" t="n"/>
      <c r="AI87" s="48" t="n"/>
      <c r="AJ87" s="48" t="n"/>
      <c r="AK87" s="48" t="n"/>
      <c r="AL87" s="48" t="n"/>
      <c r="AM87" s="48" t="n"/>
      <c r="AN87" s="48" t="n"/>
      <c r="AO87" s="48" t="n"/>
      <c r="AP87" s="48" t="n"/>
      <c r="AQ87" s="48" t="n"/>
      <c r="AR87" s="48" t="n"/>
      <c r="AS87" s="48" t="n"/>
      <c r="AT87" s="48" t="n"/>
    </row>
    <row r="88" ht="27" customHeight="1">
      <c r="A88" s="8" t="n"/>
      <c r="B88" s="22" t="n"/>
      <c r="C88" s="38" t="n"/>
      <c r="D88" s="63" t="n">
        <v>7</v>
      </c>
      <c r="E88" s="14" t="n"/>
      <c r="F88" s="15" t="n"/>
      <c r="G88" s="85" t="inlineStr">
        <is>
          <t>ANOTAÇÕES</t>
        </is>
      </c>
      <c r="H88" s="11" t="n"/>
      <c r="I88" s="11" t="n"/>
      <c r="J88" s="11" t="n"/>
      <c r="K88" s="11" t="n"/>
      <c r="L88" s="11" t="n"/>
      <c r="M88" s="11" t="n"/>
      <c r="N88" s="11" t="n"/>
      <c r="O88" s="11" t="n"/>
      <c r="P88" s="11" t="n"/>
      <c r="Q88" s="11" t="n"/>
      <c r="R88" s="11" t="n"/>
      <c r="S88" s="11" t="n"/>
      <c r="T88" s="11" t="n"/>
      <c r="U88" s="11" t="n"/>
      <c r="V88" s="11" t="n"/>
      <c r="W88" s="11" t="n"/>
      <c r="X88" s="11" t="n"/>
      <c r="Y88" s="11" t="n"/>
      <c r="Z88" s="11" t="n"/>
      <c r="AA88" s="11" t="n"/>
      <c r="AB88" s="11" t="n"/>
      <c r="AC88" s="11" t="n"/>
      <c r="AD88" s="11" t="n"/>
      <c r="AE88" s="11" t="n"/>
      <c r="AF88" s="11" t="n"/>
      <c r="AG88" s="11" t="n"/>
      <c r="AH88" s="12" t="n"/>
      <c r="AI88" s="48" t="n"/>
      <c r="AJ88" s="48" t="n"/>
      <c r="AK88" s="48" t="n"/>
      <c r="AL88" s="48" t="n"/>
      <c r="AM88" s="48" t="n"/>
      <c r="AN88" s="48" t="n"/>
      <c r="AO88" s="48" t="n"/>
      <c r="AP88" s="48" t="n"/>
      <c r="AQ88" s="48" t="n"/>
      <c r="AR88" s="48" t="n"/>
      <c r="AS88" s="48" t="n"/>
      <c r="AT88" s="48" t="n"/>
    </row>
    <row r="89">
      <c r="A89" s="8" t="n"/>
      <c r="B89" s="22" t="n"/>
      <c r="C89" s="38" t="n"/>
      <c r="D89" s="18" t="n"/>
      <c r="E89" s="19" t="n"/>
      <c r="F89" s="20"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c r="AA89" s="38" t="n"/>
      <c r="AB89" s="38" t="n"/>
      <c r="AC89" s="38" t="n"/>
      <c r="AD89" s="38" t="n"/>
      <c r="AE89" s="38" t="n"/>
      <c r="AF89" s="38" t="n"/>
      <c r="AG89" s="38" t="n"/>
      <c r="AH89" s="38" t="n"/>
      <c r="AI89" s="38" t="n"/>
      <c r="AJ89" s="38" t="n"/>
      <c r="AK89" s="38" t="n"/>
      <c r="AL89" s="38" t="n"/>
      <c r="AM89" s="38" t="n"/>
      <c r="AN89" s="38" t="n"/>
      <c r="AO89" s="38" t="n"/>
      <c r="AP89" s="38" t="n"/>
      <c r="AQ89" s="38" t="n"/>
      <c r="AR89" s="38" t="n"/>
      <c r="AS89" s="38" t="n"/>
      <c r="AT89" s="38" t="n"/>
    </row>
    <row r="90" ht="5.25" customHeight="1">
      <c r="A90" s="8" t="n"/>
      <c r="B90" s="22" t="n"/>
      <c r="C90" s="38" t="n"/>
      <c r="D90" s="38" t="n"/>
      <c r="N90" s="38" t="n"/>
      <c r="O90" s="38" t="n"/>
      <c r="P90" s="38" t="n"/>
      <c r="Q90" s="38" t="n"/>
      <c r="R90" s="38" t="n"/>
      <c r="S90" s="38" t="n"/>
      <c r="T90" s="38" t="n"/>
      <c r="U90" s="38" t="n"/>
      <c r="V90" s="38" t="n"/>
      <c r="W90" s="38" t="n"/>
      <c r="X90" s="38" t="n"/>
      <c r="Y90" s="38" t="n"/>
      <c r="Z90" s="38" t="n"/>
      <c r="AA90" s="38" t="n"/>
      <c r="AB90" s="38" t="n"/>
      <c r="AC90" s="38" t="n"/>
      <c r="AD90" s="38" t="n"/>
      <c r="AE90" s="38" t="n"/>
      <c r="AF90" s="38" t="n"/>
      <c r="AG90" s="38" t="n"/>
      <c r="AH90" s="38" t="n"/>
      <c r="AI90" s="38" t="n"/>
      <c r="AJ90" s="38" t="n"/>
      <c r="AK90" s="38" t="n"/>
      <c r="AL90" s="38" t="n"/>
      <c r="AM90" s="38" t="n"/>
      <c r="AN90" s="38" t="n"/>
      <c r="AO90" s="38" t="n"/>
      <c r="AP90" s="38" t="n"/>
      <c r="AQ90" s="38" t="n"/>
      <c r="AR90" s="38" t="n"/>
      <c r="AS90" s="38" t="n"/>
      <c r="AT90" s="38" t="n"/>
    </row>
    <row r="91">
      <c r="A91" s="8" t="n"/>
      <c r="B91" s="22" t="n"/>
      <c r="C91" s="38" t="n"/>
      <c r="D91" s="110" t="inlineStr">
        <is>
          <t>Skill Base de Caminho 1</t>
        </is>
      </c>
      <c r="E91" s="11" t="n"/>
      <c r="F91" s="11" t="n"/>
      <c r="G91" s="11" t="n"/>
      <c r="H91" s="11" t="n"/>
      <c r="I91" s="11" t="n"/>
      <c r="J91" s="11" t="n"/>
      <c r="K91" s="11" t="n"/>
      <c r="L91" s="11" t="n"/>
      <c r="M91" s="11" t="n"/>
      <c r="N91" s="12" t="n"/>
      <c r="O91" s="38" t="n"/>
      <c r="P91" s="110" t="inlineStr">
        <is>
          <t>Skill Base de Trilha 1</t>
        </is>
      </c>
      <c r="Q91" s="11" t="n"/>
      <c r="R91" s="11" t="n"/>
      <c r="S91" s="11" t="n"/>
      <c r="T91" s="11" t="n"/>
      <c r="U91" s="11" t="n"/>
      <c r="V91" s="11" t="n"/>
      <c r="W91" s="11" t="n"/>
      <c r="X91" s="11" t="n"/>
      <c r="Y91" s="11" t="n"/>
      <c r="Z91" s="12" t="n"/>
      <c r="AA91" s="38" t="n"/>
      <c r="AB91" s="110" t="inlineStr">
        <is>
          <t>Outras Anotações</t>
        </is>
      </c>
      <c r="AC91" s="11" t="n"/>
      <c r="AD91" s="11" t="n"/>
      <c r="AE91" s="11" t="n"/>
      <c r="AF91" s="11" t="n"/>
      <c r="AG91" s="11" t="n"/>
      <c r="AH91" s="11" t="n"/>
      <c r="AI91" s="11" t="n"/>
      <c r="AJ91" s="11" t="n"/>
      <c r="AK91" s="11" t="n"/>
      <c r="AL91" s="12" t="n"/>
      <c r="AM91" s="38" t="n"/>
      <c r="AN91" s="38" t="n"/>
      <c r="AO91" s="38" t="n"/>
      <c r="AP91" s="38" t="n"/>
      <c r="AQ91" s="38" t="n"/>
      <c r="AR91" s="38" t="n"/>
      <c r="AS91" s="38" t="n"/>
      <c r="AT91" s="38" t="n"/>
    </row>
    <row r="92" ht="5.25" customHeight="1">
      <c r="A92" s="8" t="n"/>
      <c r="B92" s="22"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c r="AA92" s="38" t="n"/>
      <c r="AB92" s="38" t="n"/>
      <c r="AC92" s="38" t="n"/>
      <c r="AD92" s="38" t="n"/>
      <c r="AE92" s="38" t="n"/>
      <c r="AF92" s="38" t="n"/>
      <c r="AG92" s="38" t="n"/>
      <c r="AH92" s="38" t="n"/>
      <c r="AI92" s="38" t="n"/>
      <c r="AJ92" s="38" t="n"/>
      <c r="AK92" s="38" t="n"/>
      <c r="AL92" s="38" t="n"/>
      <c r="AM92" s="38" t="n"/>
      <c r="AN92" s="38" t="n"/>
      <c r="AO92" s="38" t="n"/>
      <c r="AP92" s="38" t="n"/>
      <c r="AS92" s="38" t="n"/>
      <c r="AT92" s="38" t="n"/>
    </row>
    <row r="93">
      <c r="A93" s="8" t="n"/>
      <c r="B93" s="22" t="n"/>
      <c r="C93" s="38" t="n"/>
      <c r="D93" s="111" t="n"/>
      <c r="E93" s="14" t="n"/>
      <c r="F93" s="14" t="n"/>
      <c r="G93" s="14" t="n"/>
      <c r="H93" s="14" t="n"/>
      <c r="I93" s="14" t="n"/>
      <c r="J93" s="14" t="n"/>
      <c r="K93" s="14" t="n"/>
      <c r="L93" s="14" t="n"/>
      <c r="M93" s="14" t="n"/>
      <c r="N93" s="15" t="n"/>
      <c r="O93" s="38" t="n"/>
      <c r="P93" s="111" t="n"/>
      <c r="Q93" s="14" t="n"/>
      <c r="R93" s="14" t="n"/>
      <c r="S93" s="14" t="n"/>
      <c r="T93" s="14" t="n"/>
      <c r="U93" s="14" t="n"/>
      <c r="V93" s="14" t="n"/>
      <c r="W93" s="14" t="n"/>
      <c r="X93" s="14" t="n"/>
      <c r="Y93" s="14" t="n"/>
      <c r="Z93" s="15" t="n"/>
      <c r="AA93" s="38" t="n"/>
      <c r="AB93" s="111" t="n"/>
      <c r="AC93" s="14" t="n"/>
      <c r="AD93" s="14" t="n"/>
      <c r="AE93" s="14" t="n"/>
      <c r="AF93" s="14" t="n"/>
      <c r="AG93" s="14" t="n"/>
      <c r="AH93" s="14" t="n"/>
      <c r="AI93" s="14" t="n"/>
      <c r="AJ93" s="14" t="n"/>
      <c r="AK93" s="14" t="n"/>
      <c r="AL93" s="15" t="n"/>
      <c r="AM93" s="38" t="n"/>
      <c r="AN93" s="38" t="n"/>
      <c r="AO93" s="38" t="n"/>
      <c r="AS93" s="38" t="n"/>
      <c r="AT93" s="38" t="n"/>
    </row>
    <row r="94">
      <c r="A94" s="8" t="n"/>
      <c r="B94" s="22" t="n"/>
      <c r="C94" s="38" t="n"/>
      <c r="D94" s="16" t="n"/>
      <c r="N94" s="17" t="n"/>
      <c r="O94" s="38" t="n"/>
      <c r="P94" s="16" t="n"/>
      <c r="Z94" s="17" t="n"/>
      <c r="AA94" s="38" t="n"/>
      <c r="AB94" s="16" t="n"/>
      <c r="AL94" s="17" t="n"/>
      <c r="AM94" s="38" t="n"/>
      <c r="AN94" s="38" t="n"/>
      <c r="AO94" s="38" t="n"/>
      <c r="AS94" s="38" t="n"/>
      <c r="AT94" s="38" t="n"/>
    </row>
    <row r="95">
      <c r="A95" s="8" t="n"/>
      <c r="B95" s="22" t="n"/>
      <c r="C95" s="38" t="n"/>
      <c r="D95" s="16" t="n"/>
      <c r="N95" s="17" t="n"/>
      <c r="O95" s="38" t="n"/>
      <c r="P95" s="16" t="n"/>
      <c r="Z95" s="17" t="n"/>
      <c r="AA95" s="38" t="n"/>
      <c r="AB95" s="16" t="n"/>
      <c r="AL95" s="17" t="n"/>
      <c r="AM95" s="38" t="n"/>
      <c r="AN95" s="38" t="n"/>
      <c r="AO95" s="38" t="n"/>
      <c r="AS95" s="38" t="n"/>
      <c r="AT95" s="38" t="n"/>
    </row>
    <row r="96">
      <c r="A96" s="8" t="n"/>
      <c r="B96" s="22" t="n"/>
      <c r="C96" s="38" t="n"/>
      <c r="D96" s="18" t="n"/>
      <c r="E96" s="19" t="n"/>
      <c r="F96" s="19" t="n"/>
      <c r="G96" s="19" t="n"/>
      <c r="H96" s="19" t="n"/>
      <c r="I96" s="19" t="n"/>
      <c r="J96" s="19" t="n"/>
      <c r="K96" s="19" t="n"/>
      <c r="L96" s="19" t="n"/>
      <c r="M96" s="19" t="n"/>
      <c r="N96" s="20" t="n"/>
      <c r="O96" s="38" t="n"/>
      <c r="P96" s="18" t="n"/>
      <c r="Q96" s="19" t="n"/>
      <c r="R96" s="19" t="n"/>
      <c r="S96" s="19" t="n"/>
      <c r="T96" s="19" t="n"/>
      <c r="U96" s="19" t="n"/>
      <c r="V96" s="19" t="n"/>
      <c r="W96" s="19" t="n"/>
      <c r="X96" s="19" t="n"/>
      <c r="Y96" s="19" t="n"/>
      <c r="Z96" s="20" t="n"/>
      <c r="AA96" s="38" t="n"/>
      <c r="AB96" s="18" t="n"/>
      <c r="AC96" s="19" t="n"/>
      <c r="AD96" s="19" t="n"/>
      <c r="AE96" s="19" t="n"/>
      <c r="AF96" s="19" t="n"/>
      <c r="AG96" s="19" t="n"/>
      <c r="AH96" s="19" t="n"/>
      <c r="AI96" s="19" t="n"/>
      <c r="AJ96" s="19" t="n"/>
      <c r="AK96" s="19" t="n"/>
      <c r="AL96" s="20" t="n"/>
      <c r="AM96" s="38" t="n"/>
      <c r="AN96" s="38" t="n"/>
      <c r="AO96" s="38" t="n"/>
      <c r="AS96" s="38" t="n"/>
      <c r="AT96" s="38" t="n"/>
    </row>
    <row r="97" ht="5.25" customHeight="1">
      <c r="A97" s="8" t="n"/>
      <c r="B97" s="22"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c r="AA97" s="38" t="n"/>
      <c r="AB97" s="38" t="n"/>
      <c r="AC97" s="38" t="n"/>
      <c r="AD97" s="38" t="n"/>
      <c r="AE97" s="38" t="n"/>
      <c r="AF97" s="38" t="n"/>
      <c r="AG97" s="38" t="n"/>
      <c r="AH97" s="38" t="n"/>
      <c r="AI97" s="38" t="n"/>
      <c r="AJ97" s="38" t="n"/>
      <c r="AK97" s="38" t="n"/>
      <c r="AL97" s="38" t="n"/>
      <c r="AM97" s="38" t="n"/>
      <c r="AN97" s="38" t="n"/>
      <c r="AO97" s="38" t="n"/>
      <c r="AP97" s="38" t="n"/>
      <c r="AQ97" s="38" t="n"/>
      <c r="AR97" s="38" t="n"/>
      <c r="AS97" s="38" t="n"/>
      <c r="AT97" s="38" t="n"/>
    </row>
    <row r="98">
      <c r="A98" s="8" t="n"/>
      <c r="B98" s="22" t="n"/>
      <c r="C98" s="38" t="n"/>
      <c r="D98" s="110" t="inlineStr">
        <is>
          <t>Skill Base de Caminho 2</t>
        </is>
      </c>
      <c r="E98" s="11" t="n"/>
      <c r="F98" s="11" t="n"/>
      <c r="G98" s="11" t="n"/>
      <c r="H98" s="11" t="n"/>
      <c r="I98" s="11" t="n"/>
      <c r="J98" s="11" t="n"/>
      <c r="K98" s="11" t="n"/>
      <c r="L98" s="11" t="n"/>
      <c r="M98" s="11" t="n"/>
      <c r="N98" s="12" t="n"/>
      <c r="O98" s="38" t="n"/>
      <c r="P98" s="110" t="inlineStr">
        <is>
          <t>Skill Base de Trilha 2</t>
        </is>
      </c>
      <c r="Q98" s="11" t="n"/>
      <c r="R98" s="11" t="n"/>
      <c r="S98" s="11" t="n"/>
      <c r="T98" s="11" t="n"/>
      <c r="U98" s="11" t="n"/>
      <c r="V98" s="11" t="n"/>
      <c r="W98" s="11" t="n"/>
      <c r="X98" s="11" t="n"/>
      <c r="Y98" s="11" t="n"/>
      <c r="Z98" s="12" t="n"/>
      <c r="AA98" s="38" t="n"/>
      <c r="AB98" s="110" t="inlineStr">
        <is>
          <t>Outras Anotações</t>
        </is>
      </c>
      <c r="AC98" s="11" t="n"/>
      <c r="AD98" s="11" t="n"/>
      <c r="AE98" s="11" t="n"/>
      <c r="AF98" s="11" t="n"/>
      <c r="AG98" s="11" t="n"/>
      <c r="AH98" s="11" t="n"/>
      <c r="AI98" s="11" t="n"/>
      <c r="AJ98" s="11" t="n"/>
      <c r="AK98" s="11" t="n"/>
      <c r="AL98" s="12" t="n"/>
      <c r="AM98" s="38" t="n"/>
      <c r="AN98" s="38" t="n"/>
      <c r="AO98" s="38" t="n"/>
      <c r="AP98" s="38" t="n"/>
      <c r="AQ98" s="38" t="n"/>
      <c r="AR98" s="38" t="n"/>
      <c r="AS98" s="38" t="n"/>
      <c r="AT98" s="38" t="n"/>
    </row>
    <row r="99" ht="5.25" customHeight="1">
      <c r="A99" s="8" t="n"/>
      <c r="B99" s="22"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c r="AA99" s="38" t="n"/>
      <c r="AB99" s="38" t="n"/>
      <c r="AC99" s="38" t="n"/>
      <c r="AD99" s="38" t="n"/>
      <c r="AE99" s="38" t="n"/>
      <c r="AF99" s="38" t="n"/>
      <c r="AG99" s="38" t="n"/>
      <c r="AH99" s="38" t="n"/>
      <c r="AI99" s="38" t="n"/>
      <c r="AJ99" s="38" t="n"/>
      <c r="AK99" s="38" t="n"/>
      <c r="AL99" s="38" t="n"/>
      <c r="AM99" s="38" t="n"/>
      <c r="AN99" s="38" t="n"/>
      <c r="AO99" s="38" t="n"/>
      <c r="AP99" s="38" t="n"/>
      <c r="AQ99" s="38" t="n"/>
      <c r="AR99" s="38" t="n"/>
      <c r="AS99" s="38" t="n"/>
      <c r="AT99" s="38" t="n"/>
    </row>
    <row r="100">
      <c r="A100" s="8" t="n"/>
      <c r="B100" s="22" t="n"/>
      <c r="C100" s="38" t="n"/>
      <c r="D100" s="111" t="n"/>
      <c r="E100" s="14" t="n"/>
      <c r="F100" s="14" t="n"/>
      <c r="G100" s="14" t="n"/>
      <c r="H100" s="14" t="n"/>
      <c r="I100" s="14" t="n"/>
      <c r="J100" s="14" t="n"/>
      <c r="K100" s="14" t="n"/>
      <c r="L100" s="14" t="n"/>
      <c r="M100" s="14" t="n"/>
      <c r="N100" s="15" t="n"/>
      <c r="O100" s="38" t="n"/>
      <c r="P100" s="111" t="n"/>
      <c r="Q100" s="14" t="n"/>
      <c r="R100" s="14" t="n"/>
      <c r="S100" s="14" t="n"/>
      <c r="T100" s="14" t="n"/>
      <c r="U100" s="14" t="n"/>
      <c r="V100" s="14" t="n"/>
      <c r="W100" s="14" t="n"/>
      <c r="X100" s="14" t="n"/>
      <c r="Y100" s="14" t="n"/>
      <c r="Z100" s="15" t="n"/>
      <c r="AA100" s="38" t="n"/>
      <c r="AB100" s="111" t="n"/>
      <c r="AC100" s="14" t="n"/>
      <c r="AD100" s="14" t="n"/>
      <c r="AE100" s="14" t="n"/>
      <c r="AF100" s="14" t="n"/>
      <c r="AG100" s="14" t="n"/>
      <c r="AH100" s="14" t="n"/>
      <c r="AI100" s="14" t="n"/>
      <c r="AJ100" s="14" t="n"/>
      <c r="AK100" s="14" t="n"/>
      <c r="AL100" s="15" t="n"/>
      <c r="AM100" s="38" t="n"/>
      <c r="AN100" s="38" t="n"/>
      <c r="AO100" s="38" t="n"/>
      <c r="AP100" s="38" t="n"/>
      <c r="AQ100" s="38" t="n"/>
      <c r="AR100" s="38" t="n"/>
      <c r="AS100" s="38" t="n"/>
      <c r="AT100" s="38" t="n"/>
    </row>
    <row r="101">
      <c r="A101" s="8" t="n"/>
      <c r="B101" s="22" t="n"/>
      <c r="C101" s="38" t="n"/>
      <c r="D101" s="16" t="n"/>
      <c r="N101" s="17" t="n"/>
      <c r="O101" s="38" t="n"/>
      <c r="P101" s="16" t="n"/>
      <c r="Z101" s="17" t="n"/>
      <c r="AA101" s="38" t="n"/>
      <c r="AB101" s="16" t="n"/>
      <c r="AL101" s="17" t="n"/>
      <c r="AM101" s="38" t="n"/>
      <c r="AN101" s="38" t="n"/>
      <c r="AO101" s="38" t="n"/>
      <c r="AP101" s="38" t="n"/>
      <c r="AQ101" s="38" t="n"/>
      <c r="AR101" s="38" t="n"/>
      <c r="AS101" s="38" t="n"/>
      <c r="AT101" s="38" t="n"/>
    </row>
    <row r="102">
      <c r="A102" s="8" t="n"/>
      <c r="B102" s="22" t="n"/>
      <c r="C102" s="38" t="n"/>
      <c r="D102" s="16" t="n"/>
      <c r="N102" s="17" t="n"/>
      <c r="O102" s="38" t="n"/>
      <c r="P102" s="16" t="n"/>
      <c r="Z102" s="17" t="n"/>
      <c r="AA102" s="38" t="n"/>
      <c r="AB102" s="16" t="n"/>
      <c r="AL102" s="17" t="n"/>
      <c r="AM102" s="38" t="n"/>
      <c r="AN102" s="38" t="n"/>
      <c r="AO102" s="38" t="n"/>
      <c r="AP102" s="38" t="n"/>
      <c r="AQ102" s="38" t="n"/>
      <c r="AR102" s="38" t="n"/>
      <c r="AS102" s="38" t="n"/>
      <c r="AT102" s="38" t="n"/>
    </row>
    <row r="103">
      <c r="A103" s="8" t="n"/>
      <c r="B103" s="22" t="n"/>
      <c r="C103" s="38" t="n"/>
      <c r="D103" s="18" t="n"/>
      <c r="E103" s="19" t="n"/>
      <c r="F103" s="19" t="n"/>
      <c r="G103" s="19" t="n"/>
      <c r="H103" s="19" t="n"/>
      <c r="I103" s="19" t="n"/>
      <c r="J103" s="19" t="n"/>
      <c r="K103" s="19" t="n"/>
      <c r="L103" s="19" t="n"/>
      <c r="M103" s="19" t="n"/>
      <c r="N103" s="20" t="n"/>
      <c r="O103" s="38" t="n"/>
      <c r="P103" s="18" t="n"/>
      <c r="Q103" s="19" t="n"/>
      <c r="R103" s="19" t="n"/>
      <c r="S103" s="19" t="n"/>
      <c r="T103" s="19" t="n"/>
      <c r="U103" s="19" t="n"/>
      <c r="V103" s="19" t="n"/>
      <c r="W103" s="19" t="n"/>
      <c r="X103" s="19" t="n"/>
      <c r="Y103" s="19" t="n"/>
      <c r="Z103" s="20" t="n"/>
      <c r="AA103" s="38" t="n"/>
      <c r="AB103" s="18" t="n"/>
      <c r="AC103" s="19" t="n"/>
      <c r="AD103" s="19" t="n"/>
      <c r="AE103" s="19" t="n"/>
      <c r="AF103" s="19" t="n"/>
      <c r="AG103" s="19" t="n"/>
      <c r="AH103" s="19" t="n"/>
      <c r="AI103" s="19" t="n"/>
      <c r="AJ103" s="19" t="n"/>
      <c r="AK103" s="19" t="n"/>
      <c r="AL103" s="20" t="n"/>
      <c r="AM103" s="38" t="n"/>
      <c r="AN103" s="38" t="n"/>
      <c r="AO103" s="38" t="n"/>
      <c r="AP103" s="38" t="n"/>
      <c r="AQ103" s="38" t="n"/>
      <c r="AR103" s="38" t="n"/>
      <c r="AS103" s="38" t="n"/>
      <c r="AT103" s="38" t="n"/>
    </row>
    <row r="104" ht="5.25" customHeight="1">
      <c r="A104" s="8" t="n"/>
      <c r="B104" s="22"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c r="AA104" s="38" t="n"/>
      <c r="AB104" s="38" t="n"/>
      <c r="AC104" s="38" t="n"/>
      <c r="AD104" s="38" t="n"/>
      <c r="AE104" s="38" t="n"/>
      <c r="AF104" s="38" t="n"/>
      <c r="AG104" s="38" t="n"/>
      <c r="AH104" s="38" t="n"/>
      <c r="AI104" s="38" t="n"/>
      <c r="AJ104" s="38" t="n"/>
      <c r="AK104" s="38" t="n"/>
      <c r="AL104" s="38" t="n"/>
      <c r="AM104" s="38" t="n"/>
      <c r="AN104" s="38" t="n"/>
      <c r="AO104" s="38" t="n"/>
      <c r="AP104" s="38" t="n"/>
      <c r="AQ104" s="38" t="n"/>
      <c r="AR104" s="38" t="n"/>
      <c r="AS104" s="38" t="n"/>
      <c r="AT104" s="38" t="n"/>
    </row>
    <row r="105">
      <c r="A105" s="8" t="n"/>
      <c r="B105" s="22" t="n"/>
      <c r="C105" s="38" t="n"/>
      <c r="D105" s="110" t="inlineStr">
        <is>
          <t>Skill Base de Caminho 3</t>
        </is>
      </c>
      <c r="E105" s="11" t="n"/>
      <c r="F105" s="11" t="n"/>
      <c r="G105" s="11" t="n"/>
      <c r="H105" s="11" t="n"/>
      <c r="I105" s="11" t="n"/>
      <c r="J105" s="11" t="n"/>
      <c r="K105" s="11" t="n"/>
      <c r="L105" s="11" t="n"/>
      <c r="M105" s="11" t="n"/>
      <c r="N105" s="12" t="n"/>
      <c r="O105" s="38" t="n"/>
      <c r="P105" s="110" t="inlineStr">
        <is>
          <t>Skill Base de Trilha 3</t>
        </is>
      </c>
      <c r="Q105" s="11" t="n"/>
      <c r="R105" s="11" t="n"/>
      <c r="S105" s="11" t="n"/>
      <c r="T105" s="11" t="n"/>
      <c r="U105" s="11" t="n"/>
      <c r="V105" s="11" t="n"/>
      <c r="W105" s="11" t="n"/>
      <c r="X105" s="11" t="n"/>
      <c r="Y105" s="11" t="n"/>
      <c r="Z105" s="12" t="n"/>
      <c r="AA105" s="38" t="n"/>
      <c r="AB105" s="110" t="inlineStr">
        <is>
          <t>Outras Anotações</t>
        </is>
      </c>
      <c r="AC105" s="11" t="n"/>
      <c r="AD105" s="11" t="n"/>
      <c r="AE105" s="11" t="n"/>
      <c r="AF105" s="11" t="n"/>
      <c r="AG105" s="11" t="n"/>
      <c r="AH105" s="11" t="n"/>
      <c r="AI105" s="11" t="n"/>
      <c r="AJ105" s="11" t="n"/>
      <c r="AK105" s="11" t="n"/>
      <c r="AL105" s="12" t="n"/>
      <c r="AM105" s="38" t="n"/>
      <c r="AN105" s="38" t="n"/>
      <c r="AO105" s="38" t="n"/>
      <c r="AP105" s="38" t="n"/>
      <c r="AQ105" s="38" t="n"/>
      <c r="AR105" s="38" t="n"/>
      <c r="AS105" s="38" t="n"/>
      <c r="AT105" s="38" t="n"/>
    </row>
    <row r="106" ht="5.25" customHeight="1">
      <c r="A106" s="8" t="n"/>
      <c r="B106" s="22"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c r="AA106" s="38" t="n"/>
      <c r="AB106" s="38" t="n"/>
      <c r="AC106" s="38" t="n"/>
      <c r="AD106" s="38" t="n"/>
      <c r="AE106" s="38" t="n"/>
      <c r="AF106" s="38" t="n"/>
      <c r="AG106" s="38" t="n"/>
      <c r="AH106" s="38" t="n"/>
      <c r="AI106" s="38" t="n"/>
      <c r="AJ106" s="38" t="n"/>
      <c r="AK106" s="38" t="n"/>
      <c r="AL106" s="38" t="n"/>
      <c r="AM106" s="38" t="n"/>
      <c r="AN106" s="38" t="n"/>
      <c r="AO106" s="38" t="n"/>
      <c r="AP106" s="38" t="n"/>
      <c r="AQ106" s="38" t="n"/>
      <c r="AR106" s="38" t="n"/>
      <c r="AS106" s="38" t="n"/>
      <c r="AT106" s="38" t="n"/>
    </row>
    <row r="107">
      <c r="A107" s="8" t="n"/>
      <c r="B107" s="22" t="n"/>
      <c r="C107" s="38" t="n"/>
      <c r="D107" s="111" t="n"/>
      <c r="E107" s="14" t="n"/>
      <c r="F107" s="14" t="n"/>
      <c r="G107" s="14" t="n"/>
      <c r="H107" s="14" t="n"/>
      <c r="I107" s="14" t="n"/>
      <c r="J107" s="14" t="n"/>
      <c r="K107" s="14" t="n"/>
      <c r="L107" s="14" t="n"/>
      <c r="M107" s="14" t="n"/>
      <c r="N107" s="15" t="n"/>
      <c r="O107" s="38" t="n"/>
      <c r="P107" s="111" t="n"/>
      <c r="Q107" s="14" t="n"/>
      <c r="R107" s="14" t="n"/>
      <c r="S107" s="14" t="n"/>
      <c r="T107" s="14" t="n"/>
      <c r="U107" s="14" t="n"/>
      <c r="V107" s="14" t="n"/>
      <c r="W107" s="14" t="n"/>
      <c r="X107" s="14" t="n"/>
      <c r="Y107" s="14" t="n"/>
      <c r="Z107" s="15" t="n"/>
      <c r="AA107" s="38" t="n"/>
      <c r="AB107" s="111" t="n"/>
      <c r="AC107" s="14" t="n"/>
      <c r="AD107" s="14" t="n"/>
      <c r="AE107" s="14" t="n"/>
      <c r="AF107" s="14" t="n"/>
      <c r="AG107" s="14" t="n"/>
      <c r="AH107" s="14" t="n"/>
      <c r="AI107" s="14" t="n"/>
      <c r="AJ107" s="14" t="n"/>
      <c r="AK107" s="14" t="n"/>
      <c r="AL107" s="15" t="n"/>
      <c r="AM107" s="38" t="n"/>
      <c r="AN107" s="38" t="n"/>
      <c r="AO107" s="38" t="n"/>
      <c r="AP107" s="38" t="n"/>
      <c r="AQ107" s="38" t="n"/>
      <c r="AR107" s="38" t="n"/>
      <c r="AS107" s="38" t="n"/>
      <c r="AT107" s="38" t="n"/>
    </row>
    <row r="108">
      <c r="A108" s="8" t="n"/>
      <c r="B108" s="22" t="n"/>
      <c r="C108" s="38" t="n"/>
      <c r="D108" s="16" t="n"/>
      <c r="N108" s="17" t="n"/>
      <c r="O108" s="38" t="n"/>
      <c r="P108" s="16" t="n"/>
      <c r="Z108" s="17" t="n"/>
      <c r="AA108" s="38" t="n"/>
      <c r="AB108" s="16" t="n"/>
      <c r="AL108" s="17" t="n"/>
      <c r="AM108" s="38" t="n"/>
      <c r="AN108" s="38" t="n"/>
      <c r="AO108" s="38" t="n"/>
      <c r="AP108" s="38" t="n"/>
      <c r="AQ108" s="38" t="n"/>
      <c r="AR108" s="38" t="n"/>
      <c r="AS108" s="38" t="n"/>
      <c r="AT108" s="38" t="n"/>
    </row>
    <row r="109">
      <c r="A109" s="8" t="n"/>
      <c r="B109" s="22" t="n"/>
      <c r="C109" s="38" t="n"/>
      <c r="D109" s="16" t="n"/>
      <c r="N109" s="17" t="n"/>
      <c r="O109" s="38" t="n"/>
      <c r="P109" s="16" t="n"/>
      <c r="Z109" s="17" t="n"/>
      <c r="AA109" s="38" t="n"/>
      <c r="AB109" s="16" t="n"/>
      <c r="AL109" s="17" t="n"/>
      <c r="AM109" s="38" t="n"/>
      <c r="AN109" s="38" t="n"/>
      <c r="AO109" s="38" t="n"/>
      <c r="AP109" s="38" t="n"/>
      <c r="AQ109" s="38" t="n"/>
      <c r="AR109" s="38" t="n"/>
      <c r="AS109" s="38" t="n"/>
      <c r="AT109" s="38" t="n"/>
    </row>
    <row r="110">
      <c r="A110" s="8" t="n"/>
      <c r="B110" s="22" t="n"/>
      <c r="C110" s="38" t="n"/>
      <c r="D110" s="18" t="n"/>
      <c r="E110" s="19" t="n"/>
      <c r="F110" s="19" t="n"/>
      <c r="G110" s="19" t="n"/>
      <c r="H110" s="19" t="n"/>
      <c r="I110" s="19" t="n"/>
      <c r="J110" s="19" t="n"/>
      <c r="K110" s="19" t="n"/>
      <c r="L110" s="19" t="n"/>
      <c r="M110" s="19" t="n"/>
      <c r="N110" s="20" t="n"/>
      <c r="O110" s="38" t="n"/>
      <c r="P110" s="18" t="n"/>
      <c r="Q110" s="19" t="n"/>
      <c r="R110" s="19" t="n"/>
      <c r="S110" s="19" t="n"/>
      <c r="T110" s="19" t="n"/>
      <c r="U110" s="19" t="n"/>
      <c r="V110" s="19" t="n"/>
      <c r="W110" s="19" t="n"/>
      <c r="X110" s="19" t="n"/>
      <c r="Y110" s="19" t="n"/>
      <c r="Z110" s="20" t="n"/>
      <c r="AA110" s="38" t="n"/>
      <c r="AB110" s="18" t="n"/>
      <c r="AC110" s="19" t="n"/>
      <c r="AD110" s="19" t="n"/>
      <c r="AE110" s="19" t="n"/>
      <c r="AF110" s="19" t="n"/>
      <c r="AG110" s="19" t="n"/>
      <c r="AH110" s="19" t="n"/>
      <c r="AI110" s="19" t="n"/>
      <c r="AJ110" s="19" t="n"/>
      <c r="AK110" s="19" t="n"/>
      <c r="AL110" s="20" t="n"/>
      <c r="AM110" s="38" t="n"/>
      <c r="AN110" s="38" t="n"/>
      <c r="AO110" s="38" t="n"/>
      <c r="AP110" s="38" t="n"/>
      <c r="AQ110" s="38" t="n"/>
      <c r="AR110" s="38" t="n"/>
      <c r="AS110" s="38" t="n"/>
      <c r="AT110" s="38" t="n"/>
    </row>
    <row r="111" ht="5.25" customHeight="1">
      <c r="A111" s="8" t="n"/>
      <c r="B111" s="22"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c r="AA111" s="38" t="n"/>
      <c r="AB111" s="38" t="n"/>
      <c r="AC111" s="38" t="n"/>
      <c r="AD111" s="38" t="n"/>
      <c r="AE111" s="38" t="n"/>
      <c r="AF111" s="38" t="n"/>
      <c r="AG111" s="38" t="n"/>
      <c r="AH111" s="38" t="n"/>
      <c r="AI111" s="38" t="n"/>
      <c r="AJ111" s="38" t="n"/>
      <c r="AK111" s="38" t="n"/>
      <c r="AL111" s="38" t="n"/>
      <c r="AM111" s="38" t="n"/>
      <c r="AN111" s="38" t="n"/>
      <c r="AO111" s="38" t="n"/>
      <c r="AP111" s="38" t="n"/>
      <c r="AQ111" s="38" t="n"/>
      <c r="AR111" s="38" t="n"/>
      <c r="AS111" s="38" t="n"/>
      <c r="AT111" s="38" t="n"/>
    </row>
    <row r="112">
      <c r="A112" s="8" t="n"/>
      <c r="B112" s="22" t="n"/>
      <c r="C112" s="38" t="n"/>
      <c r="D112" s="110" t="inlineStr">
        <is>
          <t>Skill Base de Caminho 4</t>
        </is>
      </c>
      <c r="E112" s="11" t="n"/>
      <c r="F112" s="11" t="n"/>
      <c r="G112" s="11" t="n"/>
      <c r="H112" s="11" t="n"/>
      <c r="I112" s="11" t="n"/>
      <c r="J112" s="11" t="n"/>
      <c r="K112" s="11" t="n"/>
      <c r="L112" s="11" t="n"/>
      <c r="M112" s="11" t="n"/>
      <c r="N112" s="12" t="n"/>
      <c r="O112" s="38" t="n"/>
      <c r="P112" s="110" t="inlineStr">
        <is>
          <t>Skill Base de Trilha 4</t>
        </is>
      </c>
      <c r="Q112" s="11" t="n"/>
      <c r="R112" s="11" t="n"/>
      <c r="S112" s="11" t="n"/>
      <c r="T112" s="11" t="n"/>
      <c r="U112" s="11" t="n"/>
      <c r="V112" s="11" t="n"/>
      <c r="W112" s="11" t="n"/>
      <c r="X112" s="11" t="n"/>
      <c r="Y112" s="11" t="n"/>
      <c r="Z112" s="12" t="n"/>
      <c r="AA112" s="38" t="n"/>
      <c r="AB112" s="110" t="inlineStr">
        <is>
          <t>Outras Anotações</t>
        </is>
      </c>
      <c r="AC112" s="11" t="n"/>
      <c r="AD112" s="11" t="n"/>
      <c r="AE112" s="11" t="n"/>
      <c r="AF112" s="11" t="n"/>
      <c r="AG112" s="11" t="n"/>
      <c r="AH112" s="11" t="n"/>
      <c r="AI112" s="11" t="n"/>
      <c r="AJ112" s="11" t="n"/>
      <c r="AK112" s="11" t="n"/>
      <c r="AL112" s="12" t="n"/>
      <c r="AM112" s="38" t="n"/>
      <c r="AN112" s="38" t="n"/>
      <c r="AO112" s="38" t="n"/>
      <c r="AP112" s="38" t="n"/>
      <c r="AQ112" s="38" t="n"/>
      <c r="AR112" s="38" t="n"/>
      <c r="AS112" s="38" t="n"/>
      <c r="AT112" s="38" t="n"/>
    </row>
    <row r="113" ht="5.25" customHeight="1">
      <c r="A113" s="8" t="n"/>
      <c r="B113" s="22"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c r="AA113" s="38" t="n"/>
      <c r="AB113" s="38" t="n"/>
      <c r="AC113" s="38" t="n"/>
      <c r="AD113" s="38" t="n"/>
      <c r="AE113" s="38" t="n"/>
      <c r="AF113" s="38" t="n"/>
      <c r="AG113" s="38" t="n"/>
      <c r="AH113" s="38" t="n"/>
      <c r="AI113" s="38" t="n"/>
      <c r="AJ113" s="38" t="n"/>
      <c r="AK113" s="38" t="n"/>
      <c r="AL113" s="38" t="n"/>
      <c r="AM113" s="38" t="n"/>
      <c r="AN113" s="38" t="n"/>
      <c r="AO113" s="38" t="n"/>
      <c r="AP113" s="38" t="n"/>
      <c r="AQ113" s="38" t="n"/>
      <c r="AR113" s="38" t="n"/>
      <c r="AS113" s="38" t="n"/>
      <c r="AT113" s="38" t="n"/>
    </row>
    <row r="114">
      <c r="A114" s="8" t="n"/>
      <c r="B114" s="22" t="n"/>
      <c r="C114" s="38" t="n"/>
      <c r="D114" s="111" t="n"/>
      <c r="E114" s="14" t="n"/>
      <c r="F114" s="14" t="n"/>
      <c r="G114" s="14" t="n"/>
      <c r="H114" s="14" t="n"/>
      <c r="I114" s="14" t="n"/>
      <c r="J114" s="14" t="n"/>
      <c r="K114" s="14" t="n"/>
      <c r="L114" s="14" t="n"/>
      <c r="M114" s="14" t="n"/>
      <c r="N114" s="15" t="n"/>
      <c r="O114" s="38" t="n"/>
      <c r="P114" s="111" t="n"/>
      <c r="Q114" s="14" t="n"/>
      <c r="R114" s="14" t="n"/>
      <c r="S114" s="14" t="n"/>
      <c r="T114" s="14" t="n"/>
      <c r="U114" s="14" t="n"/>
      <c r="V114" s="14" t="n"/>
      <c r="W114" s="14" t="n"/>
      <c r="X114" s="14" t="n"/>
      <c r="Y114" s="14" t="n"/>
      <c r="Z114" s="15" t="n"/>
      <c r="AA114" s="38" t="n"/>
      <c r="AB114" s="111" t="n"/>
      <c r="AC114" s="14" t="n"/>
      <c r="AD114" s="14" t="n"/>
      <c r="AE114" s="14" t="n"/>
      <c r="AF114" s="14" t="n"/>
      <c r="AG114" s="14" t="n"/>
      <c r="AH114" s="14" t="n"/>
      <c r="AI114" s="14" t="n"/>
      <c r="AJ114" s="14" t="n"/>
      <c r="AK114" s="14" t="n"/>
      <c r="AL114" s="15" t="n"/>
      <c r="AM114" s="38" t="n"/>
      <c r="AN114" s="38" t="n"/>
      <c r="AO114" s="38" t="n"/>
      <c r="AP114" s="38" t="n"/>
      <c r="AQ114" s="38" t="n"/>
      <c r="AR114" s="38" t="n"/>
      <c r="AS114" s="38" t="n"/>
      <c r="AT114" s="38" t="n"/>
    </row>
    <row r="115">
      <c r="A115" s="8" t="n"/>
      <c r="B115" s="22" t="n"/>
      <c r="C115" s="38" t="n"/>
      <c r="D115" s="16" t="n"/>
      <c r="N115" s="17" t="n"/>
      <c r="O115" s="38" t="n"/>
      <c r="P115" s="16" t="n"/>
      <c r="Z115" s="17" t="n"/>
      <c r="AA115" s="38" t="n"/>
      <c r="AB115" s="16" t="n"/>
      <c r="AL115" s="17" t="n"/>
      <c r="AM115" s="38" t="n"/>
      <c r="AN115" s="38" t="n"/>
      <c r="AO115" s="38" t="n"/>
      <c r="AP115" s="38" t="n"/>
      <c r="AQ115" s="38" t="n"/>
      <c r="AR115" s="38" t="n"/>
      <c r="AS115" s="38" t="n"/>
      <c r="AT115" s="38" t="n"/>
    </row>
    <row r="116">
      <c r="A116" s="8" t="n"/>
      <c r="B116" s="22" t="n"/>
      <c r="C116" s="38" t="n"/>
      <c r="D116" s="16" t="n"/>
      <c r="N116" s="17" t="n"/>
      <c r="O116" s="38" t="n"/>
      <c r="P116" s="16" t="n"/>
      <c r="Z116" s="17" t="n"/>
      <c r="AA116" s="38" t="n"/>
      <c r="AB116" s="16" t="n"/>
      <c r="AL116" s="17" t="n"/>
      <c r="AM116" s="38" t="n"/>
      <c r="AN116" s="38" t="n"/>
      <c r="AO116" s="38" t="n"/>
      <c r="AP116" s="38" t="n"/>
      <c r="AQ116" s="38" t="n"/>
      <c r="AR116" s="38" t="n"/>
      <c r="AS116" s="38" t="n"/>
      <c r="AT116" s="38" t="n"/>
    </row>
    <row r="117">
      <c r="A117" s="8" t="n"/>
      <c r="B117" s="22" t="n"/>
      <c r="C117" s="38" t="n"/>
      <c r="D117" s="18" t="n"/>
      <c r="E117" s="19" t="n"/>
      <c r="F117" s="19" t="n"/>
      <c r="G117" s="19" t="n"/>
      <c r="H117" s="19" t="n"/>
      <c r="I117" s="19" t="n"/>
      <c r="J117" s="19" t="n"/>
      <c r="K117" s="19" t="n"/>
      <c r="L117" s="19" t="n"/>
      <c r="M117" s="19" t="n"/>
      <c r="N117" s="20" t="n"/>
      <c r="O117" s="38" t="n"/>
      <c r="P117" s="18" t="n"/>
      <c r="Q117" s="19" t="n"/>
      <c r="R117" s="19" t="n"/>
      <c r="S117" s="19" t="n"/>
      <c r="T117" s="19" t="n"/>
      <c r="U117" s="19" t="n"/>
      <c r="V117" s="19" t="n"/>
      <c r="W117" s="19" t="n"/>
      <c r="X117" s="19" t="n"/>
      <c r="Y117" s="19" t="n"/>
      <c r="Z117" s="20" t="n"/>
      <c r="AA117" s="38" t="n"/>
      <c r="AB117" s="18" t="n"/>
      <c r="AC117" s="19" t="n"/>
      <c r="AD117" s="19" t="n"/>
      <c r="AE117" s="19" t="n"/>
      <c r="AF117" s="19" t="n"/>
      <c r="AG117" s="19" t="n"/>
      <c r="AH117" s="19" t="n"/>
      <c r="AI117" s="19" t="n"/>
      <c r="AJ117" s="19" t="n"/>
      <c r="AK117" s="19" t="n"/>
      <c r="AL117" s="20" t="n"/>
      <c r="AM117" s="38" t="n"/>
      <c r="AN117" s="38" t="n"/>
      <c r="AO117" s="38" t="n"/>
      <c r="AP117" s="38" t="n"/>
      <c r="AQ117" s="38" t="n"/>
      <c r="AR117" s="38" t="n"/>
      <c r="AS117" s="38" t="n"/>
      <c r="AT117" s="38" t="n"/>
    </row>
    <row r="118">
      <c r="A118" s="8" t="n"/>
      <c r="B118" s="22"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c r="AA118" s="38" t="n"/>
      <c r="AB118" s="38" t="n"/>
      <c r="AC118" s="38" t="n"/>
      <c r="AD118" s="38" t="n"/>
      <c r="AE118" s="38" t="n"/>
      <c r="AF118" s="38" t="n"/>
      <c r="AG118" s="38" t="n"/>
      <c r="AH118" s="38" t="n"/>
      <c r="AI118" s="38" t="n"/>
      <c r="AJ118" s="38" t="n"/>
      <c r="AK118" s="38" t="n"/>
      <c r="AL118" s="38" t="n"/>
      <c r="AM118" s="38" t="n"/>
      <c r="AN118" s="38" t="n"/>
      <c r="AO118" s="38" t="n"/>
      <c r="AP118" s="38" t="n"/>
      <c r="AQ118" s="38" t="n"/>
      <c r="AR118" s="38" t="n"/>
      <c r="AS118" s="38" t="n"/>
      <c r="AT118" s="38" t="n"/>
    </row>
    <row r="119" ht="27" customHeight="1">
      <c r="A119" s="8" t="n"/>
      <c r="B119" s="22" t="n"/>
      <c r="C119" s="38" t="n"/>
      <c r="D119" s="63" t="n">
        <v>8</v>
      </c>
      <c r="E119" s="14" t="n"/>
      <c r="F119" s="15" t="n"/>
      <c r="G119" s="85">
        <f>IF(DADOS!$AK$30=1,"BÊNÇÃOS E KATAS",IF(DADOS!$AK$32=1,"APTIDÕES E KATAS",IF(DADOS!$AK$31=1,"APTIDÕES E MANEJOS","APTIDÕES E FEITIÇOS")))</f>
        <v/>
      </c>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c r="AB119" s="11" t="n"/>
      <c r="AC119" s="11" t="n"/>
      <c r="AD119" s="11" t="n"/>
      <c r="AE119" s="11" t="n"/>
      <c r="AF119" s="11" t="n"/>
      <c r="AG119" s="11" t="n"/>
      <c r="AH119" s="12" t="n"/>
      <c r="AI119" s="38" t="n"/>
      <c r="AJ119" s="38" t="n"/>
      <c r="AK119" s="38" t="n"/>
      <c r="AL119" s="38" t="n"/>
      <c r="AM119" s="38" t="n"/>
      <c r="AN119" s="38" t="n"/>
      <c r="AO119" s="38" t="n"/>
      <c r="AP119" s="38" t="n"/>
      <c r="AQ119" s="38" t="n"/>
      <c r="AR119" s="38" t="n"/>
      <c r="AS119" s="38" t="n"/>
      <c r="AT119" s="38" t="n"/>
    </row>
    <row r="120">
      <c r="A120" s="8" t="n"/>
      <c r="B120" s="22" t="n"/>
      <c r="C120" s="38" t="n"/>
      <c r="D120" s="18" t="n"/>
      <c r="E120" s="19" t="n"/>
      <c r="F120" s="20"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c r="AA120" s="38" t="n"/>
      <c r="AB120" s="38" t="n"/>
      <c r="AC120" s="38" t="n"/>
      <c r="AD120" s="38" t="n"/>
      <c r="AE120" s="38" t="n"/>
      <c r="AF120" s="38" t="n"/>
      <c r="AG120" s="38" t="n"/>
      <c r="AH120" s="38" t="n"/>
      <c r="AI120" s="38" t="n"/>
      <c r="AJ120" s="38" t="n"/>
      <c r="AK120" s="38" t="n"/>
      <c r="AL120" s="38" t="n"/>
      <c r="AM120" s="38" t="n"/>
      <c r="AN120" s="38" t="n"/>
      <c r="AO120" s="38" t="n"/>
      <c r="AP120" s="38" t="n"/>
      <c r="AQ120" s="38" t="n"/>
      <c r="AR120" s="38" t="n"/>
      <c r="AS120" s="38" t="n"/>
      <c r="AT120" s="38" t="n"/>
    </row>
    <row r="121" ht="4.5" customHeight="1">
      <c r="A121" s="8" t="n"/>
      <c r="B121" s="22"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c r="AA121" s="38" t="n"/>
      <c r="AB121" s="38" t="n"/>
      <c r="AC121" s="38" t="n"/>
      <c r="AD121" s="38" t="n"/>
      <c r="AE121" s="38" t="n"/>
      <c r="AF121" s="38" t="n"/>
      <c r="AG121" s="38" t="n"/>
      <c r="AH121" s="38" t="n"/>
      <c r="AI121" s="38" t="n"/>
      <c r="AJ121" s="38" t="n"/>
      <c r="AK121" s="38" t="n"/>
      <c r="AL121" s="38" t="n"/>
      <c r="AM121" s="38" t="n"/>
      <c r="AN121" s="38" t="n"/>
      <c r="AO121" s="38" t="n"/>
      <c r="AP121" s="38" t="n"/>
      <c r="AQ121" s="38" t="n"/>
      <c r="AR121" s="38" t="n"/>
      <c r="AS121" s="38" t="n"/>
      <c r="AT121" s="38" t="n"/>
    </row>
    <row r="122">
      <c r="A122" s="8" t="n"/>
      <c r="B122" s="22" t="n"/>
      <c r="C122" s="38" t="n"/>
      <c r="D122" s="110" t="inlineStr">
        <is>
          <t>Classe</t>
        </is>
      </c>
      <c r="E122" s="12" t="n"/>
      <c r="F122" s="110">
        <f>(IF(DADOS!$AK$32=1,"Katas",IF(DADOS!$AK$31=1,"Manejos","Feitiços")))&amp;" - Disponível: " &amp; (D57 - COUNTIF(D124:D144,"&gt;0") - SUM(V139:W144)) &amp; " - Conhecidos (Total): " &amp; D57 &amp; " - Classe 0: " &amp; (AK57 - COUNTIFS(D124:D144,0,F124:F144,"&lt;&gt;")) &amp; "/" &amp; AK57</f>
        <v/>
      </c>
      <c r="G122" s="11" t="n"/>
      <c r="H122" s="11" t="n"/>
      <c r="I122" s="11" t="n"/>
      <c r="J122" s="11" t="n"/>
      <c r="K122" s="11" t="n"/>
      <c r="L122" s="11" t="n"/>
      <c r="M122" s="11" t="n"/>
      <c r="N122" s="11" t="n"/>
      <c r="O122" s="11" t="n"/>
      <c r="P122" s="11" t="n"/>
      <c r="Q122" s="11" t="n"/>
      <c r="R122" s="11" t="n"/>
      <c r="S122" s="11" t="n"/>
      <c r="T122" s="12" t="n"/>
      <c r="U122" s="112" t="n"/>
      <c r="V122" s="110">
        <f>IF(DADOS!$AK$30=1,"Lapidação Atual: ","Refino Atual: ")&amp;DADOS!$AK$34&amp;"/10 - "&amp;IF(DADOS!$AK$30=1,"Bênçãos","Aptidões")&amp;" Disponíveis: "&amp;IF(DADOS!$AK$37&gt;DADOS!$AK$36,DADOS!$AK$37-DADOS!$AK$36&amp;" a mais",DADOS!$AK$36-DADOS!$AK$37&amp;" de "&amp;DADOS!$AK$36)</f>
        <v/>
      </c>
      <c r="W122" s="11" t="n"/>
      <c r="X122" s="11" t="n"/>
      <c r="Y122" s="11" t="n"/>
      <c r="Z122" s="11" t="n"/>
      <c r="AA122" s="11" t="n"/>
      <c r="AB122" s="11" t="n"/>
      <c r="AC122" s="11" t="n"/>
      <c r="AD122" s="11" t="n"/>
      <c r="AE122" s="11" t="n"/>
      <c r="AF122" s="11" t="n"/>
      <c r="AG122" s="11" t="n"/>
      <c r="AH122" s="11" t="n"/>
      <c r="AI122" s="11" t="n"/>
      <c r="AJ122" s="11" t="n"/>
      <c r="AK122" s="11" t="n"/>
      <c r="AL122" s="12" t="n"/>
      <c r="AM122" s="38" t="n"/>
      <c r="AN122" s="38" t="n"/>
      <c r="AO122" s="38" t="n"/>
      <c r="AP122" s="38" t="n"/>
      <c r="AQ122" s="38" t="n"/>
      <c r="AR122" s="38" t="n"/>
      <c r="AS122" s="38" t="n"/>
      <c r="AT122" s="38" t="n"/>
    </row>
    <row r="123" ht="5.25" customHeight="1">
      <c r="A123" s="8" t="n"/>
      <c r="B123" s="22" t="n"/>
      <c r="C123" s="38" t="n"/>
      <c r="D123" s="112" t="n"/>
      <c r="E123" s="112" t="n"/>
      <c r="F123" s="112" t="n"/>
      <c r="G123" s="112" t="n"/>
      <c r="H123" s="112" t="n"/>
      <c r="I123" s="112" t="n"/>
      <c r="J123" s="112" t="n"/>
      <c r="K123" s="112" t="n"/>
      <c r="L123" s="112" t="n"/>
      <c r="M123" s="112" t="n"/>
      <c r="N123" s="112" t="n"/>
      <c r="O123" s="112" t="n"/>
      <c r="P123" s="112" t="n"/>
      <c r="Q123" s="112" t="n"/>
      <c r="R123" s="112" t="n"/>
      <c r="S123" s="112" t="n"/>
      <c r="T123" s="112" t="n"/>
      <c r="U123" s="112" t="n"/>
      <c r="V123" s="112" t="n"/>
      <c r="W123" s="112" t="n"/>
      <c r="X123" s="112" t="n"/>
      <c r="Y123" s="112" t="n"/>
      <c r="Z123" s="112" t="n"/>
      <c r="AA123" s="112" t="n"/>
      <c r="AB123" s="112" t="n"/>
      <c r="AC123" s="112" t="n"/>
      <c r="AD123" s="112" t="n"/>
      <c r="AE123" s="112" t="n"/>
      <c r="AF123" s="112" t="n"/>
      <c r="AG123" s="112" t="n"/>
      <c r="AH123" s="112" t="n"/>
      <c r="AI123" s="112" t="n"/>
      <c r="AJ123" s="112" t="n"/>
      <c r="AK123" s="112" t="n"/>
      <c r="AL123" s="112" t="n"/>
      <c r="AM123" s="38" t="n"/>
      <c r="AN123" s="38" t="n"/>
      <c r="AO123" s="38" t="n"/>
      <c r="AP123" s="38" t="n"/>
      <c r="AQ123" s="38" t="n"/>
      <c r="AR123" s="38" t="n"/>
      <c r="AS123" s="38" t="n"/>
      <c r="AT123" s="38" t="n"/>
    </row>
    <row r="124">
      <c r="A124" s="8" t="n"/>
      <c r="B124" s="22" t="n"/>
      <c r="C124" s="38" t="n"/>
      <c r="D124" s="113" t="n">
        <v>0</v>
      </c>
      <c r="E124" s="12" t="n"/>
      <c r="F124" s="32" t="n"/>
      <c r="G124" s="11" t="n"/>
      <c r="H124" s="11" t="n"/>
      <c r="I124" s="11" t="n"/>
      <c r="J124" s="11" t="n"/>
      <c r="K124" s="11" t="n"/>
      <c r="L124" s="11" t="n"/>
      <c r="M124" s="11" t="n"/>
      <c r="N124" s="11" t="n"/>
      <c r="O124" s="11" t="n"/>
      <c r="P124" s="11" t="n"/>
      <c r="Q124" s="11" t="n"/>
      <c r="R124" s="11" t="n"/>
      <c r="S124" s="11" t="n"/>
      <c r="T124" s="12" t="n"/>
      <c r="U124" s="112" t="n"/>
      <c r="V124" s="32">
        <f>IF(DADOS!$AK$30=1,"Defesa sem Armadura","Cobrir-se de energia")</f>
        <v/>
      </c>
      <c r="W124" s="11" t="n"/>
      <c r="X124" s="11" t="n"/>
      <c r="Y124" s="11" t="n"/>
      <c r="Z124" s="11" t="n"/>
      <c r="AA124" s="11" t="n"/>
      <c r="AB124" s="11" t="n"/>
      <c r="AC124" s="11" t="n"/>
      <c r="AD124" s="11" t="n"/>
      <c r="AE124" s="11" t="n"/>
      <c r="AF124" s="11" t="n"/>
      <c r="AG124" s="11" t="n"/>
      <c r="AH124" s="11" t="n"/>
      <c r="AI124" s="11" t="n"/>
      <c r="AJ124" s="11" t="n"/>
      <c r="AK124" s="11" t="n"/>
      <c r="AL124" s="12" t="n"/>
      <c r="AM124" s="38" t="n"/>
      <c r="AN124" s="38" t="n"/>
      <c r="AO124" s="38" t="n"/>
      <c r="AP124" s="38" t="n"/>
      <c r="AQ124" s="38" t="n"/>
      <c r="AR124" s="38" t="n"/>
      <c r="AS124" s="38" t="n"/>
      <c r="AT124" s="38" t="n"/>
    </row>
    <row r="125">
      <c r="A125" s="8" t="n"/>
      <c r="B125" s="22" t="n"/>
      <c r="C125" s="38" t="n"/>
      <c r="D125" s="113" t="n">
        <v>0</v>
      </c>
      <c r="E125" s="12" t="n"/>
      <c r="F125" s="32" t="n"/>
      <c r="G125" s="11" t="n"/>
      <c r="H125" s="11" t="n"/>
      <c r="I125" s="11" t="n"/>
      <c r="J125" s="11" t="n"/>
      <c r="K125" s="11" t="n"/>
      <c r="L125" s="11" t="n"/>
      <c r="M125" s="11" t="n"/>
      <c r="N125" s="11" t="n"/>
      <c r="O125" s="11" t="n"/>
      <c r="P125" s="11" t="n"/>
      <c r="Q125" s="11" t="n"/>
      <c r="R125" s="11" t="n"/>
      <c r="S125" s="11" t="n"/>
      <c r="T125" s="12" t="n"/>
      <c r="U125" s="112" t="n"/>
      <c r="V125" s="32">
        <f>IF(DADOS!$AK$30=1,"Estímulo Muscular","Canalizar energia")</f>
        <v/>
      </c>
      <c r="W125" s="11" t="n"/>
      <c r="X125" s="11" t="n"/>
      <c r="Y125" s="11" t="n"/>
      <c r="Z125" s="11" t="n"/>
      <c r="AA125" s="11" t="n"/>
      <c r="AB125" s="11" t="n"/>
      <c r="AC125" s="11" t="n"/>
      <c r="AD125" s="11" t="n"/>
      <c r="AE125" s="11" t="n"/>
      <c r="AF125" s="11" t="n"/>
      <c r="AG125" s="11" t="n"/>
      <c r="AH125" s="11" t="n"/>
      <c r="AI125" s="11" t="n"/>
      <c r="AJ125" s="11" t="n"/>
      <c r="AK125" s="11" t="n"/>
      <c r="AL125" s="12" t="n"/>
      <c r="AM125" s="38" t="n"/>
      <c r="AN125" s="38" t="n"/>
      <c r="AO125" s="38" t="n"/>
      <c r="AP125" s="38" t="n"/>
      <c r="AQ125" s="38" t="n"/>
      <c r="AR125" s="38" t="n"/>
      <c r="AS125" s="38" t="n"/>
      <c r="AT125" s="38" t="n"/>
    </row>
    <row r="126">
      <c r="A126" s="8" t="n"/>
      <c r="B126" s="22" t="n"/>
      <c r="C126" s="38" t="n"/>
      <c r="D126" s="113" t="n">
        <v>0</v>
      </c>
      <c r="E126" s="12" t="n"/>
      <c r="F126" s="32" t="n"/>
      <c r="G126" s="11" t="n"/>
      <c r="H126" s="11" t="n"/>
      <c r="I126" s="11" t="n"/>
      <c r="J126" s="11" t="n"/>
      <c r="K126" s="11" t="n"/>
      <c r="L126" s="11" t="n"/>
      <c r="M126" s="11" t="n"/>
      <c r="N126" s="11" t="n"/>
      <c r="O126" s="11" t="n"/>
      <c r="P126" s="11" t="n"/>
      <c r="Q126" s="11" t="n"/>
      <c r="R126" s="11" t="n"/>
      <c r="S126" s="11" t="n"/>
      <c r="T126" s="12" t="n"/>
      <c r="U126" s="112" t="n"/>
      <c r="V126" s="32" t="n"/>
      <c r="W126" s="11" t="n"/>
      <c r="X126" s="11" t="n"/>
      <c r="Y126" s="11" t="n"/>
      <c r="Z126" s="11" t="n"/>
      <c r="AA126" s="11" t="n"/>
      <c r="AB126" s="11" t="n"/>
      <c r="AC126" s="11" t="n"/>
      <c r="AD126" s="11" t="n"/>
      <c r="AE126" s="11" t="n"/>
      <c r="AF126" s="11" t="n"/>
      <c r="AG126" s="11" t="n"/>
      <c r="AH126" s="11" t="n"/>
      <c r="AI126" s="11" t="n"/>
      <c r="AJ126" s="11" t="n"/>
      <c r="AK126" s="11" t="n"/>
      <c r="AL126" s="12" t="n"/>
      <c r="AM126" s="38" t="n"/>
      <c r="AN126" s="38" t="n"/>
      <c r="AO126" s="38" t="n"/>
      <c r="AP126" s="38" t="n"/>
      <c r="AQ126" s="38" t="n"/>
      <c r="AR126" s="38" t="n"/>
      <c r="AS126" s="38" t="n"/>
      <c r="AT126" s="38" t="n"/>
    </row>
    <row r="127">
      <c r="A127" s="8" t="n"/>
      <c r="B127" s="22" t="n"/>
      <c r="C127" s="38" t="n"/>
      <c r="D127" s="113" t="n">
        <v>0</v>
      </c>
      <c r="E127" s="12" t="n"/>
      <c r="F127" s="32" t="n"/>
      <c r="G127" s="11" t="n"/>
      <c r="H127" s="11" t="n"/>
      <c r="I127" s="11" t="n"/>
      <c r="J127" s="11" t="n"/>
      <c r="K127" s="11" t="n"/>
      <c r="L127" s="11" t="n"/>
      <c r="M127" s="11" t="n"/>
      <c r="N127" s="11" t="n"/>
      <c r="O127" s="11" t="n"/>
      <c r="P127" s="11" t="n"/>
      <c r="Q127" s="11" t="n"/>
      <c r="R127" s="11" t="n"/>
      <c r="S127" s="11" t="n"/>
      <c r="T127" s="12" t="n"/>
      <c r="U127" s="112" t="n"/>
      <c r="V127" s="32" t="n"/>
      <c r="W127" s="11" t="n"/>
      <c r="X127" s="11" t="n"/>
      <c r="Y127" s="11" t="n"/>
      <c r="Z127" s="11" t="n"/>
      <c r="AA127" s="11" t="n"/>
      <c r="AB127" s="11" t="n"/>
      <c r="AC127" s="11" t="n"/>
      <c r="AD127" s="11" t="n"/>
      <c r="AE127" s="11" t="n"/>
      <c r="AF127" s="11" t="n"/>
      <c r="AG127" s="11" t="n"/>
      <c r="AH127" s="11" t="n"/>
      <c r="AI127" s="11" t="n"/>
      <c r="AJ127" s="11" t="n"/>
      <c r="AK127" s="11" t="n"/>
      <c r="AL127" s="12" t="n"/>
      <c r="AM127" s="38" t="n"/>
      <c r="AN127" s="38" t="n"/>
      <c r="AO127" s="38" t="n"/>
      <c r="AP127" s="38" t="n"/>
      <c r="AQ127" s="38" t="n"/>
      <c r="AR127" s="38" t="n"/>
      <c r="AS127" s="38" t="n"/>
      <c r="AT127" s="38" t="n"/>
    </row>
    <row r="128">
      <c r="A128" s="8" t="n"/>
      <c r="B128" s="22" t="n"/>
      <c r="C128" s="38" t="n"/>
      <c r="D128" s="113" t="n">
        <v>0</v>
      </c>
      <c r="E128" s="12" t="n"/>
      <c r="F128" s="32" t="n"/>
      <c r="G128" s="11" t="n"/>
      <c r="H128" s="11" t="n"/>
      <c r="I128" s="11" t="n"/>
      <c r="J128" s="11" t="n"/>
      <c r="K128" s="11" t="n"/>
      <c r="L128" s="11" t="n"/>
      <c r="M128" s="11" t="n"/>
      <c r="N128" s="11" t="n"/>
      <c r="O128" s="11" t="n"/>
      <c r="P128" s="11" t="n"/>
      <c r="Q128" s="11" t="n"/>
      <c r="R128" s="11" t="n"/>
      <c r="S128" s="11" t="n"/>
      <c r="T128" s="12" t="n"/>
      <c r="U128" s="112" t="n"/>
      <c r="V128" s="32" t="n"/>
      <c r="W128" s="11" t="n"/>
      <c r="X128" s="11" t="n"/>
      <c r="Y128" s="11" t="n"/>
      <c r="Z128" s="11" t="n"/>
      <c r="AA128" s="11" t="n"/>
      <c r="AB128" s="11" t="n"/>
      <c r="AC128" s="11" t="n"/>
      <c r="AD128" s="11" t="n"/>
      <c r="AE128" s="11" t="n"/>
      <c r="AF128" s="11" t="n"/>
      <c r="AG128" s="11" t="n"/>
      <c r="AH128" s="11" t="n"/>
      <c r="AI128" s="11" t="n"/>
      <c r="AJ128" s="11" t="n"/>
      <c r="AK128" s="11" t="n"/>
      <c r="AL128" s="12" t="n"/>
      <c r="AM128" s="38" t="n"/>
      <c r="AN128" s="38" t="n"/>
      <c r="AO128" s="38" t="n"/>
      <c r="AP128" s="38" t="n"/>
      <c r="AQ128" s="38" t="n"/>
      <c r="AR128" s="38" t="n"/>
      <c r="AS128" s="38" t="n"/>
      <c r="AT128" s="38" t="n"/>
    </row>
    <row r="129">
      <c r="A129" s="8" t="n"/>
      <c r="B129" s="22" t="n"/>
      <c r="C129" s="38" t="n"/>
      <c r="D129" s="113" t="n">
        <v>0</v>
      </c>
      <c r="E129" s="12" t="n"/>
      <c r="F129" s="32" t="n"/>
      <c r="G129" s="11" t="n"/>
      <c r="H129" s="11" t="n"/>
      <c r="I129" s="11" t="n"/>
      <c r="J129" s="11" t="n"/>
      <c r="K129" s="11" t="n"/>
      <c r="L129" s="11" t="n"/>
      <c r="M129" s="11" t="n"/>
      <c r="N129" s="11" t="n"/>
      <c r="O129" s="11" t="n"/>
      <c r="P129" s="11" t="n"/>
      <c r="Q129" s="11" t="n"/>
      <c r="R129" s="11" t="n"/>
      <c r="S129" s="11" t="n"/>
      <c r="T129" s="12" t="n"/>
      <c r="U129" s="112" t="n"/>
      <c r="V129" s="32" t="n"/>
      <c r="W129" s="11" t="n"/>
      <c r="X129" s="11" t="n"/>
      <c r="Y129" s="11" t="n"/>
      <c r="Z129" s="11" t="n"/>
      <c r="AA129" s="11" t="n"/>
      <c r="AB129" s="11" t="n"/>
      <c r="AC129" s="11" t="n"/>
      <c r="AD129" s="11" t="n"/>
      <c r="AE129" s="11" t="n"/>
      <c r="AF129" s="11" t="n"/>
      <c r="AG129" s="11" t="n"/>
      <c r="AH129" s="11" t="n"/>
      <c r="AI129" s="11" t="n"/>
      <c r="AJ129" s="11" t="n"/>
      <c r="AK129" s="11" t="n"/>
      <c r="AL129" s="12" t="n"/>
      <c r="AM129" s="38" t="n"/>
      <c r="AN129" s="38" t="n"/>
      <c r="AO129" s="38" t="n"/>
      <c r="AP129" s="38" t="n"/>
      <c r="AQ129" s="38" t="n"/>
      <c r="AR129" s="38" t="n"/>
      <c r="AS129" s="38" t="n"/>
      <c r="AT129" s="38" t="n"/>
    </row>
    <row r="130">
      <c r="A130" s="8" t="n"/>
      <c r="B130" s="22" t="n"/>
      <c r="C130" s="38" t="n"/>
      <c r="D130" s="113" t="n">
        <v>0</v>
      </c>
      <c r="E130" s="12" t="n"/>
      <c r="F130" s="32" t="n"/>
      <c r="G130" s="11" t="n"/>
      <c r="H130" s="11" t="n"/>
      <c r="I130" s="11" t="n"/>
      <c r="J130" s="11" t="n"/>
      <c r="K130" s="11" t="n"/>
      <c r="L130" s="11" t="n"/>
      <c r="M130" s="11" t="n"/>
      <c r="N130" s="11" t="n"/>
      <c r="O130" s="11" t="n"/>
      <c r="P130" s="11" t="n"/>
      <c r="Q130" s="11" t="n"/>
      <c r="R130" s="11" t="n"/>
      <c r="S130" s="11" t="n"/>
      <c r="T130" s="12" t="n"/>
      <c r="U130" s="112" t="n"/>
      <c r="V130" s="32" t="n"/>
      <c r="W130" s="11" t="n"/>
      <c r="X130" s="11" t="n"/>
      <c r="Y130" s="11" t="n"/>
      <c r="Z130" s="11" t="n"/>
      <c r="AA130" s="11" t="n"/>
      <c r="AB130" s="11" t="n"/>
      <c r="AC130" s="11" t="n"/>
      <c r="AD130" s="11" t="n"/>
      <c r="AE130" s="11" t="n"/>
      <c r="AF130" s="11" t="n"/>
      <c r="AG130" s="11" t="n"/>
      <c r="AH130" s="11" t="n"/>
      <c r="AI130" s="11" t="n"/>
      <c r="AJ130" s="11" t="n"/>
      <c r="AK130" s="11" t="n"/>
      <c r="AL130" s="12" t="n"/>
      <c r="AM130" s="38" t="n"/>
      <c r="AN130" s="38" t="n"/>
      <c r="AO130" s="38" t="n"/>
      <c r="AP130" s="38" t="n"/>
      <c r="AQ130" s="38" t="n"/>
      <c r="AR130" s="38" t="n"/>
      <c r="AS130" s="38" t="n"/>
      <c r="AT130" s="38" t="n"/>
    </row>
    <row r="131">
      <c r="A131" s="8" t="n"/>
      <c r="B131" s="22" t="n"/>
      <c r="C131" s="38" t="n"/>
      <c r="D131" s="113" t="n">
        <v>0</v>
      </c>
      <c r="E131" s="12" t="n"/>
      <c r="F131" s="32" t="n"/>
      <c r="G131" s="11" t="n"/>
      <c r="H131" s="11" t="n"/>
      <c r="I131" s="11" t="n"/>
      <c r="J131" s="11" t="n"/>
      <c r="K131" s="11" t="n"/>
      <c r="L131" s="11" t="n"/>
      <c r="M131" s="11" t="n"/>
      <c r="N131" s="11" t="n"/>
      <c r="O131" s="11" t="n"/>
      <c r="P131" s="11" t="n"/>
      <c r="Q131" s="11" t="n"/>
      <c r="R131" s="11" t="n"/>
      <c r="S131" s="11" t="n"/>
      <c r="T131" s="12" t="n"/>
      <c r="U131" s="112" t="n"/>
      <c r="V131" s="32" t="n"/>
      <c r="W131" s="11" t="n"/>
      <c r="X131" s="11" t="n"/>
      <c r="Y131" s="11" t="n"/>
      <c r="Z131" s="11" t="n"/>
      <c r="AA131" s="11" t="n"/>
      <c r="AB131" s="11" t="n"/>
      <c r="AC131" s="11" t="n"/>
      <c r="AD131" s="11" t="n"/>
      <c r="AE131" s="11" t="n"/>
      <c r="AF131" s="11" t="n"/>
      <c r="AG131" s="11" t="n"/>
      <c r="AH131" s="11" t="n"/>
      <c r="AI131" s="11" t="n"/>
      <c r="AJ131" s="11" t="n"/>
      <c r="AK131" s="11" t="n"/>
      <c r="AL131" s="12" t="n"/>
      <c r="AM131" s="38" t="n"/>
      <c r="AN131" s="38" t="n"/>
      <c r="AO131" s="38" t="n"/>
      <c r="AP131" s="38" t="n"/>
      <c r="AQ131" s="38" t="n"/>
      <c r="AR131" s="38" t="n"/>
      <c r="AS131" s="38" t="n"/>
      <c r="AT131" s="38" t="n"/>
    </row>
    <row r="132">
      <c r="A132" s="8" t="n"/>
      <c r="B132" s="22" t="n"/>
      <c r="C132" s="38" t="n"/>
      <c r="D132" s="113" t="n">
        <v>0</v>
      </c>
      <c r="E132" s="12" t="n"/>
      <c r="F132" s="32" t="n"/>
      <c r="G132" s="11" t="n"/>
      <c r="H132" s="11" t="n"/>
      <c r="I132" s="11" t="n"/>
      <c r="J132" s="11" t="n"/>
      <c r="K132" s="11" t="n"/>
      <c r="L132" s="11" t="n"/>
      <c r="M132" s="11" t="n"/>
      <c r="N132" s="11" t="n"/>
      <c r="O132" s="11" t="n"/>
      <c r="P132" s="11" t="n"/>
      <c r="Q132" s="11" t="n"/>
      <c r="R132" s="11" t="n"/>
      <c r="S132" s="11" t="n"/>
      <c r="T132" s="12" t="n"/>
      <c r="U132" s="112" t="n"/>
      <c r="V132" s="32" t="n"/>
      <c r="W132" s="11" t="n"/>
      <c r="X132" s="11" t="n"/>
      <c r="Y132" s="11" t="n"/>
      <c r="Z132" s="11" t="n"/>
      <c r="AA132" s="11" t="n"/>
      <c r="AB132" s="11" t="n"/>
      <c r="AC132" s="11" t="n"/>
      <c r="AD132" s="11" t="n"/>
      <c r="AE132" s="11" t="n"/>
      <c r="AF132" s="11" t="n"/>
      <c r="AG132" s="11" t="n"/>
      <c r="AH132" s="11" t="n"/>
      <c r="AI132" s="11" t="n"/>
      <c r="AJ132" s="11" t="n"/>
      <c r="AK132" s="11" t="n"/>
      <c r="AL132" s="12" t="n"/>
      <c r="AM132" s="38" t="n"/>
      <c r="AN132" s="38" t="n"/>
      <c r="AO132" s="38" t="n"/>
      <c r="AP132" s="38" t="n"/>
      <c r="AQ132" s="38" t="n"/>
      <c r="AR132" s="38" t="n"/>
      <c r="AS132" s="38" t="n"/>
      <c r="AT132" s="38" t="n"/>
    </row>
    <row r="133">
      <c r="A133" s="8" t="n"/>
      <c r="B133" s="22" t="n"/>
      <c r="C133" s="38" t="n"/>
      <c r="D133" s="113" t="n">
        <v>0</v>
      </c>
      <c r="E133" s="12" t="n"/>
      <c r="F133" s="32" t="n"/>
      <c r="G133" s="11" t="n"/>
      <c r="H133" s="11" t="n"/>
      <c r="I133" s="11" t="n"/>
      <c r="J133" s="11" t="n"/>
      <c r="K133" s="11" t="n"/>
      <c r="L133" s="11" t="n"/>
      <c r="M133" s="11" t="n"/>
      <c r="N133" s="11" t="n"/>
      <c r="O133" s="11" t="n"/>
      <c r="P133" s="11" t="n"/>
      <c r="Q133" s="11" t="n"/>
      <c r="R133" s="11" t="n"/>
      <c r="S133" s="11" t="n"/>
      <c r="T133" s="12" t="n"/>
      <c r="U133" s="112" t="n"/>
      <c r="V133" s="32" t="n"/>
      <c r="W133" s="11" t="n"/>
      <c r="X133" s="11" t="n"/>
      <c r="Y133" s="11" t="n"/>
      <c r="Z133" s="11" t="n"/>
      <c r="AA133" s="11" t="n"/>
      <c r="AB133" s="11" t="n"/>
      <c r="AC133" s="11" t="n"/>
      <c r="AD133" s="11" t="n"/>
      <c r="AE133" s="11" t="n"/>
      <c r="AF133" s="11" t="n"/>
      <c r="AG133" s="11" t="n"/>
      <c r="AH133" s="11" t="n"/>
      <c r="AI133" s="11" t="n"/>
      <c r="AJ133" s="11" t="n"/>
      <c r="AK133" s="11" t="n"/>
      <c r="AL133" s="12" t="n"/>
      <c r="AM133" s="38" t="n"/>
      <c r="AN133" s="38" t="n"/>
      <c r="AO133" s="38" t="n"/>
      <c r="AP133" s="38" t="n"/>
      <c r="AQ133" s="38" t="n"/>
      <c r="AR133" s="38" t="n"/>
      <c r="AS133" s="38" t="n"/>
      <c r="AT133" s="38" t="n"/>
    </row>
    <row r="134">
      <c r="A134" s="8" t="n"/>
      <c r="B134" s="22" t="n"/>
      <c r="C134" s="38" t="n"/>
      <c r="D134" s="113" t="n">
        <v>0</v>
      </c>
      <c r="E134" s="12" t="n"/>
      <c r="F134" s="32" t="n"/>
      <c r="G134" s="11" t="n"/>
      <c r="H134" s="11" t="n"/>
      <c r="I134" s="11" t="n"/>
      <c r="J134" s="11" t="n"/>
      <c r="K134" s="11" t="n"/>
      <c r="L134" s="11" t="n"/>
      <c r="M134" s="11" t="n"/>
      <c r="N134" s="11" t="n"/>
      <c r="O134" s="11" t="n"/>
      <c r="P134" s="11" t="n"/>
      <c r="Q134" s="11" t="n"/>
      <c r="R134" s="11" t="n"/>
      <c r="S134" s="11" t="n"/>
      <c r="T134" s="12" t="n"/>
      <c r="U134" s="112" t="n"/>
      <c r="V134" s="32" t="n"/>
      <c r="W134" s="11" t="n"/>
      <c r="X134" s="11" t="n"/>
      <c r="Y134" s="11" t="n"/>
      <c r="Z134" s="11" t="n"/>
      <c r="AA134" s="11" t="n"/>
      <c r="AB134" s="11" t="n"/>
      <c r="AC134" s="11" t="n"/>
      <c r="AD134" s="11" t="n"/>
      <c r="AE134" s="11" t="n"/>
      <c r="AF134" s="11" t="n"/>
      <c r="AG134" s="11" t="n"/>
      <c r="AH134" s="11" t="n"/>
      <c r="AI134" s="11" t="n"/>
      <c r="AJ134" s="11" t="n"/>
      <c r="AK134" s="11" t="n"/>
      <c r="AL134" s="12" t="n"/>
      <c r="AM134" s="38" t="n"/>
      <c r="AN134" s="38" t="n"/>
      <c r="AO134" s="38" t="n"/>
      <c r="AP134" s="38" t="n"/>
      <c r="AQ134" s="38" t="n"/>
      <c r="AR134" s="38" t="n"/>
      <c r="AS134" s="38" t="n"/>
      <c r="AT134" s="38" t="n"/>
    </row>
    <row r="135">
      <c r="A135" s="8" t="n"/>
      <c r="B135" s="22" t="n"/>
      <c r="C135" s="38" t="n"/>
      <c r="D135" s="113" t="n">
        <v>0</v>
      </c>
      <c r="E135" s="12" t="n"/>
      <c r="F135" s="32" t="n"/>
      <c r="G135" s="11" t="n"/>
      <c r="H135" s="11" t="n"/>
      <c r="I135" s="11" t="n"/>
      <c r="J135" s="11" t="n"/>
      <c r="K135" s="11" t="n"/>
      <c r="L135" s="11" t="n"/>
      <c r="M135" s="11" t="n"/>
      <c r="N135" s="11" t="n"/>
      <c r="O135" s="11" t="n"/>
      <c r="P135" s="11" t="n"/>
      <c r="Q135" s="11" t="n"/>
      <c r="R135" s="11" t="n"/>
      <c r="S135" s="11" t="n"/>
      <c r="T135" s="12" t="n"/>
      <c r="U135" s="112" t="n"/>
      <c r="V135" s="32" t="n"/>
      <c r="W135" s="11" t="n"/>
      <c r="X135" s="11" t="n"/>
      <c r="Y135" s="11" t="n"/>
      <c r="Z135" s="11" t="n"/>
      <c r="AA135" s="11" t="n"/>
      <c r="AB135" s="11" t="n"/>
      <c r="AC135" s="11" t="n"/>
      <c r="AD135" s="11" t="n"/>
      <c r="AE135" s="11" t="n"/>
      <c r="AF135" s="11" t="n"/>
      <c r="AG135" s="11" t="n"/>
      <c r="AH135" s="11" t="n"/>
      <c r="AI135" s="11" t="n"/>
      <c r="AJ135" s="11" t="n"/>
      <c r="AK135" s="11" t="n"/>
      <c r="AL135" s="12" t="n"/>
      <c r="AM135" s="38" t="n"/>
      <c r="AN135" s="38" t="n"/>
      <c r="AO135" s="38" t="n"/>
      <c r="AP135" s="38" t="n"/>
      <c r="AQ135" s="38" t="n"/>
      <c r="AR135" s="38" t="n"/>
      <c r="AS135" s="38" t="n"/>
      <c r="AT135" s="38" t="n"/>
    </row>
    <row r="136">
      <c r="A136" s="8" t="n"/>
      <c r="B136" s="22" t="n"/>
      <c r="C136" s="38" t="n"/>
      <c r="D136" s="113" t="n">
        <v>0</v>
      </c>
      <c r="E136" s="12" t="n"/>
      <c r="F136" s="32" t="n"/>
      <c r="G136" s="11" t="n"/>
      <c r="H136" s="11" t="n"/>
      <c r="I136" s="11" t="n"/>
      <c r="J136" s="11" t="n"/>
      <c r="K136" s="11" t="n"/>
      <c r="L136" s="11" t="n"/>
      <c r="M136" s="11" t="n"/>
      <c r="N136" s="11" t="n"/>
      <c r="O136" s="11" t="n"/>
      <c r="P136" s="11" t="n"/>
      <c r="Q136" s="11" t="n"/>
      <c r="R136" s="11" t="n"/>
      <c r="S136" s="11" t="n"/>
      <c r="T136" s="12" t="n"/>
      <c r="U136" s="38" t="n"/>
      <c r="V136" s="38" t="n"/>
      <c r="W136" s="38" t="n"/>
      <c r="X136" s="38" t="n"/>
      <c r="Y136" s="38" t="n"/>
      <c r="Z136" s="38" t="n"/>
      <c r="AA136" s="38" t="n"/>
      <c r="AB136" s="38" t="n"/>
      <c r="AC136" s="38" t="n"/>
      <c r="AD136" s="38" t="n"/>
      <c r="AE136" s="38" t="n"/>
      <c r="AF136" s="38" t="n"/>
      <c r="AG136" s="38" t="n"/>
      <c r="AH136" s="38" t="n"/>
      <c r="AI136" s="38" t="n"/>
      <c r="AJ136" s="38" t="n"/>
      <c r="AK136" s="38" t="n"/>
      <c r="AL136" s="38" t="n"/>
      <c r="AM136" s="38" t="n"/>
      <c r="AN136" s="38" t="n"/>
      <c r="AO136" s="38" t="n"/>
      <c r="AP136" s="38" t="n"/>
      <c r="AQ136" s="38" t="n"/>
      <c r="AR136" s="38" t="n"/>
      <c r="AS136" s="38" t="n"/>
      <c r="AT136" s="38" t="n"/>
    </row>
    <row r="137">
      <c r="A137" s="8" t="n"/>
      <c r="B137" s="22" t="n"/>
      <c r="C137" s="38" t="n"/>
      <c r="D137" s="113" t="n">
        <v>0</v>
      </c>
      <c r="E137" s="12" t="n"/>
      <c r="F137" s="32" t="n"/>
      <c r="G137" s="11" t="n"/>
      <c r="H137" s="11" t="n"/>
      <c r="I137" s="11" t="n"/>
      <c r="J137" s="11" t="n"/>
      <c r="K137" s="11" t="n"/>
      <c r="L137" s="11" t="n"/>
      <c r="M137" s="11" t="n"/>
      <c r="N137" s="11" t="n"/>
      <c r="O137" s="11" t="n"/>
      <c r="P137" s="11" t="n"/>
      <c r="Q137" s="11" t="n"/>
      <c r="R137" s="11" t="n"/>
      <c r="S137" s="11" t="n"/>
      <c r="T137" s="12" t="n"/>
      <c r="U137" s="38" t="n"/>
      <c r="V137" s="110" t="inlineStr">
        <is>
          <t>Classe</t>
        </is>
      </c>
      <c r="W137" s="12" t="n"/>
      <c r="X137" s="110">
        <f>"Passivas - Regras"</f>
        <v/>
      </c>
      <c r="Y137" s="11" t="n"/>
      <c r="Z137" s="11" t="n"/>
      <c r="AA137" s="11" t="n"/>
      <c r="AB137" s="11" t="n"/>
      <c r="AC137" s="12" t="n"/>
      <c r="AD137" s="110" t="inlineStr">
        <is>
          <t>Classe</t>
        </is>
      </c>
      <c r="AE137" s="12" t="n"/>
      <c r="AF137" s="110">
        <f>"Passivas do Leque - "&amp;IF(DADOS!$AK$39&gt;DADOS!$AK$38,DADOS!$AK$39-DADOS!$AK$38&amp;" a mais",DADOS!$AK$38-DADOS!$AK$39&amp;" de "&amp;DADOS!$AK$38)</f>
        <v/>
      </c>
      <c r="AG137" s="11" t="n"/>
      <c r="AH137" s="11" t="n"/>
      <c r="AI137" s="11" t="n"/>
      <c r="AJ137" s="11" t="n"/>
      <c r="AK137" s="11" t="n"/>
      <c r="AL137" s="12" t="n"/>
      <c r="AM137" s="38" t="n"/>
      <c r="AN137" s="38" t="n"/>
      <c r="AO137" s="38" t="n"/>
      <c r="AP137" s="38" t="n"/>
      <c r="AQ137" s="38" t="n"/>
      <c r="AR137" s="38" t="n"/>
      <c r="AS137" s="38" t="n"/>
      <c r="AT137" s="38" t="n"/>
    </row>
    <row r="138">
      <c r="A138" s="8" t="n"/>
      <c r="B138" s="22" t="n"/>
      <c r="C138" s="38" t="n"/>
      <c r="D138" s="113" t="n">
        <v>0</v>
      </c>
      <c r="E138" s="12" t="n"/>
      <c r="F138" s="32" t="n"/>
      <c r="G138" s="11" t="n"/>
      <c r="H138" s="11" t="n"/>
      <c r="I138" s="11" t="n"/>
      <c r="J138" s="11" t="n"/>
      <c r="K138" s="11" t="n"/>
      <c r="L138" s="11" t="n"/>
      <c r="M138" s="11" t="n"/>
      <c r="N138" s="11" t="n"/>
      <c r="O138" s="11" t="n"/>
      <c r="P138" s="11" t="n"/>
      <c r="Q138" s="11" t="n"/>
      <c r="R138" s="11" t="n"/>
      <c r="S138" s="11" t="n"/>
      <c r="T138" s="12" t="n"/>
      <c r="U138" s="38" t="n"/>
      <c r="V138" s="112" t="n"/>
      <c r="W138" s="112" t="n"/>
      <c r="X138" s="112" t="n"/>
      <c r="Y138" s="112" t="n"/>
      <c r="Z138" s="112" t="n"/>
      <c r="AA138" s="112" t="n"/>
      <c r="AB138" s="112" t="n"/>
      <c r="AC138" s="112" t="n"/>
      <c r="AD138" s="112" t="n"/>
      <c r="AE138" s="112" t="n"/>
      <c r="AF138" s="112" t="n"/>
      <c r="AG138" s="112" t="n"/>
      <c r="AH138" s="112" t="n"/>
      <c r="AI138" s="112" t="n"/>
      <c r="AJ138" s="112" t="n"/>
      <c r="AK138" s="112" t="n"/>
      <c r="AL138" s="112" t="n"/>
      <c r="AM138" s="38" t="n"/>
      <c r="AN138" s="38" t="n"/>
      <c r="AO138" s="38" t="n"/>
      <c r="AP138" s="38" t="n"/>
      <c r="AQ138" s="38" t="n"/>
      <c r="AR138" s="38" t="n"/>
      <c r="AS138" s="38" t="n"/>
      <c r="AT138" s="38" t="n"/>
    </row>
    <row r="139">
      <c r="A139" s="8" t="n"/>
      <c r="B139" s="22" t="n"/>
      <c r="C139" s="38" t="n"/>
      <c r="D139" s="113" t="n">
        <v>0</v>
      </c>
      <c r="E139" s="12" t="n"/>
      <c r="F139" s="32" t="n"/>
      <c r="G139" s="11" t="n"/>
      <c r="H139" s="11" t="n"/>
      <c r="I139" s="11" t="n"/>
      <c r="J139" s="11" t="n"/>
      <c r="K139" s="11" t="n"/>
      <c r="L139" s="11" t="n"/>
      <c r="M139" s="11" t="n"/>
      <c r="N139" s="11" t="n"/>
      <c r="O139" s="11" t="n"/>
      <c r="P139" s="11" t="n"/>
      <c r="Q139" s="11" t="n"/>
      <c r="R139" s="11" t="n"/>
      <c r="S139" s="11" t="n"/>
      <c r="T139" s="12" t="n"/>
      <c r="U139" s="38" t="n"/>
      <c r="V139" s="113" t="n">
        <v>0</v>
      </c>
      <c r="W139" s="12" t="n"/>
      <c r="X139" s="32" t="n"/>
      <c r="Y139" s="11" t="n"/>
      <c r="Z139" s="11" t="n"/>
      <c r="AA139" s="11" t="n"/>
      <c r="AB139" s="11" t="n"/>
      <c r="AC139" s="12" t="n"/>
      <c r="AD139" s="113" t="n">
        <v>0</v>
      </c>
      <c r="AE139" s="12" t="n"/>
      <c r="AF139" s="32" t="n"/>
      <c r="AG139" s="11" t="n"/>
      <c r="AH139" s="11" t="n"/>
      <c r="AI139" s="11" t="n"/>
      <c r="AJ139" s="11" t="n"/>
      <c r="AK139" s="11" t="n"/>
      <c r="AL139" s="12" t="n"/>
      <c r="AM139" s="38" t="n"/>
      <c r="AN139" s="38" t="n"/>
      <c r="AO139" s="38" t="n"/>
      <c r="AP139" s="38" t="n"/>
      <c r="AQ139" s="38" t="n"/>
      <c r="AR139" s="38" t="n"/>
      <c r="AS139" s="38" t="n"/>
      <c r="AT139" s="38" t="n"/>
    </row>
    <row r="140">
      <c r="A140" s="8" t="n"/>
      <c r="B140" s="22" t="n"/>
      <c r="C140" s="38" t="n"/>
      <c r="D140" s="113" t="n">
        <v>0</v>
      </c>
      <c r="E140" s="12" t="n"/>
      <c r="F140" s="32" t="n"/>
      <c r="G140" s="11" t="n"/>
      <c r="H140" s="11" t="n"/>
      <c r="I140" s="11" t="n"/>
      <c r="J140" s="11" t="n"/>
      <c r="K140" s="11" t="n"/>
      <c r="L140" s="11" t="n"/>
      <c r="M140" s="11" t="n"/>
      <c r="N140" s="11" t="n"/>
      <c r="O140" s="11" t="n"/>
      <c r="P140" s="11" t="n"/>
      <c r="Q140" s="11" t="n"/>
      <c r="R140" s="11" t="n"/>
      <c r="S140" s="11" t="n"/>
      <c r="T140" s="12" t="n"/>
      <c r="U140" s="38" t="n"/>
      <c r="V140" s="113" t="n">
        <v>0</v>
      </c>
      <c r="W140" s="12" t="n"/>
      <c r="X140" s="32" t="n"/>
      <c r="Y140" s="11" t="n"/>
      <c r="Z140" s="11" t="n"/>
      <c r="AA140" s="11" t="n"/>
      <c r="AB140" s="11" t="n"/>
      <c r="AC140" s="12" t="n"/>
      <c r="AD140" s="113" t="n">
        <v>0</v>
      </c>
      <c r="AE140" s="12" t="n"/>
      <c r="AF140" s="32" t="n"/>
      <c r="AG140" s="11" t="n"/>
      <c r="AH140" s="11" t="n"/>
      <c r="AI140" s="11" t="n"/>
      <c r="AJ140" s="11" t="n"/>
      <c r="AK140" s="11" t="n"/>
      <c r="AL140" s="12" t="n"/>
      <c r="AM140" s="38" t="n"/>
      <c r="AN140" s="38" t="n"/>
      <c r="AO140" s="38" t="n"/>
      <c r="AP140" s="38" t="n"/>
      <c r="AQ140" s="38" t="n"/>
      <c r="AR140" s="38" t="n"/>
      <c r="AS140" s="38" t="n"/>
      <c r="AT140" s="38" t="n"/>
    </row>
    <row r="141">
      <c r="A141" s="8" t="n"/>
      <c r="B141" s="22" t="n"/>
      <c r="C141" s="38" t="n"/>
      <c r="D141" s="113" t="n">
        <v>0</v>
      </c>
      <c r="E141" s="12" t="n"/>
      <c r="F141" s="32" t="n"/>
      <c r="G141" s="11" t="n"/>
      <c r="H141" s="11" t="n"/>
      <c r="I141" s="11" t="n"/>
      <c r="J141" s="11" t="n"/>
      <c r="K141" s="11" t="n"/>
      <c r="L141" s="11" t="n"/>
      <c r="M141" s="11" t="n"/>
      <c r="N141" s="11" t="n"/>
      <c r="O141" s="11" t="n"/>
      <c r="P141" s="11" t="n"/>
      <c r="Q141" s="11" t="n"/>
      <c r="R141" s="11" t="n"/>
      <c r="S141" s="11" t="n"/>
      <c r="T141" s="12" t="n"/>
      <c r="U141" s="38" t="n"/>
      <c r="V141" s="113" t="n">
        <v>0</v>
      </c>
      <c r="W141" s="12" t="n"/>
      <c r="X141" s="32" t="n"/>
      <c r="Y141" s="11" t="n"/>
      <c r="Z141" s="11" t="n"/>
      <c r="AA141" s="11" t="n"/>
      <c r="AB141" s="11" t="n"/>
      <c r="AC141" s="12" t="n"/>
      <c r="AD141" s="113" t="n">
        <v>0</v>
      </c>
      <c r="AE141" s="12" t="n"/>
      <c r="AF141" s="32" t="n"/>
      <c r="AG141" s="11" t="n"/>
      <c r="AH141" s="11" t="n"/>
      <c r="AI141" s="11" t="n"/>
      <c r="AJ141" s="11" t="n"/>
      <c r="AK141" s="11" t="n"/>
      <c r="AL141" s="12" t="n"/>
      <c r="AM141" s="38" t="n"/>
      <c r="AN141" s="38" t="n"/>
      <c r="AO141" s="38" t="n"/>
      <c r="AP141" s="38" t="n"/>
      <c r="AQ141" s="38" t="n"/>
      <c r="AR141" s="38" t="n"/>
      <c r="AS141" s="38" t="n"/>
      <c r="AT141" s="38" t="n"/>
    </row>
    <row r="142">
      <c r="A142" s="8" t="n"/>
      <c r="B142" s="22" t="n"/>
      <c r="C142" s="38" t="n"/>
      <c r="D142" s="113" t="n">
        <v>0</v>
      </c>
      <c r="E142" s="12" t="n"/>
      <c r="F142" s="32" t="n"/>
      <c r="G142" s="11" t="n"/>
      <c r="H142" s="11" t="n"/>
      <c r="I142" s="11" t="n"/>
      <c r="J142" s="11" t="n"/>
      <c r="K142" s="11" t="n"/>
      <c r="L142" s="11" t="n"/>
      <c r="M142" s="11" t="n"/>
      <c r="N142" s="11" t="n"/>
      <c r="O142" s="11" t="n"/>
      <c r="P142" s="11" t="n"/>
      <c r="Q142" s="11" t="n"/>
      <c r="R142" s="11" t="n"/>
      <c r="S142" s="11" t="n"/>
      <c r="T142" s="12" t="n"/>
      <c r="U142" s="38" t="n"/>
      <c r="V142" s="113" t="n">
        <v>0</v>
      </c>
      <c r="W142" s="12" t="n"/>
      <c r="X142" s="32" t="n"/>
      <c r="Y142" s="11" t="n"/>
      <c r="Z142" s="11" t="n"/>
      <c r="AA142" s="11" t="n"/>
      <c r="AB142" s="11" t="n"/>
      <c r="AC142" s="12" t="n"/>
      <c r="AD142" s="113" t="n">
        <v>0</v>
      </c>
      <c r="AE142" s="12" t="n"/>
      <c r="AF142" s="32" t="n"/>
      <c r="AG142" s="11" t="n"/>
      <c r="AH142" s="11" t="n"/>
      <c r="AI142" s="11" t="n"/>
      <c r="AJ142" s="11" t="n"/>
      <c r="AK142" s="11" t="n"/>
      <c r="AL142" s="12" t="n"/>
      <c r="AM142" s="38" t="n"/>
      <c r="AN142" s="38" t="n"/>
      <c r="AO142" s="38" t="n"/>
      <c r="AP142" s="38" t="n"/>
      <c r="AQ142" s="38" t="n"/>
      <c r="AR142" s="38" t="n"/>
      <c r="AS142" s="38" t="n"/>
      <c r="AT142" s="38" t="n"/>
    </row>
    <row r="143">
      <c r="A143" s="8" t="n"/>
      <c r="B143" s="22" t="n"/>
      <c r="C143" s="38" t="n"/>
      <c r="D143" s="113" t="n">
        <v>0</v>
      </c>
      <c r="E143" s="12" t="n"/>
      <c r="F143" s="32" t="n"/>
      <c r="G143" s="11" t="n"/>
      <c r="H143" s="11" t="n"/>
      <c r="I143" s="11" t="n"/>
      <c r="J143" s="11" t="n"/>
      <c r="K143" s="11" t="n"/>
      <c r="L143" s="11" t="n"/>
      <c r="M143" s="11" t="n"/>
      <c r="N143" s="11" t="n"/>
      <c r="O143" s="11" t="n"/>
      <c r="P143" s="11" t="n"/>
      <c r="Q143" s="11" t="n"/>
      <c r="R143" s="11" t="n"/>
      <c r="S143" s="11" t="n"/>
      <c r="T143" s="12" t="n"/>
      <c r="U143" s="38" t="n"/>
      <c r="V143" s="113" t="n">
        <v>0</v>
      </c>
      <c r="W143" s="12" t="n"/>
      <c r="X143" s="32" t="n"/>
      <c r="Y143" s="11" t="n"/>
      <c r="Z143" s="11" t="n"/>
      <c r="AA143" s="11" t="n"/>
      <c r="AB143" s="11" t="n"/>
      <c r="AC143" s="12" t="n"/>
      <c r="AD143" s="113" t="n">
        <v>0</v>
      </c>
      <c r="AE143" s="12" t="n"/>
      <c r="AF143" s="32" t="n"/>
      <c r="AG143" s="11" t="n"/>
      <c r="AH143" s="11" t="n"/>
      <c r="AI143" s="11" t="n"/>
      <c r="AJ143" s="11" t="n"/>
      <c r="AK143" s="11" t="n"/>
      <c r="AL143" s="12" t="n"/>
      <c r="AM143" s="38" t="n"/>
      <c r="AN143" s="38" t="n"/>
      <c r="AO143" s="38" t="n"/>
      <c r="AP143" s="38" t="n"/>
      <c r="AQ143" s="38" t="n"/>
      <c r="AR143" s="38" t="n"/>
      <c r="AS143" s="38" t="n"/>
      <c r="AT143" s="38" t="n"/>
      <c r="AU143" s="38" t="n"/>
    </row>
    <row r="144">
      <c r="A144" s="8" t="n"/>
      <c r="B144" s="22" t="n"/>
      <c r="C144" s="38" t="n"/>
      <c r="D144" s="113" t="n">
        <v>0</v>
      </c>
      <c r="E144" s="12" t="n"/>
      <c r="F144" s="32" t="n"/>
      <c r="G144" s="11" t="n"/>
      <c r="H144" s="11" t="n"/>
      <c r="I144" s="11" t="n"/>
      <c r="J144" s="11" t="n"/>
      <c r="K144" s="11" t="n"/>
      <c r="L144" s="11" t="n"/>
      <c r="M144" s="11" t="n"/>
      <c r="N144" s="11" t="n"/>
      <c r="O144" s="11" t="n"/>
      <c r="P144" s="11" t="n"/>
      <c r="Q144" s="11" t="n"/>
      <c r="R144" s="11" t="n"/>
      <c r="S144" s="11" t="n"/>
      <c r="T144" s="12" t="n"/>
      <c r="U144" s="38" t="n"/>
      <c r="V144" s="113" t="n">
        <v>0</v>
      </c>
      <c r="W144" s="12" t="n"/>
      <c r="X144" s="32" t="n"/>
      <c r="Y144" s="11" t="n"/>
      <c r="Z144" s="11" t="n"/>
      <c r="AA144" s="11" t="n"/>
      <c r="AB144" s="11" t="n"/>
      <c r="AC144" s="12" t="n"/>
      <c r="AD144" s="113" t="n">
        <v>0</v>
      </c>
      <c r="AE144" s="12" t="n"/>
      <c r="AF144" s="32" t="n"/>
      <c r="AG144" s="11" t="n"/>
      <c r="AH144" s="11" t="n"/>
      <c r="AI144" s="11" t="n"/>
      <c r="AJ144" s="11" t="n"/>
      <c r="AK144" s="11" t="n"/>
      <c r="AL144" s="12" t="n"/>
      <c r="AM144" s="38" t="n"/>
      <c r="AN144" s="38" t="n"/>
      <c r="AO144" s="38" t="n"/>
      <c r="AP144" s="38" t="n"/>
      <c r="AQ144" s="38" t="n"/>
      <c r="AR144" s="38" t="n"/>
      <c r="AS144" s="38" t="n"/>
      <c r="AT144" s="38" t="n"/>
      <c r="AU144" s="38" t="n"/>
    </row>
    <row r="145">
      <c r="A145" s="8" t="n"/>
      <c r="B145" s="22" t="n"/>
      <c r="C145" s="114" t="n"/>
      <c r="D145" s="114" t="n"/>
      <c r="E145" s="114" t="n"/>
      <c r="F145" s="114" t="n"/>
      <c r="G145" s="114" t="n"/>
      <c r="H145" s="114" t="n"/>
      <c r="I145" s="114" t="n"/>
      <c r="J145" s="114" t="n"/>
      <c r="K145" s="114" t="n"/>
      <c r="L145" s="114" t="n"/>
      <c r="M145" s="114" t="n"/>
      <c r="N145" s="114" t="n"/>
      <c r="O145" s="114" t="n"/>
      <c r="P145" s="114" t="n"/>
      <c r="Q145" s="114" t="n"/>
      <c r="R145" s="114" t="n"/>
      <c r="S145" s="114" t="n"/>
      <c r="T145" s="114" t="n"/>
      <c r="U145" s="114" t="n"/>
      <c r="V145" s="114" t="n"/>
      <c r="W145" s="114" t="n"/>
      <c r="X145" s="114" t="n"/>
      <c r="Y145" s="114" t="n"/>
      <c r="Z145" s="114" t="n"/>
      <c r="AA145" s="114" t="n"/>
      <c r="AB145" s="114" t="n"/>
      <c r="AC145" s="114" t="n"/>
      <c r="AD145" s="114" t="n"/>
      <c r="AE145" s="114" t="n"/>
      <c r="AF145" s="114" t="n"/>
      <c r="AG145" s="114" t="n"/>
      <c r="AH145" s="114" t="n"/>
      <c r="AI145" s="114" t="n"/>
      <c r="AJ145" s="114" t="n"/>
      <c r="AK145" s="114" t="n"/>
      <c r="AL145" s="114" t="n"/>
      <c r="AM145" s="114" t="n"/>
      <c r="AN145" s="114" t="n"/>
      <c r="AO145" s="114" t="n"/>
      <c r="AP145" s="114" t="n"/>
      <c r="AQ145" s="114" t="n"/>
      <c r="AR145" s="114" t="n"/>
      <c r="AS145" s="114" t="n"/>
      <c r="AT145" s="114" t="n"/>
      <c r="AU145" s="114" t="n"/>
    </row>
    <row r="146">
      <c r="A146" s="8" t="n"/>
      <c r="B146" s="22" t="n"/>
      <c r="C146" s="114" t="n"/>
      <c r="D146" s="114" t="n"/>
      <c r="E146" s="114" t="n"/>
      <c r="F146" s="114" t="n"/>
      <c r="G146" s="114" t="n"/>
      <c r="H146" s="114" t="n"/>
      <c r="I146" s="114" t="n"/>
      <c r="J146" s="114" t="n"/>
      <c r="K146" s="114" t="n"/>
      <c r="L146" s="114" t="n"/>
      <c r="M146" s="114" t="n"/>
      <c r="N146" s="114" t="n"/>
      <c r="O146" s="114" t="n"/>
      <c r="P146" s="114" t="n"/>
      <c r="Q146" s="114" t="n"/>
      <c r="R146" s="114" t="n"/>
      <c r="S146" s="114" t="n"/>
      <c r="T146" s="114" t="n"/>
      <c r="U146" s="114" t="n"/>
      <c r="V146" s="114" t="n"/>
      <c r="W146" s="114" t="n"/>
      <c r="X146" s="114" t="n"/>
      <c r="Y146" s="114" t="n"/>
      <c r="Z146" s="114" t="n"/>
      <c r="AA146" s="114" t="n"/>
      <c r="AB146" s="114" t="n"/>
      <c r="AC146" s="114" t="n"/>
      <c r="AD146" s="114" t="n"/>
      <c r="AE146" s="114" t="n"/>
      <c r="AF146" s="114" t="n"/>
      <c r="AG146" s="114" t="n"/>
      <c r="AH146" s="114" t="n"/>
      <c r="AI146" s="114" t="n"/>
      <c r="AJ146" s="114" t="n"/>
      <c r="AK146" s="114" t="n"/>
      <c r="AL146" s="114" t="n"/>
      <c r="AM146" s="114" t="n"/>
      <c r="AN146" s="114" t="n"/>
      <c r="AO146" s="114" t="n"/>
      <c r="AP146" s="114" t="n"/>
      <c r="AQ146" s="114" t="n"/>
      <c r="AR146" s="114" t="n"/>
      <c r="AS146" s="114" t="n"/>
      <c r="AT146" s="114" t="n"/>
      <c r="AU146" s="114" t="n"/>
    </row>
    <row r="147">
      <c r="A147" s="8" t="n"/>
      <c r="B147" s="22" t="n"/>
      <c r="C147" s="114" t="n"/>
      <c r="D147" s="114" t="n"/>
      <c r="E147" s="114" t="n"/>
      <c r="F147" s="114" t="n"/>
      <c r="G147" s="114" t="n"/>
      <c r="H147" s="114" t="n"/>
      <c r="I147" s="114" t="n"/>
      <c r="J147" s="114" t="n"/>
      <c r="K147" s="114" t="n"/>
      <c r="L147" s="114" t="n"/>
      <c r="M147" s="114" t="n"/>
      <c r="N147" s="114" t="n"/>
      <c r="O147" s="114" t="n"/>
      <c r="P147" s="114" t="n"/>
      <c r="Q147" s="114" t="n"/>
      <c r="R147" s="114" t="n"/>
      <c r="S147" s="114" t="n"/>
      <c r="T147" s="114" t="n"/>
      <c r="U147" s="114" t="n"/>
      <c r="V147" s="114" t="n"/>
      <c r="W147" s="114" t="n"/>
      <c r="X147" s="114" t="n"/>
      <c r="Y147" s="114" t="n"/>
      <c r="Z147" s="114" t="n"/>
      <c r="AA147" s="114" t="n"/>
      <c r="AB147" s="114" t="n"/>
      <c r="AC147" s="114" t="n"/>
      <c r="AD147" s="114" t="n"/>
      <c r="AE147" s="114" t="n"/>
      <c r="AF147" s="114" t="n"/>
      <c r="AG147" s="114" t="n"/>
      <c r="AH147" s="114" t="n"/>
      <c r="AI147" s="114" t="n"/>
      <c r="AJ147" s="114" t="n"/>
      <c r="AK147" s="114" t="n"/>
      <c r="AL147" s="114" t="n"/>
      <c r="AM147" s="114" t="n"/>
      <c r="AN147" s="114" t="n"/>
      <c r="AO147" s="114" t="n"/>
      <c r="AP147" s="114" t="n"/>
      <c r="AQ147" s="114" t="n"/>
      <c r="AR147" s="114" t="n"/>
      <c r="AS147" s="114" t="n"/>
      <c r="AT147" s="114" t="n"/>
      <c r="AU147" s="114" t="n"/>
    </row>
    <row r="148">
      <c r="A148" s="8" t="n"/>
      <c r="B148" s="22" t="n"/>
      <c r="C148" s="114" t="n"/>
      <c r="D148" s="114" t="n"/>
      <c r="E148" s="114" t="n"/>
      <c r="F148" s="114" t="n"/>
      <c r="G148" s="114" t="n"/>
      <c r="H148" s="114" t="n"/>
      <c r="I148" s="114" t="n"/>
      <c r="J148" s="114" t="n"/>
      <c r="K148" s="114" t="n"/>
      <c r="L148" s="114" t="n"/>
      <c r="M148" s="114" t="n"/>
      <c r="N148" s="114" t="n"/>
      <c r="O148" s="114" t="n"/>
      <c r="P148" s="114" t="n"/>
      <c r="Q148" s="114" t="n"/>
      <c r="R148" s="114" t="n"/>
      <c r="S148" s="114" t="n"/>
      <c r="T148" s="114" t="n"/>
      <c r="U148" s="114" t="n"/>
      <c r="V148" s="114" t="n"/>
      <c r="W148" s="114" t="n"/>
      <c r="X148" s="114" t="n"/>
      <c r="Y148" s="114" t="n"/>
      <c r="Z148" s="114" t="n"/>
      <c r="AA148" s="114" t="n"/>
      <c r="AB148" s="114" t="n"/>
      <c r="AC148" s="114" t="n"/>
      <c r="AD148" s="114" t="n"/>
      <c r="AE148" s="114" t="n"/>
      <c r="AF148" s="114" t="n"/>
      <c r="AG148" s="114" t="n"/>
      <c r="AH148" s="114" t="n"/>
      <c r="AI148" s="114" t="n"/>
      <c r="AJ148" s="114" t="n"/>
      <c r="AK148" s="114" t="n"/>
      <c r="AL148" s="114" t="n"/>
      <c r="AM148" s="114" t="n"/>
      <c r="AN148" s="114" t="n"/>
      <c r="AO148" s="114" t="n"/>
      <c r="AP148" s="114" t="n"/>
      <c r="AQ148" s="114" t="n"/>
      <c r="AR148" s="114" t="n"/>
      <c r="AS148" s="114" t="n"/>
      <c r="AT148" s="114" t="n"/>
      <c r="AU148" s="114" t="n"/>
    </row>
    <row r="149">
      <c r="A149" s="8" t="n"/>
      <c r="B149" s="22" t="n"/>
    </row>
    <row r="150">
      <c r="A150" s="8" t="n"/>
      <c r="B150" s="22" t="n"/>
    </row>
  </sheetData>
  <mergeCells count="378">
    <mergeCell ref="D107:N110"/>
    <mergeCell ref="O56:X56"/>
    <mergeCell ref="AF144:AL144"/>
    <mergeCell ref="AE54:AO54"/>
    <mergeCell ref="D46:K46"/>
    <mergeCell ref="P69:Q69"/>
    <mergeCell ref="AO15:AP15"/>
    <mergeCell ref="W50:X50"/>
    <mergeCell ref="AK79:AO79"/>
    <mergeCell ref="D134:E134"/>
    <mergeCell ref="D43:K43"/>
    <mergeCell ref="AB93:AL96"/>
    <mergeCell ref="AG82:AI82"/>
    <mergeCell ref="AK81:AO81"/>
    <mergeCell ref="D57:M57"/>
    <mergeCell ref="V124:AL124"/>
    <mergeCell ref="D8:F9"/>
    <mergeCell ref="AH47:AI47"/>
    <mergeCell ref="D11:L11"/>
    <mergeCell ref="F69:M69"/>
    <mergeCell ref="V126:AL126"/>
    <mergeCell ref="D131:E131"/>
    <mergeCell ref="A8:B29"/>
    <mergeCell ref="AM71:AT71"/>
    <mergeCell ref="F129:T129"/>
    <mergeCell ref="X142:AC142"/>
    <mergeCell ref="D124:E124"/>
    <mergeCell ref="F134:T134"/>
    <mergeCell ref="AJ22:AP22"/>
    <mergeCell ref="AN84:AT84"/>
    <mergeCell ref="AF63:AG63"/>
    <mergeCell ref="L42:M42"/>
    <mergeCell ref="AS46:AT46"/>
    <mergeCell ref="F131:T131"/>
    <mergeCell ref="D126:E126"/>
    <mergeCell ref="D142:E142"/>
    <mergeCell ref="D129:E129"/>
    <mergeCell ref="AB112:AL112"/>
    <mergeCell ref="D144:E144"/>
    <mergeCell ref="N70:O70"/>
    <mergeCell ref="L19:R20"/>
    <mergeCell ref="AF25:AK25"/>
    <mergeCell ref="AD64:AE64"/>
    <mergeCell ref="F126:T126"/>
    <mergeCell ref="L47:M47"/>
    <mergeCell ref="AF30:AK30"/>
    <mergeCell ref="D139:E139"/>
    <mergeCell ref="G15:X15"/>
    <mergeCell ref="D26:H27"/>
    <mergeCell ref="D76:F77"/>
    <mergeCell ref="P91:Z91"/>
    <mergeCell ref="D21:J21"/>
    <mergeCell ref="AU6:AU142"/>
    <mergeCell ref="AE53:AO53"/>
    <mergeCell ref="AB114:AL117"/>
    <mergeCell ref="F137:T137"/>
    <mergeCell ref="P100:Z103"/>
    <mergeCell ref="F124:T124"/>
    <mergeCell ref="D29:N29"/>
    <mergeCell ref="F139:T139"/>
    <mergeCell ref="D18:J18"/>
    <mergeCell ref="F138:T138"/>
    <mergeCell ref="X83:Z83"/>
    <mergeCell ref="J26:N27"/>
    <mergeCell ref="F84:J84"/>
    <mergeCell ref="V63:AC63"/>
    <mergeCell ref="F80:J80"/>
    <mergeCell ref="N71:O71"/>
    <mergeCell ref="X10:AF10"/>
    <mergeCell ref="AD70:AE70"/>
    <mergeCell ref="N73:O73"/>
    <mergeCell ref="AB19:AH20"/>
    <mergeCell ref="D122:E122"/>
    <mergeCell ref="AP80:AT80"/>
    <mergeCell ref="V137:W137"/>
    <mergeCell ref="N11:V11"/>
    <mergeCell ref="X144:AC144"/>
    <mergeCell ref="V66:AC66"/>
    <mergeCell ref="V139:W139"/>
    <mergeCell ref="AM15:AN15"/>
    <mergeCell ref="AK50:AT50"/>
    <mergeCell ref="F65:M65"/>
    <mergeCell ref="V122:AL122"/>
    <mergeCell ref="L21:R21"/>
    <mergeCell ref="N66:O66"/>
    <mergeCell ref="G88:AH88"/>
    <mergeCell ref="N68:O68"/>
    <mergeCell ref="F140:T140"/>
    <mergeCell ref="D141:E141"/>
    <mergeCell ref="AH10:AL10"/>
    <mergeCell ref="D135:E135"/>
    <mergeCell ref="AS40:AT40"/>
    <mergeCell ref="P112:Z112"/>
    <mergeCell ref="D10:L10"/>
    <mergeCell ref="T19:Z20"/>
    <mergeCell ref="AF34:AK34"/>
    <mergeCell ref="AD71:AE71"/>
    <mergeCell ref="AF71:AG71"/>
    <mergeCell ref="Z42:AI42"/>
    <mergeCell ref="V68:AC68"/>
    <mergeCell ref="AD73:AE73"/>
    <mergeCell ref="V130:AL130"/>
    <mergeCell ref="AF73:AG73"/>
    <mergeCell ref="V67:AC67"/>
    <mergeCell ref="P30:AD31"/>
    <mergeCell ref="AF66:AG66"/>
    <mergeCell ref="V140:W140"/>
    <mergeCell ref="AK73:AT74"/>
    <mergeCell ref="H2:Z3"/>
    <mergeCell ref="V72:AC72"/>
    <mergeCell ref="V69:AC69"/>
    <mergeCell ref="AB91:AL91"/>
    <mergeCell ref="AF68:AG68"/>
    <mergeCell ref="P93:Z96"/>
    <mergeCell ref="N67:O67"/>
    <mergeCell ref="D34:H35"/>
    <mergeCell ref="D100:N103"/>
    <mergeCell ref="N69:O69"/>
    <mergeCell ref="L18:R18"/>
    <mergeCell ref="AQ40:AR40"/>
    <mergeCell ref="AF137:AL137"/>
    <mergeCell ref="AD144:AE144"/>
    <mergeCell ref="AF139:AL139"/>
    <mergeCell ref="X140:AC140"/>
    <mergeCell ref="D98:N98"/>
    <mergeCell ref="F143:T143"/>
    <mergeCell ref="P64:Q64"/>
    <mergeCell ref="O42:X42"/>
    <mergeCell ref="AK42:AR42"/>
    <mergeCell ref="AK47:AR47"/>
    <mergeCell ref="AJ19:AP20"/>
    <mergeCell ref="N10:V10"/>
    <mergeCell ref="D50:M50"/>
    <mergeCell ref="S82:W82"/>
    <mergeCell ref="G119:AH119"/>
    <mergeCell ref="AD137:AE137"/>
    <mergeCell ref="W47:X47"/>
    <mergeCell ref="P67:Q67"/>
    <mergeCell ref="AD74:AE74"/>
    <mergeCell ref="AM25:AR25"/>
    <mergeCell ref="AF74:AG74"/>
    <mergeCell ref="AD139:AE139"/>
    <mergeCell ref="D91:N91"/>
    <mergeCell ref="AK62:AT62"/>
    <mergeCell ref="AM33:AR33"/>
    <mergeCell ref="P114:Z117"/>
    <mergeCell ref="D2:G4"/>
    <mergeCell ref="D60:F62"/>
    <mergeCell ref="AK51:AT51"/>
    <mergeCell ref="T21:Z21"/>
    <mergeCell ref="AK76:AT76"/>
    <mergeCell ref="X137:AC137"/>
    <mergeCell ref="AO16:AP16"/>
    <mergeCell ref="N72:O72"/>
    <mergeCell ref="D119:F120"/>
    <mergeCell ref="T18:Z18"/>
    <mergeCell ref="P72:Q72"/>
    <mergeCell ref="AN10:AT10"/>
    <mergeCell ref="AF140:AL140"/>
    <mergeCell ref="X141:AC141"/>
    <mergeCell ref="Z40:AI40"/>
    <mergeCell ref="AM30:AR30"/>
    <mergeCell ref="AS43:AT43"/>
    <mergeCell ref="D15:F17"/>
    <mergeCell ref="P65:Q65"/>
    <mergeCell ref="AK69:AT70"/>
    <mergeCell ref="X143:AC143"/>
    <mergeCell ref="AO39:AP39"/>
    <mergeCell ref="AB2:AT3"/>
    <mergeCell ref="AF64:AG64"/>
    <mergeCell ref="AB105:AL105"/>
    <mergeCell ref="AF141:AL141"/>
    <mergeCell ref="V132:AL132"/>
    <mergeCell ref="W46:X46"/>
    <mergeCell ref="D137:E137"/>
    <mergeCell ref="K83:M83"/>
    <mergeCell ref="G40:X40"/>
    <mergeCell ref="AF85:AM85"/>
    <mergeCell ref="Z43:AI43"/>
    <mergeCell ref="S83:W83"/>
    <mergeCell ref="D130:E130"/>
    <mergeCell ref="D132:E132"/>
    <mergeCell ref="X82:Z82"/>
    <mergeCell ref="G8:X8"/>
    <mergeCell ref="AK72:AT72"/>
    <mergeCell ref="AM34:AR34"/>
    <mergeCell ref="AG80:AI80"/>
    <mergeCell ref="F64:M64"/>
    <mergeCell ref="D93:N96"/>
    <mergeCell ref="P26:AD27"/>
    <mergeCell ref="G76:AH76"/>
    <mergeCell ref="AQ16:AR16"/>
    <mergeCell ref="AB107:AL110"/>
    <mergeCell ref="V142:W142"/>
    <mergeCell ref="F130:T130"/>
    <mergeCell ref="D125:E125"/>
    <mergeCell ref="O50:V50"/>
    <mergeCell ref="D112:N112"/>
    <mergeCell ref="AH46:AI46"/>
    <mergeCell ref="P98:Z98"/>
    <mergeCell ref="S80:W80"/>
    <mergeCell ref="F132:T132"/>
    <mergeCell ref="D127:E127"/>
    <mergeCell ref="AM29:AR29"/>
    <mergeCell ref="Z56:AI56"/>
    <mergeCell ref="AK14:AT14"/>
    <mergeCell ref="AJ18:AP18"/>
    <mergeCell ref="AF143:AL143"/>
    <mergeCell ref="AF84:AM84"/>
    <mergeCell ref="F127:T127"/>
    <mergeCell ref="V133:AL133"/>
    <mergeCell ref="P73:Q73"/>
    <mergeCell ref="AN11:AT11"/>
    <mergeCell ref="Z51:AI51"/>
    <mergeCell ref="D138:E138"/>
    <mergeCell ref="K84:M84"/>
    <mergeCell ref="V135:AL135"/>
    <mergeCell ref="AD63:AE63"/>
    <mergeCell ref="D140:E140"/>
    <mergeCell ref="AP79:AT79"/>
    <mergeCell ref="AK15:AL15"/>
    <mergeCell ref="W51:X51"/>
    <mergeCell ref="AK63:AT64"/>
    <mergeCell ref="AF26:AK26"/>
    <mergeCell ref="F70:M70"/>
    <mergeCell ref="D114:N117"/>
    <mergeCell ref="AB4:AT4"/>
    <mergeCell ref="F71:M71"/>
    <mergeCell ref="V128:AL128"/>
    <mergeCell ref="D19:J20"/>
    <mergeCell ref="L46:M46"/>
    <mergeCell ref="AB100:AL103"/>
    <mergeCell ref="S79:W79"/>
    <mergeCell ref="O43:X43"/>
    <mergeCell ref="AO40:AP40"/>
    <mergeCell ref="S81:W81"/>
    <mergeCell ref="F133:T133"/>
    <mergeCell ref="D128:E128"/>
    <mergeCell ref="D88:F89"/>
    <mergeCell ref="AP92:AR96"/>
    <mergeCell ref="F68:M68"/>
    <mergeCell ref="D37:AT37"/>
    <mergeCell ref="D51:M51"/>
    <mergeCell ref="F135:T135"/>
    <mergeCell ref="X80:Z80"/>
    <mergeCell ref="F122:T122"/>
    <mergeCell ref="L43:M43"/>
    <mergeCell ref="P105:Z105"/>
    <mergeCell ref="X79:Z79"/>
    <mergeCell ref="D40:F41"/>
    <mergeCell ref="A33:B51"/>
    <mergeCell ref="X81:Z81"/>
    <mergeCell ref="AP81:AT81"/>
    <mergeCell ref="X139:AC139"/>
    <mergeCell ref="AD66:AE66"/>
    <mergeCell ref="D143:E143"/>
    <mergeCell ref="F82:J82"/>
    <mergeCell ref="AQ15:AR15"/>
    <mergeCell ref="AK80:AO80"/>
    <mergeCell ref="AS15:AT15"/>
    <mergeCell ref="V125:AL125"/>
    <mergeCell ref="V65:AC65"/>
    <mergeCell ref="F73:M73"/>
    <mergeCell ref="Z14:AI14"/>
    <mergeCell ref="AD142:AE142"/>
    <mergeCell ref="V129:AL129"/>
    <mergeCell ref="F74:M74"/>
    <mergeCell ref="O57:X57"/>
    <mergeCell ref="Z15:AI15"/>
    <mergeCell ref="V131:AL131"/>
    <mergeCell ref="F141:T141"/>
    <mergeCell ref="D136:E136"/>
    <mergeCell ref="D90:M90"/>
    <mergeCell ref="N64:O64"/>
    <mergeCell ref="D22:J22"/>
    <mergeCell ref="O46:V46"/>
    <mergeCell ref="F136:T136"/>
    <mergeCell ref="AH11:AL11"/>
    <mergeCell ref="AN85:AT85"/>
    <mergeCell ref="AB21:AH21"/>
    <mergeCell ref="J30:N31"/>
    <mergeCell ref="AD68:AE68"/>
    <mergeCell ref="AK40:AN40"/>
    <mergeCell ref="AK56:AT56"/>
    <mergeCell ref="AD67:AE67"/>
    <mergeCell ref="V141:W141"/>
    <mergeCell ref="AF67:AG67"/>
    <mergeCell ref="F83:J83"/>
    <mergeCell ref="V64:AC64"/>
    <mergeCell ref="AD69:AE69"/>
    <mergeCell ref="AP82:AT82"/>
    <mergeCell ref="V143:W143"/>
    <mergeCell ref="AF69:AG69"/>
    <mergeCell ref="AB18:AH18"/>
    <mergeCell ref="P107:Z110"/>
    <mergeCell ref="K82:M82"/>
    <mergeCell ref="P70:Q70"/>
    <mergeCell ref="AS16:AT16"/>
    <mergeCell ref="AK16:AL16"/>
    <mergeCell ref="AM26:AR26"/>
    <mergeCell ref="F67:M67"/>
    <mergeCell ref="AK46:AR46"/>
    <mergeCell ref="AK67:AT68"/>
    <mergeCell ref="D33:N33"/>
    <mergeCell ref="N65:O65"/>
    <mergeCell ref="F142:T142"/>
    <mergeCell ref="T22:Z22"/>
    <mergeCell ref="D54:F55"/>
    <mergeCell ref="L22:R22"/>
    <mergeCell ref="AS42:AT42"/>
    <mergeCell ref="F144:T144"/>
    <mergeCell ref="AJ21:AP21"/>
    <mergeCell ref="AD140:AE140"/>
    <mergeCell ref="Z47:AG47"/>
    <mergeCell ref="AK57:AT57"/>
    <mergeCell ref="F72:M72"/>
    <mergeCell ref="H4:Z4"/>
    <mergeCell ref="AG79:AI79"/>
    <mergeCell ref="V70:AC70"/>
    <mergeCell ref="AD141:AE141"/>
    <mergeCell ref="J34:N35"/>
    <mergeCell ref="AM16:AN16"/>
    <mergeCell ref="AF33:AK33"/>
    <mergeCell ref="AG81:AI81"/>
    <mergeCell ref="AD72:AE72"/>
    <mergeCell ref="D42:K42"/>
    <mergeCell ref="AF72:AG72"/>
    <mergeCell ref="V134:AL134"/>
    <mergeCell ref="P71:Q71"/>
    <mergeCell ref="C6:AR6"/>
    <mergeCell ref="V71:AC71"/>
    <mergeCell ref="V144:W144"/>
    <mergeCell ref="AF70:AG70"/>
    <mergeCell ref="AK82:AO82"/>
    <mergeCell ref="V73:AC73"/>
    <mergeCell ref="D105:N105"/>
    <mergeCell ref="AK43:AR43"/>
    <mergeCell ref="F125:T125"/>
    <mergeCell ref="F79:J79"/>
    <mergeCell ref="AD65:AE65"/>
    <mergeCell ref="AQ39:AR39"/>
    <mergeCell ref="V127:AL127"/>
    <mergeCell ref="AS39:AT39"/>
    <mergeCell ref="G54:X54"/>
    <mergeCell ref="F81:J81"/>
    <mergeCell ref="Z57:AI57"/>
    <mergeCell ref="P66:Q66"/>
    <mergeCell ref="AK39:AN39"/>
    <mergeCell ref="AK65:AT66"/>
    <mergeCell ref="Z50:AI50"/>
    <mergeCell ref="K80:M80"/>
    <mergeCell ref="D25:N25"/>
    <mergeCell ref="AS47:AT47"/>
    <mergeCell ref="P68:Q68"/>
    <mergeCell ref="D133:E133"/>
    <mergeCell ref="K79:M79"/>
    <mergeCell ref="Z39:AI39"/>
    <mergeCell ref="Z46:AG46"/>
    <mergeCell ref="AD143:AE143"/>
    <mergeCell ref="K81:M81"/>
    <mergeCell ref="D56:M56"/>
    <mergeCell ref="AF65:AG65"/>
    <mergeCell ref="D30:H31"/>
    <mergeCell ref="P34:AD35"/>
    <mergeCell ref="F66:M66"/>
    <mergeCell ref="V74:AC74"/>
    <mergeCell ref="D47:K47"/>
    <mergeCell ref="O51:V51"/>
    <mergeCell ref="AB98:AL98"/>
    <mergeCell ref="O47:V47"/>
    <mergeCell ref="G60:AD60"/>
    <mergeCell ref="AB22:AH22"/>
    <mergeCell ref="X11:AF11"/>
    <mergeCell ref="F128:T128"/>
    <mergeCell ref="N74:O74"/>
    <mergeCell ref="P74:Q74"/>
    <mergeCell ref="AF142:AL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DADOS!$AP$5:$AP$20</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DADOS!$AM$5:$AM$10</formula1>
    </dataValidation>
    <dataValidation sqref="D124:D144" showDropDown="0" showInputMessage="0" showErrorMessage="0" allowBlank="1" type="list">
      <formula1>"0,1,2,3,4,5,6,7,Lib. Max.,Téc. Max."</formula1>
    </dataValidation>
    <dataValidation sqref="V139:V144 AD139:AD144" showDropDown="0" showInputMessage="0" showErrorMessage="0" allowBlank="1" type="list">
      <formula1>"0,1,2,3"</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0" t="inlineStr">
        <is>
          <t>呪術</t>
        </is>
      </c>
      <c r="E2" s="41" t="inlineStr">
        <is>
          <t>FICHA AMALDIÇOADA</t>
        </is>
      </c>
      <c r="I2" s="8" t="n"/>
      <c r="J2" s="42">
        <f>FICHA!AB2</f>
        <v/>
      </c>
      <c r="U2" s="8" t="n"/>
    </row>
    <row r="3">
      <c r="A3" s="8" t="n"/>
      <c r="B3" s="8" t="n"/>
      <c r="C3" s="8" t="n"/>
      <c r="I3" s="8" t="n"/>
      <c r="U3" s="8" t="n"/>
    </row>
    <row r="4">
      <c r="A4" s="8" t="n"/>
      <c r="B4" s="8" t="n"/>
      <c r="C4" s="8" t="n"/>
      <c r="E4" s="43">
        <f>DADOS!$F$1&amp;" · técnica, feitiços e aptidões"</f>
        <v/>
      </c>
      <c r="I4" s="8" t="n"/>
      <c r="J4" s="44">
        <f>FICHA!AB4</f>
        <v/>
      </c>
      <c r="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row>
    <row r="6">
      <c r="A6" s="8" t="n"/>
      <c r="B6" s="22" t="n"/>
      <c r="C6" s="115" t="n"/>
      <c r="T6" s="115" t="n"/>
      <c r="U6" s="115" t="n"/>
    </row>
    <row r="7">
      <c r="A7" s="8" t="n"/>
      <c r="B7" s="22" t="n"/>
      <c r="C7" s="115" t="n"/>
      <c r="D7" s="116" t="inlineStr">
        <is>
          <t>Técnica</t>
        </is>
      </c>
      <c r="E7" s="116" t="inlineStr">
        <is>
          <t>Orçamento</t>
        </is>
      </c>
      <c r="F7" s="116" t="inlineStr">
        <is>
          <t>Feitiços</t>
        </is>
      </c>
      <c r="G7" s="116" t="inlineStr">
        <is>
          <t>Classe 0</t>
        </is>
      </c>
      <c r="H7" s="12" t="n"/>
      <c r="I7" s="115" t="n"/>
      <c r="J7" s="116" t="inlineStr">
        <is>
          <t>Liberação</t>
        </is>
      </c>
      <c r="K7" s="116" t="inlineStr">
        <is>
          <t>T. Máxima</t>
        </is>
      </c>
      <c r="L7" s="116" t="inlineStr">
        <is>
          <t>Domínio</t>
        </is>
      </c>
      <c r="M7" s="116" t="inlineStr">
        <is>
          <t>Passivas</t>
        </is>
      </c>
      <c r="N7" s="12" t="n"/>
      <c r="O7" s="115" t="n"/>
      <c r="P7" s="116" t="inlineStr">
        <is>
          <t>Aptidões</t>
        </is>
      </c>
      <c r="Q7" s="116" t="inlineStr">
        <is>
          <t>Pactos</t>
        </is>
      </c>
      <c r="R7" s="117" t="inlineStr">
        <is>
          <t>← Clique num nome para ir à seção</t>
        </is>
      </c>
      <c r="U7" s="115" t="n"/>
    </row>
    <row r="8">
      <c r="A8" s="45" t="inlineStr">
        <is>
          <t>PROJETO M</t>
        </is>
      </c>
      <c r="B8" s="17" t="n"/>
      <c r="C8" s="115" t="n"/>
      <c r="D8" s="115" t="n"/>
      <c r="E8" s="115" t="n"/>
      <c r="F8" s="115" t="n"/>
      <c r="G8" s="115" t="n"/>
      <c r="H8" s="115" t="n"/>
      <c r="I8" s="115" t="n"/>
      <c r="J8" s="115" t="n"/>
      <c r="K8" s="115" t="n"/>
      <c r="L8" s="115" t="n"/>
      <c r="M8" s="115" t="n"/>
      <c r="N8" s="115" t="n"/>
      <c r="O8" s="115" t="n"/>
      <c r="P8" s="115" t="n"/>
      <c r="Q8" s="115" t="n"/>
      <c r="R8" s="115" t="n"/>
      <c r="S8" s="115" t="n"/>
      <c r="T8" s="115" t="n"/>
      <c r="U8" s="115" t="n"/>
    </row>
    <row r="9">
      <c r="B9" s="17" t="n"/>
      <c r="C9" s="115" t="n"/>
      <c r="D9" s="118" t="inlineStr">
        <is>
          <t>TÉCNICA</t>
        </is>
      </c>
      <c r="E9" s="14" t="n"/>
      <c r="F9" s="14" t="n"/>
      <c r="G9" s="14" t="n"/>
      <c r="H9" s="14" t="n"/>
      <c r="I9" s="14" t="n"/>
      <c r="J9" s="14" t="n"/>
      <c r="K9" s="14" t="n"/>
      <c r="L9" s="14" t="n"/>
      <c r="M9" s="14" t="n"/>
      <c r="N9" s="14" t="n"/>
      <c r="O9" s="14" t="n"/>
      <c r="P9" s="14" t="n"/>
      <c r="Q9" s="14" t="n"/>
      <c r="R9" s="14" t="n"/>
      <c r="S9" s="14" t="n"/>
      <c r="T9" s="15" t="n"/>
      <c r="U9" s="115" t="n"/>
    </row>
    <row r="10">
      <c r="B10" s="17" t="n"/>
      <c r="C10" s="115" t="n"/>
      <c r="D10" s="18" t="n"/>
      <c r="E10" s="19" t="n"/>
      <c r="F10" s="19" t="n"/>
      <c r="G10" s="19" t="n"/>
      <c r="H10" s="19" t="n"/>
      <c r="I10" s="19" t="n"/>
      <c r="J10" s="19" t="n"/>
      <c r="K10" s="19" t="n"/>
      <c r="L10" s="19" t="n"/>
      <c r="M10" s="19" t="n"/>
      <c r="N10" s="19" t="n"/>
      <c r="O10" s="19" t="n"/>
      <c r="P10" s="19" t="n"/>
      <c r="Q10" s="19" t="n"/>
      <c r="R10" s="19" t="n"/>
      <c r="S10" s="19" t="n"/>
      <c r="T10" s="20" t="n"/>
      <c r="U10" s="115" t="n"/>
    </row>
    <row r="11" outlineLevel="1">
      <c r="B11" s="17" t="n"/>
      <c r="C11" s="115" t="n"/>
      <c r="D11" s="52" t="inlineStr">
        <is>
          <t>NOME DA TÉCNICA</t>
        </is>
      </c>
      <c r="E11" s="11" t="n"/>
      <c r="F11" s="11" t="n"/>
      <c r="G11" s="11" t="n"/>
      <c r="H11" s="12" t="n"/>
      <c r="I11" s="115" t="n"/>
      <c r="J11" s="52" t="inlineStr">
        <is>
          <t>TIPO DE DANO</t>
        </is>
      </c>
      <c r="K11" s="12" t="n"/>
      <c r="L11" s="52" t="inlineStr">
        <is>
          <t>ATRIBUTO DA TÉCNICA</t>
        </is>
      </c>
      <c r="M11" s="11" t="n"/>
      <c r="N11" s="12" t="n"/>
      <c r="O11" s="115" t="n"/>
      <c r="P11" s="52" t="inlineStr">
        <is>
          <t>CONJURAÇÃO</t>
        </is>
      </c>
      <c r="Q11" s="12" t="n"/>
      <c r="R11" s="52" t="inlineStr">
        <is>
          <t>CD</t>
        </is>
      </c>
      <c r="S11" s="11" t="n"/>
      <c r="T11" s="12" t="n"/>
      <c r="U11" s="115" t="n"/>
    </row>
    <row r="12" outlineLevel="1">
      <c r="B12" s="17" t="n"/>
      <c r="C12" s="115" t="n"/>
      <c r="D12" s="80" t="n"/>
      <c r="E12" s="14" t="n"/>
      <c r="F12" s="14" t="n"/>
      <c r="G12" s="14" t="n"/>
      <c r="H12" s="15" t="n"/>
      <c r="I12" s="115" t="n"/>
      <c r="J12" s="80" t="n"/>
      <c r="K12" s="15" t="n"/>
      <c r="L12" s="80">
        <f>DADOS_AM!$IK$2</f>
        <v/>
      </c>
      <c r="M12" s="14" t="n"/>
      <c r="N12" s="15" t="n"/>
      <c r="O12" s="115" t="n"/>
      <c r="P12" s="89">
        <f>DADOS_AM!$IK$3</f>
        <v/>
      </c>
      <c r="Q12" s="15" t="n"/>
      <c r="R12" s="89">
        <f>DADOS_AM!$IK$4</f>
        <v/>
      </c>
      <c r="S12" s="14" t="n"/>
      <c r="T12" s="15" t="n"/>
      <c r="U12" s="115" t="n"/>
    </row>
    <row r="13" outlineLevel="1">
      <c r="B13" s="17" t="n"/>
      <c r="C13" s="115" t="n"/>
      <c r="D13" s="18" t="n"/>
      <c r="E13" s="19" t="n"/>
      <c r="F13" s="19" t="n"/>
      <c r="G13" s="19" t="n"/>
      <c r="H13" s="20" t="n"/>
      <c r="I13" s="115" t="n"/>
      <c r="J13" s="18" t="n"/>
      <c r="K13" s="20" t="n"/>
      <c r="L13" s="18" t="n"/>
      <c r="M13" s="19" t="n"/>
      <c r="N13" s="20" t="n"/>
      <c r="O13" s="115" t="n"/>
      <c r="P13" s="18" t="n"/>
      <c r="Q13" s="20" t="n"/>
      <c r="R13" s="18" t="n"/>
      <c r="S13" s="19" t="n"/>
      <c r="T13" s="20" t="n"/>
      <c r="U13" s="115" t="n"/>
    </row>
    <row r="14" outlineLevel="1">
      <c r="B14" s="17" t="n"/>
      <c r="C14" s="115" t="n"/>
      <c r="D14" s="115" t="n"/>
      <c r="E14" s="115" t="n"/>
      <c r="F14" s="115" t="n"/>
      <c r="G14" s="115" t="n"/>
      <c r="H14" s="115" t="n"/>
      <c r="I14" s="115" t="n"/>
      <c r="J14" s="115" t="n"/>
      <c r="K14" s="115" t="n"/>
      <c r="L14" s="115" t="n"/>
      <c r="M14" s="115" t="n"/>
      <c r="N14" s="115" t="n"/>
      <c r="O14" s="115" t="n"/>
      <c r="P14" s="115" t="n"/>
      <c r="Q14" s="115" t="n"/>
      <c r="R14" s="115" t="n"/>
      <c r="S14" s="115" t="n"/>
      <c r="T14" s="115" t="n"/>
      <c r="U14" s="115" t="n"/>
    </row>
    <row r="15" outlineLevel="1">
      <c r="B15" s="17" t="n"/>
      <c r="C15" s="115" t="n"/>
      <c r="D15" s="52" t="inlineStr">
        <is>
          <t>ROTA</t>
        </is>
      </c>
      <c r="E15" s="11" t="n"/>
      <c r="F15" s="11" t="n"/>
      <c r="G15" s="11" t="n"/>
      <c r="H15" s="12" t="n"/>
      <c r="I15" s="115" t="n"/>
      <c r="J15" s="52">
        <f>DADOS_AM!$IK$5</f>
        <v/>
      </c>
      <c r="K15" s="11" t="n"/>
      <c r="L15" s="11" t="n"/>
      <c r="M15" s="11" t="n"/>
      <c r="N15" s="12" t="n"/>
      <c r="O15" s="115" t="n"/>
      <c r="P15" s="52">
        <f>DADOS_AM!$IK$6</f>
        <v/>
      </c>
      <c r="Q15" s="11" t="n"/>
      <c r="R15" s="11" t="n"/>
      <c r="S15" s="11" t="n"/>
      <c r="T15" s="12" t="n"/>
      <c r="U15" s="115" t="n"/>
    </row>
    <row r="16" outlineLevel="1">
      <c r="B16" s="17" t="n"/>
      <c r="C16" s="115" t="n"/>
      <c r="D16" s="119">
        <f>DADOS_AM!$IK$7</f>
        <v/>
      </c>
      <c r="E16" s="11" t="n"/>
      <c r="F16" s="11" t="n"/>
      <c r="G16" s="11" t="n"/>
      <c r="H16" s="12" t="n"/>
      <c r="I16" s="115" t="n"/>
      <c r="J16" s="119" t="n"/>
      <c r="K16" s="11" t="n"/>
      <c r="L16" s="11" t="n"/>
      <c r="M16" s="11" t="n"/>
      <c r="N16" s="12" t="n"/>
      <c r="O16" s="115" t="n"/>
      <c r="P16" s="119">
        <f>DADOS_AM!$IK$8</f>
        <v/>
      </c>
      <c r="Q16" s="11" t="n"/>
      <c r="R16" s="11" t="n"/>
      <c r="S16" s="11" t="n"/>
      <c r="T16" s="12" t="n"/>
      <c r="U16" s="115" t="n"/>
    </row>
    <row r="17" outlineLevel="1">
      <c r="B17" s="17" t="n"/>
      <c r="C17" s="115" t="n"/>
      <c r="D17" s="52">
        <f>DADOS_AM!$IK$9</f>
        <v/>
      </c>
      <c r="E17" s="11" t="n"/>
      <c r="F17" s="11" t="n"/>
      <c r="G17" s="11" t="n"/>
      <c r="H17" s="12" t="n"/>
      <c r="I17" s="115" t="n"/>
      <c r="J17" s="52">
        <f>DADOS_AM!$IK$11</f>
        <v/>
      </c>
      <c r="K17" s="11" t="n"/>
      <c r="L17" s="11" t="n"/>
      <c r="M17" s="11" t="n"/>
      <c r="N17" s="12" t="n"/>
      <c r="O17" s="115" t="n"/>
      <c r="P17" s="52">
        <f>DADOS_AM!$IK$13</f>
        <v/>
      </c>
      <c r="Q17" s="11" t="n"/>
      <c r="R17" s="11" t="n"/>
      <c r="S17" s="11" t="n"/>
      <c r="T17" s="12" t="n"/>
      <c r="U17" s="115" t="n"/>
    </row>
    <row r="18" outlineLevel="1">
      <c r="B18" s="17" t="n"/>
      <c r="C18" s="115" t="n"/>
      <c r="D18" s="119" t="n"/>
      <c r="E18" s="11" t="n"/>
      <c r="F18" s="11" t="n"/>
      <c r="G18" s="11" t="n"/>
      <c r="H18" s="12" t="n"/>
      <c r="I18" s="115" t="n"/>
      <c r="J18" s="119" t="n"/>
      <c r="K18" s="11" t="n"/>
      <c r="L18" s="11" t="n"/>
      <c r="M18" s="11" t="n"/>
      <c r="N18" s="12" t="n"/>
      <c r="O18" s="115" t="n"/>
      <c r="P18" s="119" t="n"/>
      <c r="Q18" s="11" t="n"/>
      <c r="R18" s="11" t="n"/>
      <c r="S18" s="11" t="n"/>
      <c r="T18" s="12" t="n"/>
      <c r="U18" s="115" t="n"/>
    </row>
    <row r="19" outlineLevel="1">
      <c r="B19" s="17" t="n"/>
      <c r="C19" s="115" t="n"/>
      <c r="D19" s="119">
        <f>DADOS_AM!$IK$10</f>
        <v/>
      </c>
      <c r="E19" s="11" t="n"/>
      <c r="F19" s="11" t="n"/>
      <c r="G19" s="11" t="n"/>
      <c r="H19" s="12" t="n"/>
      <c r="I19" s="115" t="n"/>
      <c r="J19" s="119">
        <f>DADOS_AM!$IK$12</f>
        <v/>
      </c>
      <c r="K19" s="11" t="n"/>
      <c r="L19" s="11" t="n"/>
      <c r="M19" s="11" t="n"/>
      <c r="N19" s="12" t="n"/>
      <c r="O19" s="115" t="n"/>
      <c r="P19" s="119">
        <f>DADOS_AM!$IK$14</f>
        <v/>
      </c>
      <c r="Q19" s="11" t="n"/>
      <c r="R19" s="11" t="n"/>
      <c r="S19" s="11" t="n"/>
      <c r="T19" s="12" t="n"/>
      <c r="U19" s="115" t="n"/>
    </row>
    <row r="20" outlineLevel="1">
      <c r="B20" s="17" t="n"/>
      <c r="C20" s="115" t="n"/>
      <c r="D20" s="115" t="n"/>
      <c r="E20" s="115" t="n"/>
      <c r="F20" s="115" t="n"/>
      <c r="G20" s="115" t="n"/>
      <c r="H20" s="115" t="n"/>
      <c r="I20" s="115" t="n"/>
      <c r="J20" s="115" t="n"/>
      <c r="K20" s="115" t="n"/>
      <c r="L20" s="115" t="n"/>
      <c r="M20" s="115" t="n"/>
      <c r="N20" s="115" t="n"/>
      <c r="O20" s="115" t="n"/>
      <c r="P20" s="115" t="n"/>
      <c r="Q20" s="115" t="n"/>
      <c r="R20" s="115" t="n"/>
      <c r="S20" s="115" t="n"/>
      <c r="T20" s="115" t="n"/>
      <c r="U20" s="115" t="n"/>
    </row>
    <row r="21" outlineLevel="1">
      <c r="B21" s="17" t="n"/>
      <c r="C21" s="115" t="n"/>
      <c r="D21" s="52" t="inlineStr">
        <is>
          <t>REGRA</t>
        </is>
      </c>
      <c r="E21" s="11" t="n"/>
      <c r="F21" s="11" t="n"/>
      <c r="G21" s="11" t="n"/>
      <c r="H21" s="11" t="n"/>
      <c r="I21" s="11" t="n"/>
      <c r="J21" s="11" t="n"/>
      <c r="K21" s="11" t="n"/>
      <c r="L21" s="11" t="n"/>
      <c r="M21" s="11" t="n"/>
      <c r="N21" s="11" t="n"/>
      <c r="O21" s="11" t="n"/>
      <c r="P21" s="11" t="n"/>
      <c r="Q21" s="11" t="n"/>
      <c r="R21" s="11" t="n"/>
      <c r="S21" s="11" t="n"/>
      <c r="T21" s="12" t="n"/>
      <c r="U21" s="115" t="n"/>
    </row>
    <row r="22" outlineLevel="1">
      <c r="B22" s="17" t="n"/>
      <c r="C22" s="115" t="n"/>
      <c r="D22" s="120" t="n"/>
      <c r="E22" s="14" t="n"/>
      <c r="F22" s="14" t="n"/>
      <c r="G22" s="14" t="n"/>
      <c r="H22" s="14" t="n"/>
      <c r="I22" s="14" t="n"/>
      <c r="J22" s="14" t="n"/>
      <c r="K22" s="14" t="n"/>
      <c r="L22" s="14" t="n"/>
      <c r="M22" s="14" t="n"/>
      <c r="N22" s="14" t="n"/>
      <c r="O22" s="14" t="n"/>
      <c r="P22" s="14" t="n"/>
      <c r="Q22" s="14" t="n"/>
      <c r="R22" s="14" t="n"/>
      <c r="S22" s="14" t="n"/>
      <c r="T22" s="15" t="n"/>
      <c r="U22" s="115" t="n"/>
    </row>
    <row r="23" outlineLevel="1">
      <c r="B23" s="17" t="n"/>
      <c r="C23" s="115" t="n"/>
      <c r="D23" s="18" t="n"/>
      <c r="E23" s="19" t="n"/>
      <c r="F23" s="19" t="n"/>
      <c r="G23" s="19" t="n"/>
      <c r="H23" s="19" t="n"/>
      <c r="I23" s="19" t="n"/>
      <c r="J23" s="19" t="n"/>
      <c r="K23" s="19" t="n"/>
      <c r="L23" s="19" t="n"/>
      <c r="M23" s="19" t="n"/>
      <c r="N23" s="19" t="n"/>
      <c r="O23" s="19" t="n"/>
      <c r="P23" s="19" t="n"/>
      <c r="Q23" s="19" t="n"/>
      <c r="R23" s="19" t="n"/>
      <c r="S23" s="19" t="n"/>
      <c r="T23" s="20" t="n"/>
      <c r="U23" s="115" t="n"/>
    </row>
    <row r="24" outlineLevel="1">
      <c r="B24" s="17" t="n"/>
      <c r="C24" s="115" t="n"/>
      <c r="D24" s="115" t="n"/>
      <c r="E24" s="115" t="n"/>
      <c r="F24" s="115" t="n"/>
      <c r="G24" s="115" t="n"/>
      <c r="H24" s="115" t="n"/>
      <c r="I24" s="115" t="n"/>
      <c r="J24" s="115" t="n"/>
      <c r="K24" s="115" t="n"/>
      <c r="L24" s="115" t="n"/>
      <c r="M24" s="115" t="n"/>
      <c r="N24" s="115" t="n"/>
      <c r="O24" s="115" t="n"/>
      <c r="P24" s="115" t="n"/>
      <c r="Q24" s="115" t="n"/>
      <c r="R24" s="115" t="n"/>
      <c r="S24" s="115" t="n"/>
      <c r="T24" s="115" t="n"/>
      <c r="U24" s="115" t="n"/>
    </row>
    <row r="25" outlineLevel="1">
      <c r="B25" s="17" t="n"/>
      <c r="C25" s="115" t="n"/>
      <c r="D25" s="52" t="inlineStr">
        <is>
          <t>DESCRIÇÃO</t>
        </is>
      </c>
      <c r="E25" s="11" t="n"/>
      <c r="F25" s="11" t="n"/>
      <c r="G25" s="11" t="n"/>
      <c r="H25" s="11" t="n"/>
      <c r="I25" s="11" t="n"/>
      <c r="J25" s="11" t="n"/>
      <c r="K25" s="12" t="n"/>
      <c r="L25" s="52">
        <f>DADOS_AM!$IK$15</f>
        <v/>
      </c>
      <c r="M25" s="11" t="n"/>
      <c r="N25" s="11" t="n"/>
      <c r="O25" s="11" t="n"/>
      <c r="P25" s="11" t="n"/>
      <c r="Q25" s="11" t="n"/>
      <c r="R25" s="11" t="n"/>
      <c r="S25" s="11" t="n"/>
      <c r="T25" s="12" t="n"/>
      <c r="U25" s="115" t="n"/>
    </row>
    <row r="26" outlineLevel="1">
      <c r="B26" s="17" t="n"/>
      <c r="C26" s="115" t="n"/>
      <c r="D26" s="120" t="n"/>
      <c r="E26" s="14" t="n"/>
      <c r="F26" s="14" t="n"/>
      <c r="G26" s="14" t="n"/>
      <c r="H26" s="14" t="n"/>
      <c r="I26" s="14" t="n"/>
      <c r="J26" s="14" t="n"/>
      <c r="K26" s="15" t="n"/>
      <c r="L26" s="120" t="n"/>
      <c r="M26" s="14" t="n"/>
      <c r="N26" s="14" t="n"/>
      <c r="O26" s="14" t="n"/>
      <c r="P26" s="14" t="n"/>
      <c r="Q26" s="14" t="n"/>
      <c r="R26" s="14" t="n"/>
      <c r="S26" s="14" t="n"/>
      <c r="T26" s="15" t="n"/>
      <c r="U26" s="115" t="n"/>
    </row>
    <row r="27" outlineLevel="1">
      <c r="B27" s="17" t="n"/>
      <c r="C27" s="115" t="n"/>
      <c r="D27" s="16" t="n"/>
      <c r="K27" s="17" t="n"/>
      <c r="L27" s="18" t="n"/>
      <c r="M27" s="19" t="n"/>
      <c r="N27" s="19" t="n"/>
      <c r="O27" s="19" t="n"/>
      <c r="P27" s="19" t="n"/>
      <c r="Q27" s="19" t="n"/>
      <c r="R27" s="19" t="n"/>
      <c r="S27" s="19" t="n"/>
      <c r="T27" s="20" t="n"/>
      <c r="U27" s="115" t="n"/>
    </row>
    <row r="28" outlineLevel="1">
      <c r="B28" s="17" t="n"/>
      <c r="C28" s="115" t="n"/>
      <c r="D28" s="16" t="n"/>
      <c r="K28" s="17" t="n"/>
      <c r="L28" s="52" t="inlineStr">
        <is>
          <t>PASSIVA LIVRE</t>
        </is>
      </c>
      <c r="M28" s="11" t="n"/>
      <c r="N28" s="11" t="n"/>
      <c r="O28" s="11" t="n"/>
      <c r="P28" s="11" t="n"/>
      <c r="Q28" s="11" t="n"/>
      <c r="R28" s="11" t="n"/>
      <c r="S28" s="11" t="n"/>
      <c r="T28" s="12" t="n"/>
      <c r="U28" s="115" t="n"/>
    </row>
    <row r="29" outlineLevel="1">
      <c r="B29" s="17" t="n"/>
      <c r="C29" s="115" t="n"/>
      <c r="D29" s="16" t="n"/>
      <c r="K29" s="17" t="n"/>
      <c r="L29" s="120" t="n"/>
      <c r="M29" s="14" t="n"/>
      <c r="N29" s="14" t="n"/>
      <c r="O29" s="14" t="n"/>
      <c r="P29" s="14" t="n"/>
      <c r="Q29" s="14" t="n"/>
      <c r="R29" s="14" t="n"/>
      <c r="S29" s="14" t="n"/>
      <c r="T29" s="15" t="n"/>
      <c r="U29" s="115" t="n"/>
    </row>
    <row r="30" outlineLevel="1">
      <c r="A30" s="8" t="n"/>
      <c r="B30" s="22" t="n"/>
      <c r="C30" s="115" t="n"/>
      <c r="D30" s="18" t="n"/>
      <c r="E30" s="19" t="n"/>
      <c r="F30" s="19" t="n"/>
      <c r="G30" s="19" t="n"/>
      <c r="H30" s="19" t="n"/>
      <c r="I30" s="19" t="n"/>
      <c r="J30" s="19" t="n"/>
      <c r="K30" s="20" t="n"/>
      <c r="L30" s="18" t="n"/>
      <c r="M30" s="19" t="n"/>
      <c r="N30" s="19" t="n"/>
      <c r="O30" s="19" t="n"/>
      <c r="P30" s="19" t="n"/>
      <c r="Q30" s="19" t="n"/>
      <c r="R30" s="19" t="n"/>
      <c r="S30" s="19" t="n"/>
      <c r="T30" s="20" t="n"/>
      <c r="U30" s="115" t="n"/>
    </row>
    <row r="31" outlineLevel="1">
      <c r="A31" s="8" t="n"/>
      <c r="B31" s="22" t="n"/>
      <c r="C31" s="115" t="n"/>
      <c r="D31" s="115" t="n"/>
      <c r="E31" s="115" t="n"/>
      <c r="F31" s="115" t="n"/>
      <c r="G31" s="115" t="n"/>
      <c r="H31" s="115" t="n"/>
      <c r="I31" s="115" t="n"/>
      <c r="J31" s="115" t="n"/>
      <c r="K31" s="115" t="n"/>
      <c r="L31" s="115" t="n"/>
      <c r="M31" s="115" t="n"/>
      <c r="N31" s="115" t="n"/>
      <c r="O31" s="115" t="n"/>
      <c r="P31" s="115" t="n"/>
      <c r="Q31" s="115" t="n"/>
      <c r="R31" s="115" t="n"/>
      <c r="S31" s="115" t="n"/>
      <c r="T31" s="115" t="n"/>
      <c r="U31" s="115" t="n"/>
    </row>
    <row r="32" outlineLevel="1">
      <c r="A32" s="8" t="n"/>
      <c r="B32" s="22" t="n"/>
      <c r="C32" s="115" t="n"/>
      <c r="D32" s="52" t="inlineStr">
        <is>
          <t>REGRA PRÓPRIA</t>
        </is>
      </c>
      <c r="E32" s="11" t="n"/>
      <c r="F32" s="11" t="n"/>
      <c r="G32" s="11" t="n"/>
      <c r="H32" s="11" t="n"/>
      <c r="I32" s="11" t="n"/>
      <c r="J32" s="11" t="n"/>
      <c r="K32" s="11" t="n"/>
      <c r="L32" s="11" t="n"/>
      <c r="M32" s="11" t="n"/>
      <c r="N32" s="12" t="n"/>
      <c r="O32" s="115" t="n"/>
      <c r="P32" s="52" t="inlineStr">
        <is>
          <t>CLASSE PASSIVA</t>
        </is>
      </c>
      <c r="Q32" s="12" t="n"/>
      <c r="R32" s="52" t="inlineStr">
        <is>
          <t>ESPAÇOS</t>
        </is>
      </c>
      <c r="S32" s="11" t="n"/>
      <c r="T32" s="12" t="n"/>
      <c r="U32" s="115" t="n"/>
    </row>
    <row r="33" outlineLevel="1">
      <c r="A33" s="45" t="inlineStr">
        <is>
          <t>FICHA AMALDIÇOADA</t>
        </is>
      </c>
      <c r="B33" s="17" t="n"/>
      <c r="C33" s="115" t="n"/>
      <c r="D33" s="120" t="n"/>
      <c r="E33" s="14" t="n"/>
      <c r="F33" s="14" t="n"/>
      <c r="G33" s="14" t="n"/>
      <c r="H33" s="14" t="n"/>
      <c r="I33" s="14" t="n"/>
      <c r="J33" s="14" t="n"/>
      <c r="K33" s="14" t="n"/>
      <c r="L33" s="14" t="n"/>
      <c r="M33" s="14" t="n"/>
      <c r="N33" s="15" t="n"/>
      <c r="O33" s="115" t="n"/>
      <c r="P33" s="119" t="n"/>
      <c r="Q33" s="15" t="n"/>
      <c r="R33" s="119">
        <f>DADOS_AM!$IK$16</f>
        <v/>
      </c>
      <c r="S33" s="14" t="n"/>
      <c r="T33" s="15" t="n"/>
      <c r="U33" s="115" t="n"/>
    </row>
    <row r="34" outlineLevel="1">
      <c r="B34" s="17" t="n"/>
      <c r="C34" s="115" t="n"/>
      <c r="D34" s="18" t="n"/>
      <c r="E34" s="19" t="n"/>
      <c r="F34" s="19" t="n"/>
      <c r="G34" s="19" t="n"/>
      <c r="H34" s="19" t="n"/>
      <c r="I34" s="19" t="n"/>
      <c r="J34" s="19" t="n"/>
      <c r="K34" s="19" t="n"/>
      <c r="L34" s="19" t="n"/>
      <c r="M34" s="19" t="n"/>
      <c r="N34" s="20" t="n"/>
      <c r="O34" s="115" t="n"/>
      <c r="P34" s="18" t="n"/>
      <c r="Q34" s="20" t="n"/>
      <c r="R34" s="18" t="n"/>
      <c r="S34" s="19" t="n"/>
      <c r="T34" s="20" t="n"/>
      <c r="U34" s="115" t="n"/>
    </row>
    <row r="35" outlineLevel="1">
      <c r="B35" s="17" t="n"/>
      <c r="C35" s="115" t="n"/>
      <c r="D35" s="115" t="n"/>
      <c r="E35" s="115" t="n"/>
      <c r="F35" s="115" t="n"/>
      <c r="G35" s="115" t="n"/>
      <c r="H35" s="115" t="n"/>
      <c r="I35" s="115" t="n"/>
      <c r="J35" s="115" t="n"/>
      <c r="K35" s="115" t="n"/>
      <c r="L35" s="115" t="n"/>
      <c r="M35" s="115" t="n"/>
      <c r="N35" s="115" t="n"/>
      <c r="O35" s="115" t="n"/>
      <c r="P35" s="115" t="n"/>
      <c r="Q35" s="115" t="n"/>
      <c r="R35" s="115" t="n"/>
      <c r="S35" s="115" t="n"/>
      <c r="T35" s="115" t="n"/>
      <c r="U35" s="115" t="n"/>
    </row>
    <row r="36" outlineLevel="1">
      <c r="B36" s="17" t="n"/>
      <c r="C36" s="115" t="n"/>
      <c r="D36" s="52" t="inlineStr">
        <is>
          <t>ALCANCE</t>
        </is>
      </c>
      <c r="E36" s="52" t="inlineStr">
        <is>
          <t>ÁREA</t>
        </is>
      </c>
      <c r="F36" s="52" t="inlineStr">
        <is>
          <t>MIRA</t>
        </is>
      </c>
      <c r="G36" s="52" t="inlineStr">
        <is>
          <t>CONTROLE</t>
        </is>
      </c>
      <c r="H36" s="12" t="n"/>
      <c r="I36" s="115" t="n"/>
      <c r="J36" s="52" t="inlineStr">
        <is>
          <t>AUXILIARES</t>
        </is>
      </c>
      <c r="K36" s="52" t="inlineStr">
        <is>
          <t>CASTIGO</t>
        </is>
      </c>
      <c r="L36" s="52" t="inlineStr">
        <is>
          <t>TEMPO</t>
        </is>
      </c>
      <c r="M36" s="52" t="inlineStr">
        <is>
          <t>MARCA</t>
        </is>
      </c>
      <c r="N36" s="12" t="n"/>
      <c r="O36" s="115" t="n"/>
      <c r="P36" s="52" t="inlineStr">
        <is>
          <t>AMPARO</t>
        </is>
      </c>
      <c r="Q36" s="52" t="inlineStr">
        <is>
          <t>LIVRES · FECHADAS</t>
        </is>
      </c>
      <c r="R36" s="11" t="n"/>
      <c r="S36" s="11" t="n"/>
      <c r="T36" s="12" t="n"/>
      <c r="U36" s="115" t="n"/>
    </row>
    <row r="37" outlineLevel="1">
      <c r="B37" s="17" t="n"/>
      <c r="C37" s="115" t="n"/>
      <c r="D37" s="119" t="inlineStr">
        <is>
          <t>Neutra</t>
        </is>
      </c>
      <c r="E37" s="119" t="inlineStr">
        <is>
          <t>Neutra</t>
        </is>
      </c>
      <c r="F37" s="119" t="inlineStr">
        <is>
          <t>Neutra</t>
        </is>
      </c>
      <c r="G37" s="119" t="inlineStr">
        <is>
          <t>Neutra</t>
        </is>
      </c>
      <c r="H37" s="12" t="n"/>
      <c r="I37" s="115" t="n"/>
      <c r="J37" s="119" t="inlineStr">
        <is>
          <t>Neutra</t>
        </is>
      </c>
      <c r="K37" s="119" t="inlineStr">
        <is>
          <t>Neutra</t>
        </is>
      </c>
      <c r="L37" s="119" t="inlineStr">
        <is>
          <t>Neutra</t>
        </is>
      </c>
      <c r="M37" s="119" t="inlineStr">
        <is>
          <t>Neutra</t>
        </is>
      </c>
      <c r="N37" s="12" t="n"/>
      <c r="O37" s="115" t="n"/>
      <c r="P37" s="119" t="inlineStr">
        <is>
          <t>Neutra</t>
        </is>
      </c>
      <c r="Q37" s="119">
        <f>DADOS_AM!$IK$17</f>
        <v/>
      </c>
      <c r="R37" s="11" t="n"/>
      <c r="S37" s="11" t="n"/>
      <c r="T37" s="12" t="n"/>
      <c r="U37" s="115" t="n"/>
    </row>
    <row r="38">
      <c r="B38" s="17" t="n"/>
      <c r="C38" s="115" t="n"/>
      <c r="D38" s="115" t="n"/>
      <c r="E38" s="115" t="n"/>
      <c r="F38" s="115" t="n"/>
      <c r="G38" s="115" t="n"/>
      <c r="H38" s="115" t="n"/>
      <c r="I38" s="115" t="n"/>
      <c r="J38" s="115" t="n"/>
      <c r="K38" s="115" t="n"/>
      <c r="L38" s="115" t="n"/>
      <c r="M38" s="115" t="n"/>
      <c r="N38" s="115" t="n"/>
      <c r="O38" s="115" t="n"/>
      <c r="P38" s="115" t="n"/>
      <c r="Q38" s="115" t="n"/>
      <c r="R38" s="115" t="n"/>
      <c r="S38" s="115" t="n"/>
      <c r="T38" s="115" t="n"/>
      <c r="U38" s="115" t="n"/>
    </row>
    <row r="39">
      <c r="B39" s="17" t="n"/>
      <c r="C39" s="115" t="n"/>
      <c r="D39" s="118" t="inlineStr">
        <is>
          <t>ORÇAMENTO</t>
        </is>
      </c>
      <c r="E39" s="14" t="n"/>
      <c r="F39" s="14" t="n"/>
      <c r="G39" s="14" t="n"/>
      <c r="H39" s="14" t="n"/>
      <c r="I39" s="14" t="n"/>
      <c r="J39" s="14" t="n"/>
      <c r="K39" s="14" t="n"/>
      <c r="L39" s="14" t="n"/>
      <c r="M39" s="14" t="n"/>
      <c r="N39" s="14" t="n"/>
      <c r="O39" s="14" t="n"/>
      <c r="P39" s="14" t="n"/>
      <c r="Q39" s="14" t="n"/>
      <c r="R39" s="14" t="n"/>
      <c r="S39" s="14" t="n"/>
      <c r="T39" s="15" t="n"/>
      <c r="U39" s="115" t="n"/>
    </row>
    <row r="40">
      <c r="B40" s="17" t="n"/>
      <c r="C40" s="115" t="n"/>
      <c r="D40" s="18" t="n"/>
      <c r="E40" s="19" t="n"/>
      <c r="F40" s="19" t="n"/>
      <c r="G40" s="19" t="n"/>
      <c r="H40" s="19" t="n"/>
      <c r="I40" s="19" t="n"/>
      <c r="J40" s="19" t="n"/>
      <c r="K40" s="19" t="n"/>
      <c r="L40" s="19" t="n"/>
      <c r="M40" s="19" t="n"/>
      <c r="N40" s="19" t="n"/>
      <c r="O40" s="19" t="n"/>
      <c r="P40" s="19" t="n"/>
      <c r="Q40" s="19" t="n"/>
      <c r="R40" s="19" t="n"/>
      <c r="S40" s="19" t="n"/>
      <c r="T40" s="20" t="n"/>
      <c r="U40" s="115" t="n"/>
    </row>
    <row r="41" outlineLevel="1">
      <c r="B41" s="17" t="n"/>
      <c r="C41" s="115" t="n"/>
      <c r="D41" s="52" t="inlineStr">
        <is>
          <t>MAIOR CLASSE</t>
        </is>
      </c>
      <c r="E41" s="12" t="n"/>
      <c r="F41" s="52" t="inlineStr">
        <is>
          <t>ESPAÇOS</t>
        </is>
      </c>
      <c r="G41" s="11" t="n"/>
      <c r="H41" s="12" t="n"/>
      <c r="I41" s="115" t="n"/>
      <c r="J41" s="52" t="inlineStr">
        <is>
          <t>DO LEQUE</t>
        </is>
      </c>
      <c r="K41" s="12" t="n"/>
      <c r="L41" s="52">
        <f>DADOS_AM!$IK$19</f>
        <v/>
      </c>
      <c r="M41" s="11" t="n"/>
      <c r="N41" s="12" t="n"/>
      <c r="O41" s="115" t="n"/>
      <c r="P41" s="52" t="inlineStr">
        <is>
          <t>EM PASSIVAS</t>
        </is>
      </c>
      <c r="Q41" s="52" t="inlineStr">
        <is>
          <t>NO DOMÍNIO</t>
        </is>
      </c>
      <c r="R41" s="52" t="inlineStr">
        <is>
          <t>LIVRES</t>
        </is>
      </c>
      <c r="S41" s="11" t="n"/>
      <c r="T41" s="12" t="n"/>
      <c r="U41" s="115" t="n"/>
    </row>
    <row r="42" outlineLevel="1">
      <c r="B42" s="17" t="n"/>
      <c r="C42" s="115" t="n"/>
      <c r="D42" s="89">
        <f>DADOS_AM!$HE$4</f>
        <v/>
      </c>
      <c r="E42" s="15" t="n"/>
      <c r="F42" s="89">
        <f>DADOS_AM!$HE$14</f>
        <v/>
      </c>
      <c r="G42" s="14" t="n"/>
      <c r="H42" s="15" t="n"/>
      <c r="I42" s="115" t="n"/>
      <c r="J42" s="89">
        <f>DADOS_AM!$IK$18</f>
        <v/>
      </c>
      <c r="K42" s="15" t="n"/>
      <c r="L42" s="89">
        <f>DADOS_AM!$HE$15</f>
        <v/>
      </c>
      <c r="M42" s="14" t="n"/>
      <c r="N42" s="15" t="n"/>
      <c r="O42" s="115" t="n"/>
      <c r="P42" s="89">
        <f>DADOS_AM!$IK$20</f>
        <v/>
      </c>
      <c r="Q42" s="89">
        <f>DADOS_AM!$IK$21</f>
        <v/>
      </c>
      <c r="R42" s="89">
        <f>DADOS_AM!$IK$22</f>
        <v/>
      </c>
      <c r="S42" s="14" t="n"/>
      <c r="T42" s="15" t="n"/>
      <c r="U42" s="115" t="n"/>
    </row>
    <row r="43" outlineLevel="1">
      <c r="B43" s="17" t="n"/>
      <c r="C43" s="115" t="n"/>
      <c r="D43" s="18" t="n"/>
      <c r="E43" s="20" t="n"/>
      <c r="F43" s="18" t="n"/>
      <c r="G43" s="19" t="n"/>
      <c r="H43" s="20" t="n"/>
      <c r="I43" s="115" t="n"/>
      <c r="J43" s="18" t="n"/>
      <c r="K43" s="20" t="n"/>
      <c r="L43" s="18" t="n"/>
      <c r="M43" s="19" t="n"/>
      <c r="N43" s="20" t="n"/>
      <c r="O43" s="115" t="n"/>
      <c r="P43" s="121" t="n"/>
      <c r="Q43" s="121" t="n"/>
      <c r="R43" s="18" t="n"/>
      <c r="S43" s="19" t="n"/>
      <c r="T43" s="20" t="n"/>
      <c r="U43" s="115" t="n"/>
    </row>
    <row r="44" outlineLevel="1">
      <c r="B44" s="17" t="n"/>
      <c r="C44" s="115" t="n"/>
      <c r="D44" s="115" t="n"/>
      <c r="E44" s="115" t="n"/>
      <c r="F44" s="115" t="n"/>
      <c r="G44" s="115" t="n"/>
      <c r="H44" s="115" t="n"/>
      <c r="I44" s="115" t="n"/>
      <c r="J44" s="115" t="n"/>
      <c r="K44" s="115" t="n"/>
      <c r="L44" s="115" t="n"/>
      <c r="M44" s="115" t="n"/>
      <c r="N44" s="115" t="n"/>
      <c r="O44" s="115" t="n"/>
      <c r="P44" s="115" t="n"/>
      <c r="Q44" s="115" t="n"/>
      <c r="R44" s="115" t="n"/>
      <c r="S44" s="115" t="n"/>
      <c r="T44" s="115" t="n"/>
      <c r="U44" s="115" t="n"/>
    </row>
    <row r="45" outlineLevel="1">
      <c r="B45" s="17" t="n"/>
      <c r="C45" s="115" t="n"/>
      <c r="D45" s="52" t="inlineStr">
        <is>
          <t>PREÇOS DA</t>
        </is>
      </c>
      <c r="E45" s="52" t="inlineStr">
        <is>
          <t>PONTOS E PE</t>
        </is>
      </c>
      <c r="F45" s="52" t="inlineStr">
        <is>
          <t>LEVE</t>
        </is>
      </c>
      <c r="G45" s="52" t="inlineStr">
        <is>
          <t>MÉDIA</t>
        </is>
      </c>
      <c r="H45" s="12" t="n"/>
      <c r="I45" s="115" t="n"/>
      <c r="J45" s="52" t="inlineStr">
        <is>
          <t>PESADA</t>
        </is>
      </c>
      <c r="K45" s="52" t="inlineStr">
        <is>
          <t>DEVOLUÇÃO MÁX.</t>
        </is>
      </c>
      <c r="L45" s="52" t="inlineStr">
        <is>
          <t>TETO DE DADOS</t>
        </is>
      </c>
      <c r="M45" s="52" t="inlineStr">
        <is>
          <t>MELHORIAS</t>
        </is>
      </c>
      <c r="N45" s="12" t="n"/>
      <c r="O45" s="115" t="n"/>
      <c r="P45" s="52" t="inlineStr">
        <is>
          <t>CLASSE 0</t>
        </is>
      </c>
      <c r="Q45" s="11" t="n"/>
      <c r="R45" s="11" t="n"/>
      <c r="S45" s="11" t="n"/>
      <c r="T45" s="12" t="n"/>
      <c r="U45" s="115" t="n"/>
    </row>
    <row r="46" outlineLevel="1">
      <c r="B46" s="17" t="n"/>
      <c r="C46" s="115" t="n"/>
      <c r="D46" s="122" t="n">
        <v>1</v>
      </c>
      <c r="E46" s="119">
        <f>DADOS_AM!$IK$23</f>
        <v/>
      </c>
      <c r="F46" s="119">
        <f>DADOS_AM!$IK$24</f>
        <v/>
      </c>
      <c r="G46" s="119">
        <f>DADOS_AM!$IK$25</f>
        <v/>
      </c>
      <c r="H46" s="12" t="n"/>
      <c r="I46" s="115" t="n"/>
      <c r="J46" s="119">
        <f>DADOS_AM!$IK$26</f>
        <v/>
      </c>
      <c r="K46" s="119">
        <f>DADOS_AM!$IK$27</f>
        <v/>
      </c>
      <c r="L46" s="119">
        <f>DADOS_AM!$IK$28</f>
        <v/>
      </c>
      <c r="M46" s="119">
        <f>DADOS_AM!$IK$29</f>
        <v/>
      </c>
      <c r="N46" s="12" t="n"/>
      <c r="O46" s="115" t="n"/>
      <c r="P46" s="119">
        <f>DADOS_AM!$IK$30</f>
        <v/>
      </c>
      <c r="Q46" s="11" t="n"/>
      <c r="R46" s="11" t="n"/>
      <c r="S46" s="11" t="n"/>
      <c r="T46" s="12" t="n"/>
      <c r="U46" s="115" t="n"/>
    </row>
    <row r="47">
      <c r="B47" s="17" t="n"/>
      <c r="C47" s="115" t="n"/>
      <c r="D47" s="115" t="n"/>
      <c r="E47" s="115" t="n"/>
      <c r="F47" s="115" t="n"/>
      <c r="G47" s="115" t="n"/>
      <c r="H47" s="115" t="n"/>
      <c r="I47" s="115" t="n"/>
      <c r="J47" s="115" t="n"/>
      <c r="K47" s="115" t="n"/>
      <c r="L47" s="115" t="n"/>
      <c r="M47" s="115" t="n"/>
      <c r="N47" s="115" t="n"/>
      <c r="O47" s="115" t="n"/>
      <c r="P47" s="115" t="n"/>
      <c r="Q47" s="115" t="n"/>
      <c r="R47" s="115" t="n"/>
      <c r="S47" s="115" t="n"/>
      <c r="T47" s="115" t="n"/>
      <c r="U47" s="115" t="n"/>
    </row>
    <row r="48">
      <c r="B48" s="17" t="n"/>
      <c r="C48" s="115" t="n"/>
      <c r="D48" s="118">
        <f>DADOS_AM!$IK$31</f>
        <v/>
      </c>
      <c r="E48" s="14" t="n"/>
      <c r="F48" s="14" t="n"/>
      <c r="G48" s="14" t="n"/>
      <c r="H48" s="14" t="n"/>
      <c r="I48" s="14" t="n"/>
      <c r="J48" s="14" t="n"/>
      <c r="K48" s="14" t="n"/>
      <c r="L48" s="14" t="n"/>
      <c r="M48" s="14" t="n"/>
      <c r="N48" s="14" t="n"/>
      <c r="O48" s="14" t="n"/>
      <c r="P48" s="14" t="n"/>
      <c r="Q48" s="14" t="n"/>
      <c r="R48" s="14" t="n"/>
      <c r="S48" s="14" t="n"/>
      <c r="T48" s="15" t="n"/>
      <c r="U48" s="115" t="n"/>
    </row>
    <row r="49">
      <c r="B49" s="17" t="n"/>
      <c r="C49" s="115" t="n"/>
      <c r="D49" s="18" t="n"/>
      <c r="E49" s="19" t="n"/>
      <c r="F49" s="19" t="n"/>
      <c r="G49" s="19" t="n"/>
      <c r="H49" s="19" t="n"/>
      <c r="I49" s="19" t="n"/>
      <c r="J49" s="19" t="n"/>
      <c r="K49" s="19" t="n"/>
      <c r="L49" s="19" t="n"/>
      <c r="M49" s="19" t="n"/>
      <c r="N49" s="19" t="n"/>
      <c r="O49" s="19" t="n"/>
      <c r="P49" s="19" t="n"/>
      <c r="Q49" s="19" t="n"/>
      <c r="R49" s="19" t="n"/>
      <c r="S49" s="19" t="n"/>
      <c r="T49" s="20" t="n"/>
      <c r="U49" s="115" t="n"/>
    </row>
    <row r="50" outlineLevel="1">
      <c r="B50" s="17" t="n"/>
      <c r="C50" s="115" t="n"/>
      <c r="D50" s="115" t="n"/>
      <c r="E50" s="115" t="n"/>
      <c r="F50" s="115" t="n"/>
      <c r="G50" s="115" t="n"/>
      <c r="H50" s="115" t="n"/>
      <c r="I50" s="115" t="n"/>
      <c r="J50" s="115" t="n"/>
      <c r="K50" s="115" t="n"/>
      <c r="L50" s="115" t="n"/>
      <c r="M50" s="115" t="n"/>
      <c r="N50" s="115" t="n"/>
      <c r="O50" s="115" t="n"/>
      <c r="P50" s="115" t="n"/>
      <c r="Q50" s="115" t="n"/>
      <c r="R50" s="115" t="n"/>
      <c r="S50" s="115" t="n"/>
      <c r="T50" s="115" t="n"/>
      <c r="U50" s="115" t="n"/>
    </row>
    <row r="51" outlineLevel="1">
      <c r="B51" s="17" t="n"/>
      <c r="C51" s="115" t="n"/>
      <c r="D51" s="123" t="n">
        <v>1</v>
      </c>
      <c r="E51" s="124" t="n"/>
      <c r="F51" s="12" t="n"/>
      <c r="G51" s="125">
        <f>DADOS_AM!$GJ$2</f>
        <v/>
      </c>
      <c r="H51" s="12" t="n"/>
      <c r="I51" s="115" t="n"/>
      <c r="J51" s="123" t="n">
        <v>1</v>
      </c>
      <c r="K51" s="124" t="n"/>
      <c r="L51" s="12" t="n"/>
      <c r="M51" s="125">
        <f>DADOS_AM!$GJ$3</f>
        <v/>
      </c>
      <c r="N51" s="12" t="n"/>
      <c r="O51" s="115" t="n"/>
      <c r="P51" s="123" t="n">
        <v>1</v>
      </c>
      <c r="Q51" s="124" t="n"/>
      <c r="R51" s="12" t="n"/>
      <c r="S51" s="125">
        <f>DADOS_AM!$GJ$4</f>
        <v/>
      </c>
      <c r="T51" s="12" t="n"/>
      <c r="U51" s="115" t="n"/>
    </row>
    <row r="52" outlineLevel="2">
      <c r="A52" s="8" t="n"/>
      <c r="B52" s="22" t="n"/>
      <c r="C52" s="115" t="n"/>
      <c r="D52" s="52" t="inlineStr">
        <is>
          <t>COMO É</t>
        </is>
      </c>
      <c r="E52" s="11" t="n"/>
      <c r="F52" s="11" t="n"/>
      <c r="G52" s="11" t="n"/>
      <c r="H52" s="12" t="n"/>
      <c r="I52" s="115" t="n"/>
      <c r="J52" s="52" t="inlineStr">
        <is>
          <t>COMO É</t>
        </is>
      </c>
      <c r="K52" s="11" t="n"/>
      <c r="L52" s="11" t="n"/>
      <c r="M52" s="11" t="n"/>
      <c r="N52" s="12" t="n"/>
      <c r="O52" s="115" t="n"/>
      <c r="P52" s="52" t="inlineStr">
        <is>
          <t>COMO É</t>
        </is>
      </c>
      <c r="Q52" s="11" t="n"/>
      <c r="R52" s="11" t="n"/>
      <c r="S52" s="11" t="n"/>
      <c r="T52" s="12" t="n"/>
      <c r="U52" s="115" t="n"/>
    </row>
    <row r="53" outlineLevel="2">
      <c r="A53" s="8" t="n"/>
      <c r="B53" s="22" t="n"/>
      <c r="C53" s="115" t="n"/>
      <c r="D53" s="120" t="n"/>
      <c r="E53" s="14" t="n"/>
      <c r="F53" s="14" t="n"/>
      <c r="G53" s="14" t="n"/>
      <c r="H53" s="15" t="n"/>
      <c r="I53" s="115" t="n"/>
      <c r="J53" s="120" t="n"/>
      <c r="K53" s="14" t="n"/>
      <c r="L53" s="14" t="n"/>
      <c r="M53" s="14" t="n"/>
      <c r="N53" s="15" t="n"/>
      <c r="O53" s="115" t="n"/>
      <c r="P53" s="120" t="n"/>
      <c r="Q53" s="14" t="n"/>
      <c r="R53" s="14" t="n"/>
      <c r="S53" s="14" t="n"/>
      <c r="T53" s="15" t="n"/>
      <c r="U53" s="115" t="n"/>
    </row>
    <row r="54" outlineLevel="2">
      <c r="A54" s="8" t="n"/>
      <c r="B54" s="22" t="n"/>
      <c r="C54" s="115" t="n"/>
      <c r="D54" s="16" t="n"/>
      <c r="H54" s="17" t="n"/>
      <c r="I54" s="115" t="n"/>
      <c r="J54" s="16" t="n"/>
      <c r="N54" s="17" t="n"/>
      <c r="O54" s="115" t="n"/>
      <c r="P54" s="16" t="n"/>
      <c r="T54" s="17" t="n"/>
      <c r="U54" s="115" t="n"/>
    </row>
    <row r="55" outlineLevel="2">
      <c r="A55" s="8" t="n"/>
      <c r="B55" s="22" t="n"/>
      <c r="C55" s="115" t="n"/>
      <c r="D55" s="16" t="n"/>
      <c r="H55" s="17" t="n"/>
      <c r="I55" s="115" t="n"/>
      <c r="J55" s="16" t="n"/>
      <c r="N55" s="17" t="n"/>
      <c r="O55" s="115" t="n"/>
      <c r="P55" s="16" t="n"/>
      <c r="T55" s="17" t="n"/>
      <c r="U55" s="115" t="n"/>
    </row>
    <row r="56" outlineLevel="2">
      <c r="A56" s="8" t="n"/>
      <c r="B56" s="22" t="n"/>
      <c r="C56" s="115" t="n"/>
      <c r="D56" s="16" t="n"/>
      <c r="H56" s="17" t="n"/>
      <c r="I56" s="115" t="n"/>
      <c r="J56" s="16" t="n"/>
      <c r="N56" s="17" t="n"/>
      <c r="O56" s="115" t="n"/>
      <c r="P56" s="16" t="n"/>
      <c r="T56" s="17" t="n"/>
      <c r="U56" s="115" t="n"/>
    </row>
    <row r="57" outlineLevel="2">
      <c r="A57" s="8" t="n"/>
      <c r="B57" s="22" t="n"/>
      <c r="C57" s="115" t="n"/>
      <c r="D57" s="18" t="n"/>
      <c r="E57" s="19" t="n"/>
      <c r="F57" s="19" t="n"/>
      <c r="G57" s="19" t="n"/>
      <c r="H57" s="20" t="n"/>
      <c r="I57" s="115" t="n"/>
      <c r="J57" s="18" t="n"/>
      <c r="K57" s="19" t="n"/>
      <c r="L57" s="19" t="n"/>
      <c r="M57" s="19" t="n"/>
      <c r="N57" s="20" t="n"/>
      <c r="O57" s="115" t="n"/>
      <c r="P57" s="18" t="n"/>
      <c r="Q57" s="19" t="n"/>
      <c r="R57" s="19" t="n"/>
      <c r="S57" s="19" t="n"/>
      <c r="T57" s="20" t="n"/>
      <c r="U57" s="115" t="n"/>
    </row>
    <row r="58" outlineLevel="1">
      <c r="A58" s="8" t="n"/>
      <c r="B58" s="22" t="n"/>
      <c r="C58" s="115" t="n"/>
      <c r="D58" s="119" t="inlineStr">
        <is>
          <t>Projétil</t>
        </is>
      </c>
      <c r="E58" s="65">
        <f>DADOS_AM!$GO$2</f>
        <v/>
      </c>
      <c r="F58" s="65">
        <f>DADOS_AM!$GL$2</f>
        <v/>
      </c>
      <c r="G58" s="119">
        <f>DADOS_AM!$GN$2</f>
        <v/>
      </c>
      <c r="H58" s="12" t="n"/>
      <c r="I58" s="115" t="n"/>
      <c r="J58" s="119" t="inlineStr">
        <is>
          <t>Projétil</t>
        </is>
      </c>
      <c r="K58" s="65">
        <f>DADOS_AM!$GO$3</f>
        <v/>
      </c>
      <c r="L58" s="65">
        <f>DADOS_AM!$GL$3</f>
        <v/>
      </c>
      <c r="M58" s="119">
        <f>DADOS_AM!$GN$3</f>
        <v/>
      </c>
      <c r="N58" s="12" t="n"/>
      <c r="O58" s="115" t="n"/>
      <c r="P58" s="119" t="inlineStr">
        <is>
          <t>Projétil</t>
        </is>
      </c>
      <c r="Q58" s="65">
        <f>DADOS_AM!$GO$4</f>
        <v/>
      </c>
      <c r="R58" s="65">
        <f>DADOS_AM!$GL$4</f>
        <v/>
      </c>
      <c r="S58" s="119">
        <f>DADOS_AM!$GN$4</f>
        <v/>
      </c>
      <c r="T58" s="12" t="n"/>
      <c r="U58" s="115" t="n"/>
    </row>
    <row r="59" outlineLevel="1">
      <c r="A59" s="8" t="n"/>
      <c r="B59" s="22" t="n"/>
      <c r="C59" s="115" t="n"/>
      <c r="D59" s="119">
        <f>DADOS_AM!$GM$2</f>
        <v/>
      </c>
      <c r="E59" s="126">
        <f>DADOS_AM!$GT$2</f>
        <v/>
      </c>
      <c r="F59" s="11" t="n"/>
      <c r="G59" s="11" t="n"/>
      <c r="H59" s="12" t="n"/>
      <c r="I59" s="115" t="n"/>
      <c r="J59" s="119">
        <f>DADOS_AM!$GM$3</f>
        <v/>
      </c>
      <c r="K59" s="126">
        <f>DADOS_AM!$GT$3</f>
        <v/>
      </c>
      <c r="L59" s="11" t="n"/>
      <c r="M59" s="11" t="n"/>
      <c r="N59" s="12" t="n"/>
      <c r="O59" s="115" t="n"/>
      <c r="P59" s="119">
        <f>DADOS_AM!$GM$4</f>
        <v/>
      </c>
      <c r="Q59" s="126">
        <f>DADOS_AM!$GT$4</f>
        <v/>
      </c>
      <c r="R59" s="11" t="n"/>
      <c r="S59" s="11" t="n"/>
      <c r="T59" s="12" t="n"/>
      <c r="U59" s="115" t="n"/>
    </row>
    <row r="60" outlineLevel="2">
      <c r="A60" s="8" t="n"/>
      <c r="B60" s="22" t="n"/>
      <c r="C60" s="115" t="n"/>
      <c r="D60" s="52" t="inlineStr">
        <is>
          <t>MELHORIAS</t>
        </is>
      </c>
      <c r="E60" s="127" t="n"/>
      <c r="F60" s="12" t="n"/>
      <c r="G60" s="126">
        <f>DADOS_AM!$GW$2</f>
        <v/>
      </c>
      <c r="H60" s="12" t="n"/>
      <c r="I60" s="115" t="n"/>
      <c r="J60" s="52" t="inlineStr">
        <is>
          <t>MELHORIAS</t>
        </is>
      </c>
      <c r="K60" s="127" t="n"/>
      <c r="L60" s="12" t="n"/>
      <c r="M60" s="126">
        <f>DADOS_AM!$GW$3</f>
        <v/>
      </c>
      <c r="N60" s="12" t="n"/>
      <c r="O60" s="115" t="n"/>
      <c r="P60" s="52" t="inlineStr">
        <is>
          <t>MELHORIAS</t>
        </is>
      </c>
      <c r="Q60" s="127" t="n"/>
      <c r="R60" s="12" t="n"/>
      <c r="S60" s="126">
        <f>DADOS_AM!$GW$4</f>
        <v/>
      </c>
      <c r="T60" s="12" t="n"/>
      <c r="U60" s="115" t="n"/>
    </row>
    <row r="61" outlineLevel="2">
      <c r="A61" s="8" t="n"/>
      <c r="B61" s="22" t="n"/>
      <c r="C61" s="115" t="n"/>
      <c r="D61" s="128" t="n"/>
      <c r="E61" s="127" t="n"/>
      <c r="F61" s="12" t="n"/>
      <c r="G61" s="126">
        <f>DADOS_AM!$GX$2</f>
        <v/>
      </c>
      <c r="H61" s="12" t="n"/>
      <c r="I61" s="115" t="n"/>
      <c r="J61" s="128" t="n"/>
      <c r="K61" s="127" t="n"/>
      <c r="L61" s="12" t="n"/>
      <c r="M61" s="126">
        <f>DADOS_AM!$GX$3</f>
        <v/>
      </c>
      <c r="N61" s="12" t="n"/>
      <c r="O61" s="115" t="n"/>
      <c r="P61" s="128" t="n"/>
      <c r="Q61" s="127" t="n"/>
      <c r="R61" s="12" t="n"/>
      <c r="S61" s="126">
        <f>DADOS_AM!$GX$4</f>
        <v/>
      </c>
      <c r="T61" s="12" t="n"/>
      <c r="U61" s="115" t="n"/>
    </row>
    <row r="62" outlineLevel="2">
      <c r="A62" s="8" t="n"/>
      <c r="B62" s="22" t="n"/>
      <c r="C62" s="115" t="n"/>
      <c r="D62" s="128" t="n"/>
      <c r="E62" s="127" t="n"/>
      <c r="F62" s="12" t="n"/>
      <c r="G62" s="126">
        <f>DADOS_AM!$GY$2</f>
        <v/>
      </c>
      <c r="H62" s="12" t="n"/>
      <c r="I62" s="115" t="n"/>
      <c r="J62" s="128" t="n"/>
      <c r="K62" s="127" t="n"/>
      <c r="L62" s="12" t="n"/>
      <c r="M62" s="126">
        <f>DADOS_AM!$GY$3</f>
        <v/>
      </c>
      <c r="N62" s="12" t="n"/>
      <c r="O62" s="115" t="n"/>
      <c r="P62" s="128" t="n"/>
      <c r="Q62" s="127" t="n"/>
      <c r="R62" s="12" t="n"/>
      <c r="S62" s="126">
        <f>DADOS_AM!$GY$4</f>
        <v/>
      </c>
      <c r="T62" s="12" t="n"/>
      <c r="U62" s="115" t="n"/>
    </row>
    <row r="63" outlineLevel="2">
      <c r="A63" s="8" t="n"/>
      <c r="B63" s="22" t="n"/>
      <c r="C63" s="115" t="n"/>
      <c r="D63" s="121" t="n"/>
      <c r="E63" s="127" t="n"/>
      <c r="F63" s="12" t="n"/>
      <c r="G63" s="126">
        <f>DADOS_AM!$GZ$2</f>
        <v/>
      </c>
      <c r="H63" s="12" t="n"/>
      <c r="I63" s="115" t="n"/>
      <c r="J63" s="121" t="n"/>
      <c r="K63" s="127" t="n"/>
      <c r="L63" s="12" t="n"/>
      <c r="M63" s="126">
        <f>DADOS_AM!$GZ$3</f>
        <v/>
      </c>
      <c r="N63" s="12" t="n"/>
      <c r="O63" s="115" t="n"/>
      <c r="P63" s="121" t="n"/>
      <c r="Q63" s="127" t="n"/>
      <c r="R63" s="12" t="n"/>
      <c r="S63" s="126">
        <f>DADOS_AM!$GZ$4</f>
        <v/>
      </c>
      <c r="T63" s="12" t="n"/>
      <c r="U63" s="115" t="n"/>
    </row>
    <row r="64" outlineLevel="2">
      <c r="A64" s="8" t="n"/>
      <c r="B64" s="22" t="n"/>
      <c r="C64" s="115" t="n"/>
      <c r="D64" s="52" t="inlineStr">
        <is>
          <t>RESTRIÇÕES</t>
        </is>
      </c>
      <c r="E64" s="127" t="n"/>
      <c r="F64" s="12" t="n"/>
      <c r="G64" s="126">
        <f>DADOS_AM!$HA$2</f>
        <v/>
      </c>
      <c r="H64" s="12" t="n"/>
      <c r="I64" s="115" t="n"/>
      <c r="J64" s="52" t="inlineStr">
        <is>
          <t>RESTRIÇÕES</t>
        </is>
      </c>
      <c r="K64" s="127" t="n"/>
      <c r="L64" s="12" t="n"/>
      <c r="M64" s="126">
        <f>DADOS_AM!$HA$3</f>
        <v/>
      </c>
      <c r="N64" s="12" t="n"/>
      <c r="O64" s="115" t="n"/>
      <c r="P64" s="52" t="inlineStr">
        <is>
          <t>RESTRIÇÕES</t>
        </is>
      </c>
      <c r="Q64" s="127" t="n"/>
      <c r="R64" s="12" t="n"/>
      <c r="S64" s="126">
        <f>DADOS_AM!$HA$4</f>
        <v/>
      </c>
      <c r="T64" s="12" t="n"/>
      <c r="U64" s="115" t="n"/>
    </row>
    <row r="65" outlineLevel="2">
      <c r="A65" s="8" t="n"/>
      <c r="B65" s="22" t="n"/>
      <c r="C65" s="115" t="n"/>
      <c r="D65" s="121" t="n"/>
      <c r="E65" s="127" t="n"/>
      <c r="F65" s="12" t="n"/>
      <c r="G65" s="126">
        <f>DADOS_AM!$HB$2</f>
        <v/>
      </c>
      <c r="H65" s="12" t="n"/>
      <c r="I65" s="115" t="n"/>
      <c r="J65" s="121" t="n"/>
      <c r="K65" s="127" t="n"/>
      <c r="L65" s="12" t="n"/>
      <c r="M65" s="126">
        <f>DADOS_AM!$HB$3</f>
        <v/>
      </c>
      <c r="N65" s="12" t="n"/>
      <c r="O65" s="115" t="n"/>
      <c r="P65" s="121" t="n"/>
      <c r="Q65" s="127" t="n"/>
      <c r="R65" s="12" t="n"/>
      <c r="S65" s="126">
        <f>DADOS_AM!$HB$4</f>
        <v/>
      </c>
      <c r="T65" s="12" t="n"/>
      <c r="U65" s="115" t="n"/>
    </row>
    <row r="66" outlineLevel="2">
      <c r="A66" s="8" t="n"/>
      <c r="B66" s="22" t="n"/>
      <c r="C66" s="115" t="n"/>
      <c r="D66" s="52" t="inlineStr">
        <is>
          <t>CONTA</t>
        </is>
      </c>
      <c r="E66" s="129">
        <f>DADOS_AM!$GU$2</f>
        <v/>
      </c>
      <c r="F66" s="11" t="n"/>
      <c r="G66" s="11" t="n"/>
      <c r="H66" s="12" t="n"/>
      <c r="I66" s="115" t="n"/>
      <c r="J66" s="52" t="inlineStr">
        <is>
          <t>CONTA</t>
        </is>
      </c>
      <c r="K66" s="129">
        <f>DADOS_AM!$GU$3</f>
        <v/>
      </c>
      <c r="L66" s="11" t="n"/>
      <c r="M66" s="11" t="n"/>
      <c r="N66" s="12" t="n"/>
      <c r="O66" s="115" t="n"/>
      <c r="P66" s="52" t="inlineStr">
        <is>
          <t>CONTA</t>
        </is>
      </c>
      <c r="Q66" s="129">
        <f>DADOS_AM!$GU$4</f>
        <v/>
      </c>
      <c r="R66" s="11" t="n"/>
      <c r="S66" s="11" t="n"/>
      <c r="T66" s="12" t="n"/>
      <c r="U66" s="115" t="n"/>
    </row>
    <row r="67" outlineLevel="2">
      <c r="A67" s="8" t="n"/>
      <c r="B67" s="22" t="n"/>
      <c r="C67" s="115" t="n"/>
      <c r="D67" s="52" t="inlineStr">
        <is>
          <t>AMPLIAR</t>
        </is>
      </c>
      <c r="E67" s="129">
        <f>DADOS_AM!$GV$2</f>
        <v/>
      </c>
      <c r="F67" s="14" t="n"/>
      <c r="G67" s="14" t="n"/>
      <c r="H67" s="15" t="n"/>
      <c r="I67" s="115" t="n"/>
      <c r="J67" s="52" t="inlineStr">
        <is>
          <t>AMPLIAR</t>
        </is>
      </c>
      <c r="K67" s="129">
        <f>DADOS_AM!$GV$3</f>
        <v/>
      </c>
      <c r="L67" s="14" t="n"/>
      <c r="M67" s="14" t="n"/>
      <c r="N67" s="15" t="n"/>
      <c r="O67" s="115" t="n"/>
      <c r="P67" s="52" t="inlineStr">
        <is>
          <t>AMPLIAR</t>
        </is>
      </c>
      <c r="Q67" s="129">
        <f>DADOS_AM!$GV$4</f>
        <v/>
      </c>
      <c r="R67" s="14" t="n"/>
      <c r="S67" s="14" t="n"/>
      <c r="T67" s="15" t="n"/>
      <c r="U67" s="115" t="n"/>
    </row>
    <row r="68" outlineLevel="2">
      <c r="A68" s="8" t="n"/>
      <c r="B68" s="22" t="n"/>
      <c r="C68" s="115" t="n"/>
      <c r="D68" s="121" t="n"/>
      <c r="E68" s="18" t="n"/>
      <c r="F68" s="19" t="n"/>
      <c r="G68" s="19" t="n"/>
      <c r="H68" s="20" t="n"/>
      <c r="I68" s="115" t="n"/>
      <c r="J68" s="121" t="n"/>
      <c r="K68" s="18" t="n"/>
      <c r="L68" s="19" t="n"/>
      <c r="M68" s="19" t="n"/>
      <c r="N68" s="20" t="n"/>
      <c r="O68" s="115" t="n"/>
      <c r="P68" s="121" t="n"/>
      <c r="Q68" s="18" t="n"/>
      <c r="R68" s="19" t="n"/>
      <c r="S68" s="19" t="n"/>
      <c r="T68" s="20" t="n"/>
      <c r="U68" s="115" t="n"/>
    </row>
    <row r="69" outlineLevel="2">
      <c r="A69" s="8" t="n"/>
      <c r="B69" s="22" t="n"/>
      <c r="C69" s="115" t="n"/>
      <c r="D69" s="52" t="inlineStr">
        <is>
          <t>AVISOS</t>
        </is>
      </c>
      <c r="E69" s="129">
        <f>DADOS_AM!$GK$2</f>
        <v/>
      </c>
      <c r="F69" s="14" t="n"/>
      <c r="G69" s="14" t="n"/>
      <c r="H69" s="15" t="n"/>
      <c r="I69" s="115" t="n"/>
      <c r="J69" s="52" t="inlineStr">
        <is>
          <t>AVISOS</t>
        </is>
      </c>
      <c r="K69" s="129">
        <f>DADOS_AM!$GK$3</f>
        <v/>
      </c>
      <c r="L69" s="14" t="n"/>
      <c r="M69" s="14" t="n"/>
      <c r="N69" s="15" t="n"/>
      <c r="O69" s="115" t="n"/>
      <c r="P69" s="52" t="inlineStr">
        <is>
          <t>AVISOS</t>
        </is>
      </c>
      <c r="Q69" s="129">
        <f>DADOS_AM!$GK$4</f>
        <v/>
      </c>
      <c r="R69" s="14" t="n"/>
      <c r="S69" s="14" t="n"/>
      <c r="T69" s="15" t="n"/>
      <c r="U69" s="115" t="n"/>
    </row>
    <row r="70" outlineLevel="2">
      <c r="A70" s="8" t="n"/>
      <c r="B70" s="22" t="n"/>
      <c r="C70" s="115" t="n"/>
      <c r="D70" s="121" t="n"/>
      <c r="E70" s="18" t="n"/>
      <c r="F70" s="19" t="n"/>
      <c r="G70" s="19" t="n"/>
      <c r="H70" s="20" t="n"/>
      <c r="I70" s="115" t="n"/>
      <c r="J70" s="121" t="n"/>
      <c r="K70" s="18" t="n"/>
      <c r="L70" s="19" t="n"/>
      <c r="M70" s="19" t="n"/>
      <c r="N70" s="20" t="n"/>
      <c r="O70" s="115" t="n"/>
      <c r="P70" s="121" t="n"/>
      <c r="Q70" s="18" t="n"/>
      <c r="R70" s="19" t="n"/>
      <c r="S70" s="19" t="n"/>
      <c r="T70" s="20" t="n"/>
      <c r="U70" s="115" t="n"/>
    </row>
    <row r="71" outlineLevel="1">
      <c r="A71" s="8" t="n"/>
      <c r="B71" s="22" t="n"/>
      <c r="C71" s="115" t="n"/>
      <c r="D71" s="115" t="n"/>
      <c r="E71" s="115" t="n"/>
      <c r="F71" s="115" t="n"/>
      <c r="G71" s="115" t="n"/>
      <c r="H71" s="115" t="n"/>
      <c r="I71" s="115" t="n"/>
      <c r="J71" s="115" t="n"/>
      <c r="K71" s="115" t="n"/>
      <c r="L71" s="115" t="n"/>
      <c r="M71" s="115" t="n"/>
      <c r="N71" s="115" t="n"/>
      <c r="O71" s="115" t="n"/>
      <c r="P71" s="115" t="n"/>
      <c r="Q71" s="115" t="n"/>
      <c r="R71" s="115" t="n"/>
      <c r="S71" s="115" t="n"/>
      <c r="T71" s="115" t="n"/>
      <c r="U71" s="115" t="n"/>
    </row>
    <row r="72" outlineLevel="1">
      <c r="A72" s="8" t="n"/>
      <c r="B72" s="22" t="n"/>
      <c r="C72" s="115" t="n"/>
      <c r="D72" s="123" t="n">
        <v>1</v>
      </c>
      <c r="E72" s="124" t="n"/>
      <c r="F72" s="12" t="n"/>
      <c r="G72" s="125">
        <f>DADOS_AM!$GJ$5</f>
        <v/>
      </c>
      <c r="H72" s="12" t="n"/>
      <c r="I72" s="115" t="n"/>
      <c r="J72" s="123" t="n">
        <v>1</v>
      </c>
      <c r="K72" s="124" t="n"/>
      <c r="L72" s="12" t="n"/>
      <c r="M72" s="125">
        <f>DADOS_AM!$GJ$6</f>
        <v/>
      </c>
      <c r="N72" s="12" t="n"/>
      <c r="O72" s="115" t="n"/>
      <c r="P72" s="123" t="n">
        <v>1</v>
      </c>
      <c r="Q72" s="124" t="n"/>
      <c r="R72" s="12" t="n"/>
      <c r="S72" s="125">
        <f>DADOS_AM!$GJ$7</f>
        <v/>
      </c>
      <c r="T72" s="12" t="n"/>
      <c r="U72" s="115" t="n"/>
    </row>
    <row r="73" hidden="1" outlineLevel="2">
      <c r="A73" s="8" t="n"/>
      <c r="B73" s="22" t="n"/>
      <c r="C73" s="115" t="n"/>
      <c r="D73" s="52" t="inlineStr">
        <is>
          <t>COMO É</t>
        </is>
      </c>
      <c r="E73" s="11" t="n"/>
      <c r="F73" s="11" t="n"/>
      <c r="G73" s="11" t="n"/>
      <c r="H73" s="12" t="n"/>
      <c r="I73" s="115" t="n"/>
      <c r="J73" s="52" t="inlineStr">
        <is>
          <t>COMO É</t>
        </is>
      </c>
      <c r="K73" s="11" t="n"/>
      <c r="L73" s="11" t="n"/>
      <c r="M73" s="11" t="n"/>
      <c r="N73" s="12" t="n"/>
      <c r="O73" s="115" t="n"/>
      <c r="P73" s="52" t="inlineStr">
        <is>
          <t>COMO É</t>
        </is>
      </c>
      <c r="Q73" s="11" t="n"/>
      <c r="R73" s="11" t="n"/>
      <c r="S73" s="11" t="n"/>
      <c r="T73" s="12" t="n"/>
      <c r="U73" s="115" t="n"/>
    </row>
    <row r="74" hidden="1" outlineLevel="2">
      <c r="A74" s="8" t="n"/>
      <c r="B74" s="22" t="n"/>
      <c r="C74" s="115" t="n"/>
      <c r="D74" s="120" t="n"/>
      <c r="E74" s="14" t="n"/>
      <c r="F74" s="14" t="n"/>
      <c r="G74" s="14" t="n"/>
      <c r="H74" s="15" t="n"/>
      <c r="I74" s="115" t="n"/>
      <c r="J74" s="120" t="n"/>
      <c r="K74" s="14" t="n"/>
      <c r="L74" s="14" t="n"/>
      <c r="M74" s="14" t="n"/>
      <c r="N74" s="15" t="n"/>
      <c r="O74" s="115" t="n"/>
      <c r="P74" s="120" t="n"/>
      <c r="Q74" s="14" t="n"/>
      <c r="R74" s="14" t="n"/>
      <c r="S74" s="14" t="n"/>
      <c r="T74" s="15" t="n"/>
      <c r="U74" s="115" t="n"/>
    </row>
    <row r="75" hidden="1" outlineLevel="2">
      <c r="A75" s="8" t="n"/>
      <c r="B75" s="22" t="n"/>
      <c r="C75" s="115" t="n"/>
      <c r="D75" s="16" t="n"/>
      <c r="H75" s="17" t="n"/>
      <c r="I75" s="115" t="n"/>
      <c r="J75" s="16" t="n"/>
      <c r="N75" s="17" t="n"/>
      <c r="O75" s="115" t="n"/>
      <c r="P75" s="16" t="n"/>
      <c r="T75" s="17" t="n"/>
      <c r="U75" s="115" t="n"/>
    </row>
    <row r="76" hidden="1" outlineLevel="2">
      <c r="A76" s="8" t="n"/>
      <c r="B76" s="22" t="n"/>
      <c r="C76" s="115" t="n"/>
      <c r="D76" s="16" t="n"/>
      <c r="H76" s="17" t="n"/>
      <c r="I76" s="115" t="n"/>
      <c r="J76" s="16" t="n"/>
      <c r="N76" s="17" t="n"/>
      <c r="O76" s="115" t="n"/>
      <c r="P76" s="16" t="n"/>
      <c r="T76" s="17" t="n"/>
      <c r="U76" s="115" t="n"/>
    </row>
    <row r="77" hidden="1" outlineLevel="2">
      <c r="A77" s="8" t="n"/>
      <c r="B77" s="22" t="n"/>
      <c r="C77" s="115" t="n"/>
      <c r="D77" s="16" t="n"/>
      <c r="H77" s="17" t="n"/>
      <c r="I77" s="115" t="n"/>
      <c r="J77" s="16" t="n"/>
      <c r="N77" s="17" t="n"/>
      <c r="O77" s="115" t="n"/>
      <c r="P77" s="16" t="n"/>
      <c r="T77" s="17" t="n"/>
      <c r="U77" s="115" t="n"/>
    </row>
    <row r="78" hidden="1" outlineLevel="2">
      <c r="A78" s="8" t="n"/>
      <c r="B78" s="22" t="n"/>
      <c r="C78" s="115" t="n"/>
      <c r="D78" s="18" t="n"/>
      <c r="E78" s="19" t="n"/>
      <c r="F78" s="19" t="n"/>
      <c r="G78" s="19" t="n"/>
      <c r="H78" s="20" t="n"/>
      <c r="I78" s="115" t="n"/>
      <c r="J78" s="18" t="n"/>
      <c r="K78" s="19" t="n"/>
      <c r="L78" s="19" t="n"/>
      <c r="M78" s="19" t="n"/>
      <c r="N78" s="20" t="n"/>
      <c r="O78" s="115" t="n"/>
      <c r="P78" s="18" t="n"/>
      <c r="Q78" s="19" t="n"/>
      <c r="R78" s="19" t="n"/>
      <c r="S78" s="19" t="n"/>
      <c r="T78" s="20" t="n"/>
      <c r="U78" s="115" t="n"/>
    </row>
    <row r="79" outlineLevel="1">
      <c r="A79" s="8" t="n"/>
      <c r="B79" s="22" t="n"/>
      <c r="C79" s="115" t="n"/>
      <c r="D79" s="119" t="inlineStr">
        <is>
          <t>Projétil</t>
        </is>
      </c>
      <c r="E79" s="65">
        <f>DADOS_AM!$GO$5</f>
        <v/>
      </c>
      <c r="F79" s="65">
        <f>DADOS_AM!$GL$5</f>
        <v/>
      </c>
      <c r="G79" s="119">
        <f>DADOS_AM!$GN$5</f>
        <v/>
      </c>
      <c r="H79" s="12" t="n"/>
      <c r="I79" s="115" t="n"/>
      <c r="J79" s="119" t="inlineStr">
        <is>
          <t>Projétil</t>
        </is>
      </c>
      <c r="K79" s="65">
        <f>DADOS_AM!$GO$6</f>
        <v/>
      </c>
      <c r="L79" s="65">
        <f>DADOS_AM!$GL$6</f>
        <v/>
      </c>
      <c r="M79" s="119">
        <f>DADOS_AM!$GN$6</f>
        <v/>
      </c>
      <c r="N79" s="12" t="n"/>
      <c r="O79" s="115" t="n"/>
      <c r="P79" s="119" t="inlineStr">
        <is>
          <t>Projétil</t>
        </is>
      </c>
      <c r="Q79" s="65">
        <f>DADOS_AM!$GO$7</f>
        <v/>
      </c>
      <c r="R79" s="65">
        <f>DADOS_AM!$GL$7</f>
        <v/>
      </c>
      <c r="S79" s="119">
        <f>DADOS_AM!$GN$7</f>
        <v/>
      </c>
      <c r="T79" s="12" t="n"/>
      <c r="U79" s="115" t="n"/>
    </row>
    <row r="80" outlineLevel="1">
      <c r="A80" s="8" t="n"/>
      <c r="B80" s="22" t="n"/>
      <c r="C80" s="115" t="n"/>
      <c r="D80" s="119">
        <f>DADOS_AM!$GM$5</f>
        <v/>
      </c>
      <c r="E80" s="126">
        <f>DADOS_AM!$GT$5</f>
        <v/>
      </c>
      <c r="F80" s="11" t="n"/>
      <c r="G80" s="11" t="n"/>
      <c r="H80" s="12" t="n"/>
      <c r="I80" s="115" t="n"/>
      <c r="J80" s="119">
        <f>DADOS_AM!$GM$6</f>
        <v/>
      </c>
      <c r="K80" s="126">
        <f>DADOS_AM!$GT$6</f>
        <v/>
      </c>
      <c r="L80" s="11" t="n"/>
      <c r="M80" s="11" t="n"/>
      <c r="N80" s="12" t="n"/>
      <c r="O80" s="115" t="n"/>
      <c r="P80" s="119">
        <f>DADOS_AM!$GM$7</f>
        <v/>
      </c>
      <c r="Q80" s="126">
        <f>DADOS_AM!$GT$7</f>
        <v/>
      </c>
      <c r="R80" s="11" t="n"/>
      <c r="S80" s="11" t="n"/>
      <c r="T80" s="12" t="n"/>
      <c r="U80" s="115" t="n"/>
    </row>
    <row r="81" hidden="1" outlineLevel="2">
      <c r="A81" s="8" t="n"/>
      <c r="B81" s="22" t="n"/>
      <c r="C81" s="115" t="n"/>
      <c r="D81" s="52" t="inlineStr">
        <is>
          <t>MELHORIAS</t>
        </is>
      </c>
      <c r="E81" s="127" t="n"/>
      <c r="F81" s="12" t="n"/>
      <c r="G81" s="126">
        <f>DADOS_AM!$GW$5</f>
        <v/>
      </c>
      <c r="H81" s="12" t="n"/>
      <c r="I81" s="115" t="n"/>
      <c r="J81" s="52" t="inlineStr">
        <is>
          <t>MELHORIAS</t>
        </is>
      </c>
      <c r="K81" s="127" t="n"/>
      <c r="L81" s="12" t="n"/>
      <c r="M81" s="126">
        <f>DADOS_AM!$GW$6</f>
        <v/>
      </c>
      <c r="N81" s="12" t="n"/>
      <c r="O81" s="115" t="n"/>
      <c r="P81" s="52" t="inlineStr">
        <is>
          <t>MELHORIAS</t>
        </is>
      </c>
      <c r="Q81" s="127" t="n"/>
      <c r="R81" s="12" t="n"/>
      <c r="S81" s="126">
        <f>DADOS_AM!$GW$7</f>
        <v/>
      </c>
      <c r="T81" s="12" t="n"/>
      <c r="U81" s="115" t="n"/>
    </row>
    <row r="82" hidden="1" outlineLevel="2">
      <c r="A82" s="8" t="n"/>
      <c r="B82" s="22" t="n"/>
      <c r="C82" s="115" t="n"/>
      <c r="D82" s="128" t="n"/>
      <c r="E82" s="127" t="n"/>
      <c r="F82" s="12" t="n"/>
      <c r="G82" s="126">
        <f>DADOS_AM!$GX$5</f>
        <v/>
      </c>
      <c r="H82" s="12" t="n"/>
      <c r="I82" s="115" t="n"/>
      <c r="J82" s="128" t="n"/>
      <c r="K82" s="127" t="n"/>
      <c r="L82" s="12" t="n"/>
      <c r="M82" s="126">
        <f>DADOS_AM!$GX$6</f>
        <v/>
      </c>
      <c r="N82" s="12" t="n"/>
      <c r="O82" s="115" t="n"/>
      <c r="P82" s="128" t="n"/>
      <c r="Q82" s="127" t="n"/>
      <c r="R82" s="12" t="n"/>
      <c r="S82" s="126">
        <f>DADOS_AM!$GX$7</f>
        <v/>
      </c>
      <c r="T82" s="12" t="n"/>
      <c r="U82" s="115" t="n"/>
    </row>
    <row r="83" hidden="1" outlineLevel="2">
      <c r="A83" s="8" t="n"/>
      <c r="B83" s="22" t="n"/>
      <c r="C83" s="115" t="n"/>
      <c r="D83" s="128" t="n"/>
      <c r="E83" s="127" t="n"/>
      <c r="F83" s="12" t="n"/>
      <c r="G83" s="126">
        <f>DADOS_AM!$GY$5</f>
        <v/>
      </c>
      <c r="H83" s="12" t="n"/>
      <c r="I83" s="115" t="n"/>
      <c r="J83" s="128" t="n"/>
      <c r="K83" s="127" t="n"/>
      <c r="L83" s="12" t="n"/>
      <c r="M83" s="126">
        <f>DADOS_AM!$GY$6</f>
        <v/>
      </c>
      <c r="N83" s="12" t="n"/>
      <c r="O83" s="115" t="n"/>
      <c r="P83" s="128" t="n"/>
      <c r="Q83" s="127" t="n"/>
      <c r="R83" s="12" t="n"/>
      <c r="S83" s="126">
        <f>DADOS_AM!$GY$7</f>
        <v/>
      </c>
      <c r="T83" s="12" t="n"/>
      <c r="U83" s="115" t="n"/>
    </row>
    <row r="84" hidden="1" outlineLevel="2">
      <c r="A84" s="8" t="n"/>
      <c r="B84" s="22" t="n"/>
      <c r="C84" s="115" t="n"/>
      <c r="D84" s="121" t="n"/>
      <c r="E84" s="127" t="n"/>
      <c r="F84" s="12" t="n"/>
      <c r="G84" s="126">
        <f>DADOS_AM!$GZ$5</f>
        <v/>
      </c>
      <c r="H84" s="12" t="n"/>
      <c r="I84" s="115" t="n"/>
      <c r="J84" s="121" t="n"/>
      <c r="K84" s="127" t="n"/>
      <c r="L84" s="12" t="n"/>
      <c r="M84" s="126">
        <f>DADOS_AM!$GZ$6</f>
        <v/>
      </c>
      <c r="N84" s="12" t="n"/>
      <c r="O84" s="115" t="n"/>
      <c r="P84" s="121" t="n"/>
      <c r="Q84" s="127" t="n"/>
      <c r="R84" s="12" t="n"/>
      <c r="S84" s="126">
        <f>DADOS_AM!$GZ$7</f>
        <v/>
      </c>
      <c r="T84" s="12" t="n"/>
      <c r="U84" s="115" t="n"/>
    </row>
    <row r="85" hidden="1" outlineLevel="2">
      <c r="A85" s="8" t="n"/>
      <c r="B85" s="22" t="n"/>
      <c r="C85" s="115" t="n"/>
      <c r="D85" s="52" t="inlineStr">
        <is>
          <t>RESTRIÇÕES</t>
        </is>
      </c>
      <c r="E85" s="127" t="n"/>
      <c r="F85" s="12" t="n"/>
      <c r="G85" s="126">
        <f>DADOS_AM!$HA$5</f>
        <v/>
      </c>
      <c r="H85" s="12" t="n"/>
      <c r="I85" s="115" t="n"/>
      <c r="J85" s="52" t="inlineStr">
        <is>
          <t>RESTRIÇÕES</t>
        </is>
      </c>
      <c r="K85" s="127" t="n"/>
      <c r="L85" s="12" t="n"/>
      <c r="M85" s="126">
        <f>DADOS_AM!$HA$6</f>
        <v/>
      </c>
      <c r="N85" s="12" t="n"/>
      <c r="O85" s="115" t="n"/>
      <c r="P85" s="52" t="inlineStr">
        <is>
          <t>RESTRIÇÕES</t>
        </is>
      </c>
      <c r="Q85" s="127" t="n"/>
      <c r="R85" s="12" t="n"/>
      <c r="S85" s="126">
        <f>DADOS_AM!$HA$7</f>
        <v/>
      </c>
      <c r="T85" s="12" t="n"/>
      <c r="U85" s="115" t="n"/>
    </row>
    <row r="86" hidden="1" outlineLevel="2">
      <c r="A86" s="8" t="n"/>
      <c r="B86" s="22" t="n"/>
      <c r="C86" s="115" t="n"/>
      <c r="D86" s="121" t="n"/>
      <c r="E86" s="127" t="n"/>
      <c r="F86" s="12" t="n"/>
      <c r="G86" s="126">
        <f>DADOS_AM!$HB$5</f>
        <v/>
      </c>
      <c r="H86" s="12" t="n"/>
      <c r="I86" s="115" t="n"/>
      <c r="J86" s="121" t="n"/>
      <c r="K86" s="127" t="n"/>
      <c r="L86" s="12" t="n"/>
      <c r="M86" s="126">
        <f>DADOS_AM!$HB$6</f>
        <v/>
      </c>
      <c r="N86" s="12" t="n"/>
      <c r="O86" s="115" t="n"/>
      <c r="P86" s="121" t="n"/>
      <c r="Q86" s="127" t="n"/>
      <c r="R86" s="12" t="n"/>
      <c r="S86" s="126">
        <f>DADOS_AM!$HB$7</f>
        <v/>
      </c>
      <c r="T86" s="12" t="n"/>
      <c r="U86" s="115" t="n"/>
    </row>
    <row r="87" hidden="1" outlineLevel="2">
      <c r="A87" s="8" t="n"/>
      <c r="B87" s="22" t="n"/>
      <c r="C87" s="115" t="n"/>
      <c r="D87" s="52" t="inlineStr">
        <is>
          <t>CONTA</t>
        </is>
      </c>
      <c r="E87" s="129">
        <f>DADOS_AM!$GU$5</f>
        <v/>
      </c>
      <c r="F87" s="11" t="n"/>
      <c r="G87" s="11" t="n"/>
      <c r="H87" s="12" t="n"/>
      <c r="I87" s="115" t="n"/>
      <c r="J87" s="52" t="inlineStr">
        <is>
          <t>CONTA</t>
        </is>
      </c>
      <c r="K87" s="129">
        <f>DADOS_AM!$GU$6</f>
        <v/>
      </c>
      <c r="L87" s="11" t="n"/>
      <c r="M87" s="11" t="n"/>
      <c r="N87" s="12" t="n"/>
      <c r="O87" s="115" t="n"/>
      <c r="P87" s="52" t="inlineStr">
        <is>
          <t>CONTA</t>
        </is>
      </c>
      <c r="Q87" s="129">
        <f>DADOS_AM!$GU$7</f>
        <v/>
      </c>
      <c r="R87" s="11" t="n"/>
      <c r="S87" s="11" t="n"/>
      <c r="T87" s="12" t="n"/>
      <c r="U87" s="115" t="n"/>
    </row>
    <row r="88" hidden="1" outlineLevel="2">
      <c r="A88" s="8" t="n"/>
      <c r="B88" s="22" t="n"/>
      <c r="C88" s="115" t="n"/>
      <c r="D88" s="52" t="inlineStr">
        <is>
          <t>AMPLIAR</t>
        </is>
      </c>
      <c r="E88" s="129">
        <f>DADOS_AM!$GV$5</f>
        <v/>
      </c>
      <c r="F88" s="14" t="n"/>
      <c r="G88" s="14" t="n"/>
      <c r="H88" s="15" t="n"/>
      <c r="I88" s="115" t="n"/>
      <c r="J88" s="52" t="inlineStr">
        <is>
          <t>AMPLIAR</t>
        </is>
      </c>
      <c r="K88" s="129">
        <f>DADOS_AM!$GV$6</f>
        <v/>
      </c>
      <c r="L88" s="14" t="n"/>
      <c r="M88" s="14" t="n"/>
      <c r="N88" s="15" t="n"/>
      <c r="O88" s="115" t="n"/>
      <c r="P88" s="52" t="inlineStr">
        <is>
          <t>AMPLIAR</t>
        </is>
      </c>
      <c r="Q88" s="129">
        <f>DADOS_AM!$GV$7</f>
        <v/>
      </c>
      <c r="R88" s="14" t="n"/>
      <c r="S88" s="14" t="n"/>
      <c r="T88" s="15" t="n"/>
      <c r="U88" s="115" t="n"/>
    </row>
    <row r="89" hidden="1" outlineLevel="2">
      <c r="A89" s="8" t="n"/>
      <c r="B89" s="22" t="n"/>
      <c r="C89" s="115" t="n"/>
      <c r="D89" s="121" t="n"/>
      <c r="E89" s="18" t="n"/>
      <c r="F89" s="19" t="n"/>
      <c r="G89" s="19" t="n"/>
      <c r="H89" s="20" t="n"/>
      <c r="I89" s="115" t="n"/>
      <c r="J89" s="121" t="n"/>
      <c r="K89" s="18" t="n"/>
      <c r="L89" s="19" t="n"/>
      <c r="M89" s="19" t="n"/>
      <c r="N89" s="20" t="n"/>
      <c r="O89" s="115" t="n"/>
      <c r="P89" s="121" t="n"/>
      <c r="Q89" s="18" t="n"/>
      <c r="R89" s="19" t="n"/>
      <c r="S89" s="19" t="n"/>
      <c r="T89" s="20" t="n"/>
      <c r="U89" s="115" t="n"/>
    </row>
    <row r="90" hidden="1" outlineLevel="2">
      <c r="A90" s="8" t="n"/>
      <c r="B90" s="22" t="n"/>
      <c r="C90" s="115" t="n"/>
      <c r="D90" s="52" t="inlineStr">
        <is>
          <t>AVISOS</t>
        </is>
      </c>
      <c r="E90" s="129">
        <f>DADOS_AM!$GK$5</f>
        <v/>
      </c>
      <c r="F90" s="14" t="n"/>
      <c r="G90" s="14" t="n"/>
      <c r="H90" s="15" t="n"/>
      <c r="I90" s="115" t="n"/>
      <c r="J90" s="52" t="inlineStr">
        <is>
          <t>AVISOS</t>
        </is>
      </c>
      <c r="K90" s="129">
        <f>DADOS_AM!$GK$6</f>
        <v/>
      </c>
      <c r="L90" s="14" t="n"/>
      <c r="M90" s="14" t="n"/>
      <c r="N90" s="15" t="n"/>
      <c r="O90" s="115" t="n"/>
      <c r="P90" s="52" t="inlineStr">
        <is>
          <t>AVISOS</t>
        </is>
      </c>
      <c r="Q90" s="129">
        <f>DADOS_AM!$GK$7</f>
        <v/>
      </c>
      <c r="R90" s="14" t="n"/>
      <c r="S90" s="14" t="n"/>
      <c r="T90" s="15" t="n"/>
      <c r="U90" s="115" t="n"/>
    </row>
    <row r="91" hidden="1" outlineLevel="2">
      <c r="A91" s="8" t="n"/>
      <c r="B91" s="22" t="n"/>
      <c r="C91" s="115" t="n"/>
      <c r="D91" s="121" t="n"/>
      <c r="E91" s="18" t="n"/>
      <c r="F91" s="19" t="n"/>
      <c r="G91" s="19" t="n"/>
      <c r="H91" s="20" t="n"/>
      <c r="I91" s="115" t="n"/>
      <c r="J91" s="121" t="n"/>
      <c r="K91" s="18" t="n"/>
      <c r="L91" s="19" t="n"/>
      <c r="M91" s="19" t="n"/>
      <c r="N91" s="20" t="n"/>
      <c r="O91" s="115" t="n"/>
      <c r="P91" s="121" t="n"/>
      <c r="Q91" s="18" t="n"/>
      <c r="R91" s="19" t="n"/>
      <c r="S91" s="19" t="n"/>
      <c r="T91" s="20" t="n"/>
      <c r="U91" s="115" t="n"/>
    </row>
    <row r="92" outlineLevel="1">
      <c r="A92" s="8" t="n"/>
      <c r="B92" s="22" t="n"/>
      <c r="C92" s="115" t="n"/>
      <c r="D92" s="115" t="n"/>
      <c r="E92" s="115" t="n"/>
      <c r="F92" s="115" t="n"/>
      <c r="G92" s="115" t="n"/>
      <c r="H92" s="115" t="n"/>
      <c r="I92" s="115" t="n"/>
      <c r="J92" s="115" t="n"/>
      <c r="K92" s="115" t="n"/>
      <c r="L92" s="115" t="n"/>
      <c r="M92" s="115" t="n"/>
      <c r="N92" s="115" t="n"/>
      <c r="O92" s="115" t="n"/>
      <c r="P92" s="115" t="n"/>
      <c r="Q92" s="115" t="n"/>
      <c r="R92" s="115" t="n"/>
      <c r="S92" s="115" t="n"/>
      <c r="T92" s="115" t="n"/>
      <c r="U92" s="115" t="n"/>
    </row>
    <row r="93" outlineLevel="1">
      <c r="A93" s="8" t="n"/>
      <c r="B93" s="22" t="n"/>
      <c r="C93" s="115" t="n"/>
      <c r="D93" s="123" t="n">
        <v>1</v>
      </c>
      <c r="E93" s="124" t="n"/>
      <c r="F93" s="12" t="n"/>
      <c r="G93" s="125">
        <f>DADOS_AM!$GJ$8</f>
        <v/>
      </c>
      <c r="H93" s="12" t="n"/>
      <c r="I93" s="115" t="n"/>
      <c r="J93" s="123" t="n">
        <v>1</v>
      </c>
      <c r="K93" s="124" t="n"/>
      <c r="L93" s="12" t="n"/>
      <c r="M93" s="125">
        <f>DADOS_AM!$GJ$9</f>
        <v/>
      </c>
      <c r="N93" s="12" t="n"/>
      <c r="O93" s="115" t="n"/>
      <c r="P93" s="123" t="n">
        <v>1</v>
      </c>
      <c r="Q93" s="124" t="n"/>
      <c r="R93" s="12" t="n"/>
      <c r="S93" s="125">
        <f>DADOS_AM!$GJ$10</f>
        <v/>
      </c>
      <c r="T93" s="12" t="n"/>
      <c r="U93" s="115" t="n"/>
    </row>
    <row r="94" hidden="1" outlineLevel="2">
      <c r="A94" s="8" t="n"/>
      <c r="B94" s="22" t="n"/>
      <c r="C94" s="115" t="n"/>
      <c r="D94" s="52" t="inlineStr">
        <is>
          <t>COMO É</t>
        </is>
      </c>
      <c r="E94" s="11" t="n"/>
      <c r="F94" s="11" t="n"/>
      <c r="G94" s="11" t="n"/>
      <c r="H94" s="12" t="n"/>
      <c r="I94" s="115" t="n"/>
      <c r="J94" s="52" t="inlineStr">
        <is>
          <t>COMO É</t>
        </is>
      </c>
      <c r="K94" s="11" t="n"/>
      <c r="L94" s="11" t="n"/>
      <c r="M94" s="11" t="n"/>
      <c r="N94" s="12" t="n"/>
      <c r="O94" s="115" t="n"/>
      <c r="P94" s="52" t="inlineStr">
        <is>
          <t>COMO É</t>
        </is>
      </c>
      <c r="Q94" s="11" t="n"/>
      <c r="R94" s="11" t="n"/>
      <c r="S94" s="11" t="n"/>
      <c r="T94" s="12" t="n"/>
      <c r="U94" s="115" t="n"/>
    </row>
    <row r="95" hidden="1" outlineLevel="2">
      <c r="A95" s="8" t="n"/>
      <c r="B95" s="22" t="n"/>
      <c r="C95" s="115" t="n"/>
      <c r="D95" s="120" t="n"/>
      <c r="E95" s="14" t="n"/>
      <c r="F95" s="14" t="n"/>
      <c r="G95" s="14" t="n"/>
      <c r="H95" s="15" t="n"/>
      <c r="I95" s="115" t="n"/>
      <c r="J95" s="120" t="n"/>
      <c r="K95" s="14" t="n"/>
      <c r="L95" s="14" t="n"/>
      <c r="M95" s="14" t="n"/>
      <c r="N95" s="15" t="n"/>
      <c r="O95" s="115" t="n"/>
      <c r="P95" s="120" t="n"/>
      <c r="Q95" s="14" t="n"/>
      <c r="R95" s="14" t="n"/>
      <c r="S95" s="14" t="n"/>
      <c r="T95" s="15" t="n"/>
      <c r="U95" s="115" t="n"/>
    </row>
    <row r="96" hidden="1" outlineLevel="2">
      <c r="A96" s="8" t="n"/>
      <c r="B96" s="22" t="n"/>
      <c r="C96" s="115" t="n"/>
      <c r="D96" s="16" t="n"/>
      <c r="H96" s="17" t="n"/>
      <c r="I96" s="115" t="n"/>
      <c r="J96" s="16" t="n"/>
      <c r="N96" s="17" t="n"/>
      <c r="O96" s="115" t="n"/>
      <c r="P96" s="16" t="n"/>
      <c r="T96" s="17" t="n"/>
      <c r="U96" s="115" t="n"/>
    </row>
    <row r="97" hidden="1" outlineLevel="2">
      <c r="A97" s="8" t="n"/>
      <c r="B97" s="22" t="n"/>
      <c r="C97" s="115" t="n"/>
      <c r="D97" s="16" t="n"/>
      <c r="H97" s="17" t="n"/>
      <c r="I97" s="115" t="n"/>
      <c r="J97" s="16" t="n"/>
      <c r="N97" s="17" t="n"/>
      <c r="O97" s="115" t="n"/>
      <c r="P97" s="16" t="n"/>
      <c r="T97" s="17" t="n"/>
      <c r="U97" s="115" t="n"/>
    </row>
    <row r="98" hidden="1" outlineLevel="2">
      <c r="A98" s="8" t="n"/>
      <c r="B98" s="22" t="n"/>
      <c r="C98" s="115" t="n"/>
      <c r="D98" s="16" t="n"/>
      <c r="H98" s="17" t="n"/>
      <c r="I98" s="115" t="n"/>
      <c r="J98" s="16" t="n"/>
      <c r="N98" s="17" t="n"/>
      <c r="O98" s="115" t="n"/>
      <c r="P98" s="16" t="n"/>
      <c r="T98" s="17" t="n"/>
      <c r="U98" s="115" t="n"/>
    </row>
    <row r="99" hidden="1" outlineLevel="2">
      <c r="A99" s="8" t="n"/>
      <c r="B99" s="22" t="n"/>
      <c r="C99" s="115" t="n"/>
      <c r="D99" s="18" t="n"/>
      <c r="E99" s="19" t="n"/>
      <c r="F99" s="19" t="n"/>
      <c r="G99" s="19" t="n"/>
      <c r="H99" s="20" t="n"/>
      <c r="I99" s="115" t="n"/>
      <c r="J99" s="18" t="n"/>
      <c r="K99" s="19" t="n"/>
      <c r="L99" s="19" t="n"/>
      <c r="M99" s="19" t="n"/>
      <c r="N99" s="20" t="n"/>
      <c r="O99" s="115" t="n"/>
      <c r="P99" s="18" t="n"/>
      <c r="Q99" s="19" t="n"/>
      <c r="R99" s="19" t="n"/>
      <c r="S99" s="19" t="n"/>
      <c r="T99" s="20" t="n"/>
      <c r="U99" s="115" t="n"/>
    </row>
    <row r="100" outlineLevel="1">
      <c r="A100" s="8" t="n"/>
      <c r="B100" s="22" t="n"/>
      <c r="C100" s="115" t="n"/>
      <c r="D100" s="119" t="inlineStr">
        <is>
          <t>Projétil</t>
        </is>
      </c>
      <c r="E100" s="65">
        <f>DADOS_AM!$GO$8</f>
        <v/>
      </c>
      <c r="F100" s="65">
        <f>DADOS_AM!$GL$8</f>
        <v/>
      </c>
      <c r="G100" s="119">
        <f>DADOS_AM!$GN$8</f>
        <v/>
      </c>
      <c r="H100" s="12" t="n"/>
      <c r="I100" s="115" t="n"/>
      <c r="J100" s="119" t="inlineStr">
        <is>
          <t>Projétil</t>
        </is>
      </c>
      <c r="K100" s="65">
        <f>DADOS_AM!$GO$9</f>
        <v/>
      </c>
      <c r="L100" s="65">
        <f>DADOS_AM!$GL$9</f>
        <v/>
      </c>
      <c r="M100" s="119">
        <f>DADOS_AM!$GN$9</f>
        <v/>
      </c>
      <c r="N100" s="12" t="n"/>
      <c r="O100" s="115" t="n"/>
      <c r="P100" s="119" t="inlineStr">
        <is>
          <t>Projétil</t>
        </is>
      </c>
      <c r="Q100" s="65">
        <f>DADOS_AM!$GO$10</f>
        <v/>
      </c>
      <c r="R100" s="65">
        <f>DADOS_AM!$GL$10</f>
        <v/>
      </c>
      <c r="S100" s="119">
        <f>DADOS_AM!$GN$10</f>
        <v/>
      </c>
      <c r="T100" s="12" t="n"/>
      <c r="U100" s="115" t="n"/>
    </row>
    <row r="101" outlineLevel="1">
      <c r="A101" s="8" t="n"/>
      <c r="B101" s="22" t="n"/>
      <c r="C101" s="115" t="n"/>
      <c r="D101" s="119">
        <f>DADOS_AM!$GM$8</f>
        <v/>
      </c>
      <c r="E101" s="126">
        <f>DADOS_AM!$GT$8</f>
        <v/>
      </c>
      <c r="F101" s="11" t="n"/>
      <c r="G101" s="11" t="n"/>
      <c r="H101" s="12" t="n"/>
      <c r="I101" s="115" t="n"/>
      <c r="J101" s="119">
        <f>DADOS_AM!$GM$9</f>
        <v/>
      </c>
      <c r="K101" s="126">
        <f>DADOS_AM!$GT$9</f>
        <v/>
      </c>
      <c r="L101" s="11" t="n"/>
      <c r="M101" s="11" t="n"/>
      <c r="N101" s="12" t="n"/>
      <c r="O101" s="115" t="n"/>
      <c r="P101" s="119">
        <f>DADOS_AM!$GM$10</f>
        <v/>
      </c>
      <c r="Q101" s="126">
        <f>DADOS_AM!$GT$10</f>
        <v/>
      </c>
      <c r="R101" s="11" t="n"/>
      <c r="S101" s="11" t="n"/>
      <c r="T101" s="12" t="n"/>
      <c r="U101" s="115" t="n"/>
    </row>
    <row r="102" hidden="1" outlineLevel="2">
      <c r="A102" s="8" t="n"/>
      <c r="B102" s="22" t="n"/>
      <c r="C102" s="115" t="n"/>
      <c r="D102" s="52" t="inlineStr">
        <is>
          <t>MELHORIAS</t>
        </is>
      </c>
      <c r="E102" s="127" t="n"/>
      <c r="F102" s="12" t="n"/>
      <c r="G102" s="126">
        <f>DADOS_AM!$GW$8</f>
        <v/>
      </c>
      <c r="H102" s="12" t="n"/>
      <c r="I102" s="115" t="n"/>
      <c r="J102" s="52" t="inlineStr">
        <is>
          <t>MELHORIAS</t>
        </is>
      </c>
      <c r="K102" s="127" t="n"/>
      <c r="L102" s="12" t="n"/>
      <c r="M102" s="126">
        <f>DADOS_AM!$GW$9</f>
        <v/>
      </c>
      <c r="N102" s="12" t="n"/>
      <c r="O102" s="115" t="n"/>
      <c r="P102" s="52" t="inlineStr">
        <is>
          <t>MELHORIAS</t>
        </is>
      </c>
      <c r="Q102" s="127" t="n"/>
      <c r="R102" s="12" t="n"/>
      <c r="S102" s="126">
        <f>DADOS_AM!$GW$10</f>
        <v/>
      </c>
      <c r="T102" s="12" t="n"/>
      <c r="U102" s="115" t="n"/>
    </row>
    <row r="103" hidden="1" outlineLevel="2">
      <c r="A103" s="8" t="n"/>
      <c r="B103" s="22" t="n"/>
      <c r="C103" s="115" t="n"/>
      <c r="D103" s="128" t="n"/>
      <c r="E103" s="127" t="n"/>
      <c r="F103" s="12" t="n"/>
      <c r="G103" s="126">
        <f>DADOS_AM!$GX$8</f>
        <v/>
      </c>
      <c r="H103" s="12" t="n"/>
      <c r="I103" s="115" t="n"/>
      <c r="J103" s="128" t="n"/>
      <c r="K103" s="127" t="n"/>
      <c r="L103" s="12" t="n"/>
      <c r="M103" s="126">
        <f>DADOS_AM!$GX$9</f>
        <v/>
      </c>
      <c r="N103" s="12" t="n"/>
      <c r="O103" s="115" t="n"/>
      <c r="P103" s="128" t="n"/>
      <c r="Q103" s="127" t="n"/>
      <c r="R103" s="12" t="n"/>
      <c r="S103" s="126">
        <f>DADOS_AM!$GX$10</f>
        <v/>
      </c>
      <c r="T103" s="12" t="n"/>
      <c r="U103" s="115" t="n"/>
    </row>
    <row r="104" hidden="1" outlineLevel="2">
      <c r="A104" s="8" t="n"/>
      <c r="B104" s="22" t="n"/>
      <c r="C104" s="115" t="n"/>
      <c r="D104" s="128" t="n"/>
      <c r="E104" s="127" t="n"/>
      <c r="F104" s="12" t="n"/>
      <c r="G104" s="126">
        <f>DADOS_AM!$GY$8</f>
        <v/>
      </c>
      <c r="H104" s="12" t="n"/>
      <c r="I104" s="115" t="n"/>
      <c r="J104" s="128" t="n"/>
      <c r="K104" s="127" t="n"/>
      <c r="L104" s="12" t="n"/>
      <c r="M104" s="126">
        <f>DADOS_AM!$GY$9</f>
        <v/>
      </c>
      <c r="N104" s="12" t="n"/>
      <c r="O104" s="115" t="n"/>
      <c r="P104" s="128" t="n"/>
      <c r="Q104" s="127" t="n"/>
      <c r="R104" s="12" t="n"/>
      <c r="S104" s="126">
        <f>DADOS_AM!$GY$10</f>
        <v/>
      </c>
      <c r="T104" s="12" t="n"/>
      <c r="U104" s="115" t="n"/>
    </row>
    <row r="105" hidden="1" outlineLevel="2">
      <c r="A105" s="8" t="n"/>
      <c r="B105" s="22" t="n"/>
      <c r="C105" s="115" t="n"/>
      <c r="D105" s="121" t="n"/>
      <c r="E105" s="127" t="n"/>
      <c r="F105" s="12" t="n"/>
      <c r="G105" s="126">
        <f>DADOS_AM!$GZ$8</f>
        <v/>
      </c>
      <c r="H105" s="12" t="n"/>
      <c r="I105" s="115" t="n"/>
      <c r="J105" s="121" t="n"/>
      <c r="K105" s="127" t="n"/>
      <c r="L105" s="12" t="n"/>
      <c r="M105" s="126">
        <f>DADOS_AM!$GZ$9</f>
        <v/>
      </c>
      <c r="N105" s="12" t="n"/>
      <c r="O105" s="115" t="n"/>
      <c r="P105" s="121" t="n"/>
      <c r="Q105" s="127" t="n"/>
      <c r="R105" s="12" t="n"/>
      <c r="S105" s="126">
        <f>DADOS_AM!$GZ$10</f>
        <v/>
      </c>
      <c r="T105" s="12" t="n"/>
      <c r="U105" s="115" t="n"/>
    </row>
    <row r="106" hidden="1" outlineLevel="2">
      <c r="A106" s="8" t="n"/>
      <c r="B106" s="22" t="n"/>
      <c r="C106" s="115" t="n"/>
      <c r="D106" s="52" t="inlineStr">
        <is>
          <t>RESTRIÇÕES</t>
        </is>
      </c>
      <c r="E106" s="127" t="n"/>
      <c r="F106" s="12" t="n"/>
      <c r="G106" s="126">
        <f>DADOS_AM!$HA$8</f>
        <v/>
      </c>
      <c r="H106" s="12" t="n"/>
      <c r="I106" s="115" t="n"/>
      <c r="J106" s="52" t="inlineStr">
        <is>
          <t>RESTRIÇÕES</t>
        </is>
      </c>
      <c r="K106" s="127" t="n"/>
      <c r="L106" s="12" t="n"/>
      <c r="M106" s="126">
        <f>DADOS_AM!$HA$9</f>
        <v/>
      </c>
      <c r="N106" s="12" t="n"/>
      <c r="O106" s="115" t="n"/>
      <c r="P106" s="52" t="inlineStr">
        <is>
          <t>RESTRIÇÕES</t>
        </is>
      </c>
      <c r="Q106" s="127" t="n"/>
      <c r="R106" s="12" t="n"/>
      <c r="S106" s="126">
        <f>DADOS_AM!$HA$10</f>
        <v/>
      </c>
      <c r="T106" s="12" t="n"/>
      <c r="U106" s="115" t="n"/>
    </row>
    <row r="107" hidden="1" outlineLevel="2">
      <c r="A107" s="8" t="n"/>
      <c r="B107" s="22" t="n"/>
      <c r="C107" s="115" t="n"/>
      <c r="D107" s="121" t="n"/>
      <c r="E107" s="127" t="n"/>
      <c r="F107" s="12" t="n"/>
      <c r="G107" s="126">
        <f>DADOS_AM!$HB$8</f>
        <v/>
      </c>
      <c r="H107" s="12" t="n"/>
      <c r="I107" s="115" t="n"/>
      <c r="J107" s="121" t="n"/>
      <c r="K107" s="127" t="n"/>
      <c r="L107" s="12" t="n"/>
      <c r="M107" s="126">
        <f>DADOS_AM!$HB$9</f>
        <v/>
      </c>
      <c r="N107" s="12" t="n"/>
      <c r="O107" s="115" t="n"/>
      <c r="P107" s="121" t="n"/>
      <c r="Q107" s="127" t="n"/>
      <c r="R107" s="12" t="n"/>
      <c r="S107" s="126">
        <f>DADOS_AM!$HB$10</f>
        <v/>
      </c>
      <c r="T107" s="12" t="n"/>
      <c r="U107" s="115" t="n"/>
    </row>
    <row r="108" hidden="1" outlineLevel="2">
      <c r="A108" s="8" t="n"/>
      <c r="B108" s="22" t="n"/>
      <c r="C108" s="115" t="n"/>
      <c r="D108" s="52" t="inlineStr">
        <is>
          <t>CONTA</t>
        </is>
      </c>
      <c r="E108" s="129">
        <f>DADOS_AM!$GU$8</f>
        <v/>
      </c>
      <c r="F108" s="11" t="n"/>
      <c r="G108" s="11" t="n"/>
      <c r="H108" s="12" t="n"/>
      <c r="I108" s="115" t="n"/>
      <c r="J108" s="52" t="inlineStr">
        <is>
          <t>CONTA</t>
        </is>
      </c>
      <c r="K108" s="129">
        <f>DADOS_AM!$GU$9</f>
        <v/>
      </c>
      <c r="L108" s="11" t="n"/>
      <c r="M108" s="11" t="n"/>
      <c r="N108" s="12" t="n"/>
      <c r="O108" s="115" t="n"/>
      <c r="P108" s="52" t="inlineStr">
        <is>
          <t>CONTA</t>
        </is>
      </c>
      <c r="Q108" s="129">
        <f>DADOS_AM!$GU$10</f>
        <v/>
      </c>
      <c r="R108" s="11" t="n"/>
      <c r="S108" s="11" t="n"/>
      <c r="T108" s="12" t="n"/>
      <c r="U108" s="115" t="n"/>
    </row>
    <row r="109" hidden="1" outlineLevel="2">
      <c r="A109" s="8" t="n"/>
      <c r="B109" s="22" t="n"/>
      <c r="C109" s="115" t="n"/>
      <c r="D109" s="52" t="inlineStr">
        <is>
          <t>AMPLIAR</t>
        </is>
      </c>
      <c r="E109" s="129">
        <f>DADOS_AM!$GV$8</f>
        <v/>
      </c>
      <c r="F109" s="14" t="n"/>
      <c r="G109" s="14" t="n"/>
      <c r="H109" s="15" t="n"/>
      <c r="I109" s="115" t="n"/>
      <c r="J109" s="52" t="inlineStr">
        <is>
          <t>AMPLIAR</t>
        </is>
      </c>
      <c r="K109" s="129">
        <f>DADOS_AM!$GV$9</f>
        <v/>
      </c>
      <c r="L109" s="14" t="n"/>
      <c r="M109" s="14" t="n"/>
      <c r="N109" s="15" t="n"/>
      <c r="O109" s="115" t="n"/>
      <c r="P109" s="52" t="inlineStr">
        <is>
          <t>AMPLIAR</t>
        </is>
      </c>
      <c r="Q109" s="129">
        <f>DADOS_AM!$GV$10</f>
        <v/>
      </c>
      <c r="R109" s="14" t="n"/>
      <c r="S109" s="14" t="n"/>
      <c r="T109" s="15" t="n"/>
      <c r="U109" s="115" t="n"/>
    </row>
    <row r="110" hidden="1" outlineLevel="2">
      <c r="A110" s="8" t="n"/>
      <c r="B110" s="22" t="n"/>
      <c r="C110" s="115" t="n"/>
      <c r="D110" s="121" t="n"/>
      <c r="E110" s="18" t="n"/>
      <c r="F110" s="19" t="n"/>
      <c r="G110" s="19" t="n"/>
      <c r="H110" s="20" t="n"/>
      <c r="I110" s="115" t="n"/>
      <c r="J110" s="121" t="n"/>
      <c r="K110" s="18" t="n"/>
      <c r="L110" s="19" t="n"/>
      <c r="M110" s="19" t="n"/>
      <c r="N110" s="20" t="n"/>
      <c r="O110" s="115" t="n"/>
      <c r="P110" s="121" t="n"/>
      <c r="Q110" s="18" t="n"/>
      <c r="R110" s="19" t="n"/>
      <c r="S110" s="19" t="n"/>
      <c r="T110" s="20" t="n"/>
      <c r="U110" s="115" t="n"/>
    </row>
    <row r="111" hidden="1" outlineLevel="2">
      <c r="A111" s="8" t="n"/>
      <c r="B111" s="22" t="n"/>
      <c r="C111" s="115" t="n"/>
      <c r="D111" s="52" t="inlineStr">
        <is>
          <t>AVISOS</t>
        </is>
      </c>
      <c r="E111" s="129">
        <f>DADOS_AM!$GK$8</f>
        <v/>
      </c>
      <c r="F111" s="14" t="n"/>
      <c r="G111" s="14" t="n"/>
      <c r="H111" s="15" t="n"/>
      <c r="I111" s="115" t="n"/>
      <c r="J111" s="52" t="inlineStr">
        <is>
          <t>AVISOS</t>
        </is>
      </c>
      <c r="K111" s="129">
        <f>DADOS_AM!$GK$9</f>
        <v/>
      </c>
      <c r="L111" s="14" t="n"/>
      <c r="M111" s="14" t="n"/>
      <c r="N111" s="15" t="n"/>
      <c r="O111" s="115" t="n"/>
      <c r="P111" s="52" t="inlineStr">
        <is>
          <t>AVISOS</t>
        </is>
      </c>
      <c r="Q111" s="129">
        <f>DADOS_AM!$GK$10</f>
        <v/>
      </c>
      <c r="R111" s="14" t="n"/>
      <c r="S111" s="14" t="n"/>
      <c r="T111" s="15" t="n"/>
      <c r="U111" s="115" t="n"/>
    </row>
    <row r="112" hidden="1" outlineLevel="2">
      <c r="A112" s="8" t="n"/>
      <c r="B112" s="22" t="n"/>
      <c r="C112" s="115" t="n"/>
      <c r="D112" s="121" t="n"/>
      <c r="E112" s="18" t="n"/>
      <c r="F112" s="19" t="n"/>
      <c r="G112" s="19" t="n"/>
      <c r="H112" s="20" t="n"/>
      <c r="I112" s="115" t="n"/>
      <c r="J112" s="121" t="n"/>
      <c r="K112" s="18" t="n"/>
      <c r="L112" s="19" t="n"/>
      <c r="M112" s="19" t="n"/>
      <c r="N112" s="20" t="n"/>
      <c r="O112" s="115" t="n"/>
      <c r="P112" s="121" t="n"/>
      <c r="Q112" s="18" t="n"/>
      <c r="R112" s="19" t="n"/>
      <c r="S112" s="19" t="n"/>
      <c r="T112" s="20" t="n"/>
      <c r="U112" s="115" t="n"/>
    </row>
    <row r="113" outlineLevel="1">
      <c r="A113" s="8" t="n"/>
      <c r="B113" s="22" t="n"/>
      <c r="C113" s="115" t="n"/>
      <c r="D113" s="115" t="n"/>
      <c r="E113" s="115" t="n"/>
      <c r="F113" s="115" t="n"/>
      <c r="G113" s="115" t="n"/>
      <c r="H113" s="115" t="n"/>
      <c r="I113" s="115" t="n"/>
      <c r="J113" s="115" t="n"/>
      <c r="K113" s="115" t="n"/>
      <c r="L113" s="115" t="n"/>
      <c r="M113" s="115" t="n"/>
      <c r="N113" s="115" t="n"/>
      <c r="O113" s="115" t="n"/>
      <c r="P113" s="115" t="n"/>
      <c r="Q113" s="115" t="n"/>
      <c r="R113" s="115" t="n"/>
      <c r="S113" s="115" t="n"/>
      <c r="T113" s="115" t="n"/>
      <c r="U113" s="115" t="n"/>
    </row>
    <row r="114" outlineLevel="1">
      <c r="A114" s="8" t="n"/>
      <c r="B114" s="22" t="n"/>
      <c r="C114" s="115" t="n"/>
      <c r="D114" s="123" t="n">
        <v>1</v>
      </c>
      <c r="E114" s="124" t="n"/>
      <c r="F114" s="12" t="n"/>
      <c r="G114" s="125">
        <f>DADOS_AM!$GJ$11</f>
        <v/>
      </c>
      <c r="H114" s="12" t="n"/>
      <c r="I114" s="115" t="n"/>
      <c r="J114" s="123" t="n">
        <v>1</v>
      </c>
      <c r="K114" s="124" t="n"/>
      <c r="L114" s="12" t="n"/>
      <c r="M114" s="125">
        <f>DADOS_AM!$GJ$12</f>
        <v/>
      </c>
      <c r="N114" s="12" t="n"/>
      <c r="O114" s="115" t="n"/>
      <c r="P114" s="123" t="n">
        <v>1</v>
      </c>
      <c r="Q114" s="124" t="n"/>
      <c r="R114" s="12" t="n"/>
      <c r="S114" s="125">
        <f>DADOS_AM!$GJ$13</f>
        <v/>
      </c>
      <c r="T114" s="12" t="n"/>
      <c r="U114" s="115" t="n"/>
    </row>
    <row r="115" hidden="1" outlineLevel="2">
      <c r="A115" s="8" t="n"/>
      <c r="B115" s="22" t="n"/>
      <c r="C115" s="115" t="n"/>
      <c r="D115" s="52" t="inlineStr">
        <is>
          <t>COMO É</t>
        </is>
      </c>
      <c r="E115" s="11" t="n"/>
      <c r="F115" s="11" t="n"/>
      <c r="G115" s="11" t="n"/>
      <c r="H115" s="12" t="n"/>
      <c r="I115" s="115" t="n"/>
      <c r="J115" s="52" t="inlineStr">
        <is>
          <t>COMO É</t>
        </is>
      </c>
      <c r="K115" s="11" t="n"/>
      <c r="L115" s="11" t="n"/>
      <c r="M115" s="11" t="n"/>
      <c r="N115" s="12" t="n"/>
      <c r="O115" s="115" t="n"/>
      <c r="P115" s="52" t="inlineStr">
        <is>
          <t>COMO É</t>
        </is>
      </c>
      <c r="Q115" s="11" t="n"/>
      <c r="R115" s="11" t="n"/>
      <c r="S115" s="11" t="n"/>
      <c r="T115" s="12" t="n"/>
      <c r="U115" s="115" t="n"/>
    </row>
    <row r="116" hidden="1" outlineLevel="2">
      <c r="A116" s="8" t="n"/>
      <c r="B116" s="22" t="n"/>
      <c r="C116" s="115" t="n"/>
      <c r="D116" s="120" t="n"/>
      <c r="E116" s="14" t="n"/>
      <c r="F116" s="14" t="n"/>
      <c r="G116" s="14" t="n"/>
      <c r="H116" s="15" t="n"/>
      <c r="I116" s="115" t="n"/>
      <c r="J116" s="120" t="n"/>
      <c r="K116" s="14" t="n"/>
      <c r="L116" s="14" t="n"/>
      <c r="M116" s="14" t="n"/>
      <c r="N116" s="15" t="n"/>
      <c r="O116" s="115" t="n"/>
      <c r="P116" s="120" t="n"/>
      <c r="Q116" s="14" t="n"/>
      <c r="R116" s="14" t="n"/>
      <c r="S116" s="14" t="n"/>
      <c r="T116" s="15" t="n"/>
      <c r="U116" s="115" t="n"/>
    </row>
    <row r="117" hidden="1" outlineLevel="2">
      <c r="A117" s="8" t="n"/>
      <c r="B117" s="22" t="n"/>
      <c r="C117" s="115" t="n"/>
      <c r="D117" s="16" t="n"/>
      <c r="H117" s="17" t="n"/>
      <c r="I117" s="115" t="n"/>
      <c r="J117" s="16" t="n"/>
      <c r="N117" s="17" t="n"/>
      <c r="O117" s="115" t="n"/>
      <c r="P117" s="16" t="n"/>
      <c r="T117" s="17" t="n"/>
      <c r="U117" s="115" t="n"/>
    </row>
    <row r="118" hidden="1" outlineLevel="2">
      <c r="A118" s="8" t="n"/>
      <c r="B118" s="22" t="n"/>
      <c r="C118" s="115" t="n"/>
      <c r="D118" s="16" t="n"/>
      <c r="H118" s="17" t="n"/>
      <c r="I118" s="115" t="n"/>
      <c r="J118" s="16" t="n"/>
      <c r="N118" s="17" t="n"/>
      <c r="O118" s="115" t="n"/>
      <c r="P118" s="16" t="n"/>
      <c r="T118" s="17" t="n"/>
      <c r="U118" s="115" t="n"/>
    </row>
    <row r="119" hidden="1" outlineLevel="2">
      <c r="A119" s="8" t="n"/>
      <c r="B119" s="22" t="n"/>
      <c r="C119" s="115" t="n"/>
      <c r="D119" s="16" t="n"/>
      <c r="H119" s="17" t="n"/>
      <c r="I119" s="115" t="n"/>
      <c r="J119" s="16" t="n"/>
      <c r="N119" s="17" t="n"/>
      <c r="O119" s="115" t="n"/>
      <c r="P119" s="16" t="n"/>
      <c r="T119" s="17" t="n"/>
      <c r="U119" s="115" t="n"/>
    </row>
    <row r="120" hidden="1" outlineLevel="2">
      <c r="A120" s="8" t="n"/>
      <c r="B120" s="22" t="n"/>
      <c r="C120" s="115" t="n"/>
      <c r="D120" s="18" t="n"/>
      <c r="E120" s="19" t="n"/>
      <c r="F120" s="19" t="n"/>
      <c r="G120" s="19" t="n"/>
      <c r="H120" s="20" t="n"/>
      <c r="I120" s="115" t="n"/>
      <c r="J120" s="18" t="n"/>
      <c r="K120" s="19" t="n"/>
      <c r="L120" s="19" t="n"/>
      <c r="M120" s="19" t="n"/>
      <c r="N120" s="20" t="n"/>
      <c r="O120" s="115" t="n"/>
      <c r="P120" s="18" t="n"/>
      <c r="Q120" s="19" t="n"/>
      <c r="R120" s="19" t="n"/>
      <c r="S120" s="19" t="n"/>
      <c r="T120" s="20" t="n"/>
      <c r="U120" s="115" t="n"/>
    </row>
    <row r="121" outlineLevel="1">
      <c r="A121" s="8" t="n"/>
      <c r="B121" s="22" t="n"/>
      <c r="C121" s="115" t="n"/>
      <c r="D121" s="119" t="inlineStr">
        <is>
          <t>Projétil</t>
        </is>
      </c>
      <c r="E121" s="65">
        <f>DADOS_AM!$GO$11</f>
        <v/>
      </c>
      <c r="F121" s="65">
        <f>DADOS_AM!$GL$11</f>
        <v/>
      </c>
      <c r="G121" s="119">
        <f>DADOS_AM!$GN$11</f>
        <v/>
      </c>
      <c r="H121" s="12" t="n"/>
      <c r="I121" s="115" t="n"/>
      <c r="J121" s="119" t="inlineStr">
        <is>
          <t>Projétil</t>
        </is>
      </c>
      <c r="K121" s="65">
        <f>DADOS_AM!$GO$12</f>
        <v/>
      </c>
      <c r="L121" s="65">
        <f>DADOS_AM!$GL$12</f>
        <v/>
      </c>
      <c r="M121" s="119">
        <f>DADOS_AM!$GN$12</f>
        <v/>
      </c>
      <c r="N121" s="12" t="n"/>
      <c r="O121" s="115" t="n"/>
      <c r="P121" s="119" t="inlineStr">
        <is>
          <t>Projétil</t>
        </is>
      </c>
      <c r="Q121" s="65">
        <f>DADOS_AM!$GO$13</f>
        <v/>
      </c>
      <c r="R121" s="65">
        <f>DADOS_AM!$GL$13</f>
        <v/>
      </c>
      <c r="S121" s="119">
        <f>DADOS_AM!$GN$13</f>
        <v/>
      </c>
      <c r="T121" s="12" t="n"/>
      <c r="U121" s="115" t="n"/>
    </row>
    <row r="122" outlineLevel="1">
      <c r="A122" s="8" t="n"/>
      <c r="B122" s="22" t="n"/>
      <c r="C122" s="115" t="n"/>
      <c r="D122" s="119">
        <f>DADOS_AM!$GM$11</f>
        <v/>
      </c>
      <c r="E122" s="126">
        <f>DADOS_AM!$GT$11</f>
        <v/>
      </c>
      <c r="F122" s="11" t="n"/>
      <c r="G122" s="11" t="n"/>
      <c r="H122" s="12" t="n"/>
      <c r="I122" s="115" t="n"/>
      <c r="J122" s="119">
        <f>DADOS_AM!$GM$12</f>
        <v/>
      </c>
      <c r="K122" s="126">
        <f>DADOS_AM!$GT$12</f>
        <v/>
      </c>
      <c r="L122" s="11" t="n"/>
      <c r="M122" s="11" t="n"/>
      <c r="N122" s="12" t="n"/>
      <c r="O122" s="115" t="n"/>
      <c r="P122" s="119">
        <f>DADOS_AM!$GM$13</f>
        <v/>
      </c>
      <c r="Q122" s="126">
        <f>DADOS_AM!$GT$13</f>
        <v/>
      </c>
      <c r="R122" s="11" t="n"/>
      <c r="S122" s="11" t="n"/>
      <c r="T122" s="12" t="n"/>
      <c r="U122" s="115" t="n"/>
    </row>
    <row r="123" hidden="1" outlineLevel="2">
      <c r="A123" s="8" t="n"/>
      <c r="B123" s="22" t="n"/>
      <c r="C123" s="115" t="n"/>
      <c r="D123" s="52" t="inlineStr">
        <is>
          <t>MELHORIAS</t>
        </is>
      </c>
      <c r="E123" s="127" t="n"/>
      <c r="F123" s="12" t="n"/>
      <c r="G123" s="126">
        <f>DADOS_AM!$GW$11</f>
        <v/>
      </c>
      <c r="H123" s="12" t="n"/>
      <c r="I123" s="115" t="n"/>
      <c r="J123" s="52" t="inlineStr">
        <is>
          <t>MELHORIAS</t>
        </is>
      </c>
      <c r="K123" s="127" t="n"/>
      <c r="L123" s="12" t="n"/>
      <c r="M123" s="126">
        <f>DADOS_AM!$GW$12</f>
        <v/>
      </c>
      <c r="N123" s="12" t="n"/>
      <c r="O123" s="115" t="n"/>
      <c r="P123" s="52" t="inlineStr">
        <is>
          <t>MELHORIAS</t>
        </is>
      </c>
      <c r="Q123" s="127" t="n"/>
      <c r="R123" s="12" t="n"/>
      <c r="S123" s="126">
        <f>DADOS_AM!$GW$13</f>
        <v/>
      </c>
      <c r="T123" s="12" t="n"/>
      <c r="U123" s="115" t="n"/>
    </row>
    <row r="124" hidden="1" outlineLevel="2">
      <c r="A124" s="8" t="n"/>
      <c r="B124" s="22" t="n"/>
      <c r="C124" s="115" t="n"/>
      <c r="D124" s="128" t="n"/>
      <c r="E124" s="127" t="n"/>
      <c r="F124" s="12" t="n"/>
      <c r="G124" s="126">
        <f>DADOS_AM!$GX$11</f>
        <v/>
      </c>
      <c r="H124" s="12" t="n"/>
      <c r="I124" s="115" t="n"/>
      <c r="J124" s="128" t="n"/>
      <c r="K124" s="127" t="n"/>
      <c r="L124" s="12" t="n"/>
      <c r="M124" s="126">
        <f>DADOS_AM!$GX$12</f>
        <v/>
      </c>
      <c r="N124" s="12" t="n"/>
      <c r="O124" s="115" t="n"/>
      <c r="P124" s="128" t="n"/>
      <c r="Q124" s="127" t="n"/>
      <c r="R124" s="12" t="n"/>
      <c r="S124" s="126">
        <f>DADOS_AM!$GX$13</f>
        <v/>
      </c>
      <c r="T124" s="12" t="n"/>
      <c r="U124" s="115" t="n"/>
    </row>
    <row r="125" hidden="1" outlineLevel="2">
      <c r="A125" s="8" t="n"/>
      <c r="B125" s="22" t="n"/>
      <c r="C125" s="115" t="n"/>
      <c r="D125" s="128" t="n"/>
      <c r="E125" s="127" t="n"/>
      <c r="F125" s="12" t="n"/>
      <c r="G125" s="126">
        <f>DADOS_AM!$GY$11</f>
        <v/>
      </c>
      <c r="H125" s="12" t="n"/>
      <c r="I125" s="115" t="n"/>
      <c r="J125" s="128" t="n"/>
      <c r="K125" s="127" t="n"/>
      <c r="L125" s="12" t="n"/>
      <c r="M125" s="126">
        <f>DADOS_AM!$GY$12</f>
        <v/>
      </c>
      <c r="N125" s="12" t="n"/>
      <c r="O125" s="115" t="n"/>
      <c r="P125" s="128" t="n"/>
      <c r="Q125" s="127" t="n"/>
      <c r="R125" s="12" t="n"/>
      <c r="S125" s="126">
        <f>DADOS_AM!$GY$13</f>
        <v/>
      </c>
      <c r="T125" s="12" t="n"/>
      <c r="U125" s="115" t="n"/>
    </row>
    <row r="126" hidden="1" outlineLevel="2">
      <c r="A126" s="8" t="n"/>
      <c r="B126" s="22" t="n"/>
      <c r="C126" s="115" t="n"/>
      <c r="D126" s="121" t="n"/>
      <c r="E126" s="127" t="n"/>
      <c r="F126" s="12" t="n"/>
      <c r="G126" s="126">
        <f>DADOS_AM!$GZ$11</f>
        <v/>
      </c>
      <c r="H126" s="12" t="n"/>
      <c r="I126" s="115" t="n"/>
      <c r="J126" s="121" t="n"/>
      <c r="K126" s="127" t="n"/>
      <c r="L126" s="12" t="n"/>
      <c r="M126" s="126">
        <f>DADOS_AM!$GZ$12</f>
        <v/>
      </c>
      <c r="N126" s="12" t="n"/>
      <c r="O126" s="115" t="n"/>
      <c r="P126" s="121" t="n"/>
      <c r="Q126" s="127" t="n"/>
      <c r="R126" s="12" t="n"/>
      <c r="S126" s="126">
        <f>DADOS_AM!$GZ$13</f>
        <v/>
      </c>
      <c r="T126" s="12" t="n"/>
      <c r="U126" s="115" t="n"/>
    </row>
    <row r="127" hidden="1" outlineLevel="2">
      <c r="A127" s="8" t="n"/>
      <c r="B127" s="22" t="n"/>
      <c r="C127" s="115" t="n"/>
      <c r="D127" s="52" t="inlineStr">
        <is>
          <t>RESTRIÇÕES</t>
        </is>
      </c>
      <c r="E127" s="127" t="n"/>
      <c r="F127" s="12" t="n"/>
      <c r="G127" s="126">
        <f>DADOS_AM!$HA$11</f>
        <v/>
      </c>
      <c r="H127" s="12" t="n"/>
      <c r="I127" s="115" t="n"/>
      <c r="J127" s="52" t="inlineStr">
        <is>
          <t>RESTRIÇÕES</t>
        </is>
      </c>
      <c r="K127" s="127" t="n"/>
      <c r="L127" s="12" t="n"/>
      <c r="M127" s="126">
        <f>DADOS_AM!$HA$12</f>
        <v/>
      </c>
      <c r="N127" s="12" t="n"/>
      <c r="O127" s="115" t="n"/>
      <c r="P127" s="52" t="inlineStr">
        <is>
          <t>RESTRIÇÕES</t>
        </is>
      </c>
      <c r="Q127" s="127" t="n"/>
      <c r="R127" s="12" t="n"/>
      <c r="S127" s="126">
        <f>DADOS_AM!$HA$13</f>
        <v/>
      </c>
      <c r="T127" s="12" t="n"/>
      <c r="U127" s="115" t="n"/>
    </row>
    <row r="128" hidden="1" outlineLevel="2">
      <c r="A128" s="8" t="n"/>
      <c r="B128" s="22" t="n"/>
      <c r="C128" s="115" t="n"/>
      <c r="D128" s="121" t="n"/>
      <c r="E128" s="127" t="n"/>
      <c r="F128" s="12" t="n"/>
      <c r="G128" s="126">
        <f>DADOS_AM!$HB$11</f>
        <v/>
      </c>
      <c r="H128" s="12" t="n"/>
      <c r="I128" s="115" t="n"/>
      <c r="J128" s="121" t="n"/>
      <c r="K128" s="127" t="n"/>
      <c r="L128" s="12" t="n"/>
      <c r="M128" s="126">
        <f>DADOS_AM!$HB$12</f>
        <v/>
      </c>
      <c r="N128" s="12" t="n"/>
      <c r="O128" s="115" t="n"/>
      <c r="P128" s="121" t="n"/>
      <c r="Q128" s="127" t="n"/>
      <c r="R128" s="12" t="n"/>
      <c r="S128" s="126">
        <f>DADOS_AM!$HB$13</f>
        <v/>
      </c>
      <c r="T128" s="12" t="n"/>
      <c r="U128" s="115" t="n"/>
    </row>
    <row r="129" hidden="1" outlineLevel="2">
      <c r="A129" s="8" t="n"/>
      <c r="B129" s="22" t="n"/>
      <c r="C129" s="115" t="n"/>
      <c r="D129" s="52" t="inlineStr">
        <is>
          <t>CONTA</t>
        </is>
      </c>
      <c r="E129" s="129">
        <f>DADOS_AM!$GU$11</f>
        <v/>
      </c>
      <c r="F129" s="11" t="n"/>
      <c r="G129" s="11" t="n"/>
      <c r="H129" s="12" t="n"/>
      <c r="I129" s="115" t="n"/>
      <c r="J129" s="52" t="inlineStr">
        <is>
          <t>CONTA</t>
        </is>
      </c>
      <c r="K129" s="129">
        <f>DADOS_AM!$GU$12</f>
        <v/>
      </c>
      <c r="L129" s="11" t="n"/>
      <c r="M129" s="11" t="n"/>
      <c r="N129" s="12" t="n"/>
      <c r="O129" s="115" t="n"/>
      <c r="P129" s="52" t="inlineStr">
        <is>
          <t>CONTA</t>
        </is>
      </c>
      <c r="Q129" s="129">
        <f>DADOS_AM!$GU$13</f>
        <v/>
      </c>
      <c r="R129" s="11" t="n"/>
      <c r="S129" s="11" t="n"/>
      <c r="T129" s="12" t="n"/>
      <c r="U129" s="115" t="n"/>
    </row>
    <row r="130" hidden="1" outlineLevel="2">
      <c r="A130" s="8" t="n"/>
      <c r="B130" s="22" t="n"/>
      <c r="C130" s="115" t="n"/>
      <c r="D130" s="52" t="inlineStr">
        <is>
          <t>AMPLIAR</t>
        </is>
      </c>
      <c r="E130" s="129">
        <f>DADOS_AM!$GV$11</f>
        <v/>
      </c>
      <c r="F130" s="14" t="n"/>
      <c r="G130" s="14" t="n"/>
      <c r="H130" s="15" t="n"/>
      <c r="I130" s="115" t="n"/>
      <c r="J130" s="52" t="inlineStr">
        <is>
          <t>AMPLIAR</t>
        </is>
      </c>
      <c r="K130" s="129">
        <f>DADOS_AM!$GV$12</f>
        <v/>
      </c>
      <c r="L130" s="14" t="n"/>
      <c r="M130" s="14" t="n"/>
      <c r="N130" s="15" t="n"/>
      <c r="O130" s="115" t="n"/>
      <c r="P130" s="52" t="inlineStr">
        <is>
          <t>AMPLIAR</t>
        </is>
      </c>
      <c r="Q130" s="129">
        <f>DADOS_AM!$GV$13</f>
        <v/>
      </c>
      <c r="R130" s="14" t="n"/>
      <c r="S130" s="14" t="n"/>
      <c r="T130" s="15" t="n"/>
      <c r="U130" s="115" t="n"/>
    </row>
    <row r="131" hidden="1" outlineLevel="2">
      <c r="A131" s="8" t="n"/>
      <c r="B131" s="22" t="n"/>
      <c r="C131" s="115" t="n"/>
      <c r="D131" s="121" t="n"/>
      <c r="E131" s="18" t="n"/>
      <c r="F131" s="19" t="n"/>
      <c r="G131" s="19" t="n"/>
      <c r="H131" s="20" t="n"/>
      <c r="I131" s="115" t="n"/>
      <c r="J131" s="121" t="n"/>
      <c r="K131" s="18" t="n"/>
      <c r="L131" s="19" t="n"/>
      <c r="M131" s="19" t="n"/>
      <c r="N131" s="20" t="n"/>
      <c r="O131" s="115" t="n"/>
      <c r="P131" s="121" t="n"/>
      <c r="Q131" s="18" t="n"/>
      <c r="R131" s="19" t="n"/>
      <c r="S131" s="19" t="n"/>
      <c r="T131" s="20" t="n"/>
      <c r="U131" s="115" t="n"/>
    </row>
    <row r="132" hidden="1" outlineLevel="2">
      <c r="A132" s="8" t="n"/>
      <c r="B132" s="22" t="n"/>
      <c r="C132" s="115" t="n"/>
      <c r="D132" s="52" t="inlineStr">
        <is>
          <t>AVISOS</t>
        </is>
      </c>
      <c r="E132" s="129">
        <f>DADOS_AM!$GK$11</f>
        <v/>
      </c>
      <c r="F132" s="14" t="n"/>
      <c r="G132" s="14" t="n"/>
      <c r="H132" s="15" t="n"/>
      <c r="I132" s="115" t="n"/>
      <c r="J132" s="52" t="inlineStr">
        <is>
          <t>AVISOS</t>
        </is>
      </c>
      <c r="K132" s="129">
        <f>DADOS_AM!$GK$12</f>
        <v/>
      </c>
      <c r="L132" s="14" t="n"/>
      <c r="M132" s="14" t="n"/>
      <c r="N132" s="15" t="n"/>
      <c r="O132" s="115" t="n"/>
      <c r="P132" s="52" t="inlineStr">
        <is>
          <t>AVISOS</t>
        </is>
      </c>
      <c r="Q132" s="129">
        <f>DADOS_AM!$GK$13</f>
        <v/>
      </c>
      <c r="R132" s="14" t="n"/>
      <c r="S132" s="14" t="n"/>
      <c r="T132" s="15" t="n"/>
      <c r="U132" s="115" t="n"/>
    </row>
    <row r="133" hidden="1" outlineLevel="2">
      <c r="A133" s="8" t="n"/>
      <c r="B133" s="22" t="n"/>
      <c r="C133" s="115" t="n"/>
      <c r="D133" s="121" t="n"/>
      <c r="E133" s="18" t="n"/>
      <c r="F133" s="19" t="n"/>
      <c r="G133" s="19" t="n"/>
      <c r="H133" s="20" t="n"/>
      <c r="I133" s="115" t="n"/>
      <c r="J133" s="121" t="n"/>
      <c r="K133" s="18" t="n"/>
      <c r="L133" s="19" t="n"/>
      <c r="M133" s="19" t="n"/>
      <c r="N133" s="20" t="n"/>
      <c r="O133" s="115" t="n"/>
      <c r="P133" s="121" t="n"/>
      <c r="Q133" s="18" t="n"/>
      <c r="R133" s="19" t="n"/>
      <c r="S133" s="19" t="n"/>
      <c r="T133" s="20" t="n"/>
      <c r="U133" s="115" t="n"/>
    </row>
    <row r="134" outlineLevel="1">
      <c r="A134" s="8" t="n"/>
      <c r="B134" s="22" t="n"/>
      <c r="C134" s="115" t="n"/>
      <c r="D134" s="115" t="n"/>
      <c r="E134" s="115" t="n"/>
      <c r="F134" s="115" t="n"/>
      <c r="G134" s="115" t="n"/>
      <c r="H134" s="115" t="n"/>
      <c r="I134" s="115" t="n"/>
      <c r="J134" s="115" t="n"/>
      <c r="K134" s="115" t="n"/>
      <c r="L134" s="115" t="n"/>
      <c r="M134" s="115" t="n"/>
      <c r="N134" s="115" t="n"/>
      <c r="O134" s="115" t="n"/>
      <c r="P134" s="115" t="n"/>
      <c r="Q134" s="115" t="n"/>
      <c r="R134" s="115" t="n"/>
      <c r="S134" s="115" t="n"/>
      <c r="T134" s="115" t="n"/>
      <c r="U134" s="115" t="n"/>
    </row>
    <row r="135" outlineLevel="1">
      <c r="A135" s="8" t="n"/>
      <c r="B135" s="22" t="n"/>
      <c r="C135" s="115" t="n"/>
      <c r="D135" s="130">
        <f>DADOS_AM!$IK$32</f>
        <v/>
      </c>
      <c r="E135" s="11" t="n"/>
      <c r="F135" s="11" t="n"/>
      <c r="G135" s="11" t="n"/>
      <c r="H135" s="11" t="n"/>
      <c r="I135" s="11" t="n"/>
      <c r="J135" s="11" t="n"/>
      <c r="K135" s="11" t="n"/>
      <c r="L135" s="11" t="n"/>
      <c r="M135" s="11" t="n"/>
      <c r="N135" s="11" t="n"/>
      <c r="O135" s="11" t="n"/>
      <c r="P135" s="11" t="n"/>
      <c r="Q135" s="11" t="n"/>
      <c r="R135" s="11" t="n"/>
      <c r="S135" s="11" t="n"/>
      <c r="T135" s="12" t="n"/>
      <c r="U135" s="115" t="n"/>
    </row>
    <row r="136" hidden="1" outlineLevel="2">
      <c r="A136" s="8" t="n"/>
      <c r="B136" s="22" t="n"/>
      <c r="C136" s="115" t="n"/>
      <c r="D136" s="115" t="n"/>
      <c r="E136" s="115" t="n"/>
      <c r="F136" s="115" t="n"/>
      <c r="G136" s="115" t="n"/>
      <c r="H136" s="115" t="n"/>
      <c r="I136" s="115" t="n"/>
      <c r="J136" s="115" t="n"/>
      <c r="K136" s="115" t="n"/>
      <c r="L136" s="115" t="n"/>
      <c r="M136" s="115" t="n"/>
      <c r="N136" s="115" t="n"/>
      <c r="O136" s="115" t="n"/>
      <c r="P136" s="115" t="n"/>
      <c r="Q136" s="115" t="n"/>
      <c r="R136" s="115" t="n"/>
      <c r="S136" s="115" t="n"/>
      <c r="T136" s="115" t="n"/>
      <c r="U136" s="115" t="n"/>
    </row>
    <row r="137" hidden="1" outlineLevel="2">
      <c r="A137" s="8" t="n"/>
      <c r="B137" s="22" t="n"/>
      <c r="C137" s="115" t="n"/>
      <c r="D137" s="123" t="n">
        <v>1</v>
      </c>
      <c r="E137" s="124" t="n"/>
      <c r="F137" s="12" t="n"/>
      <c r="G137" s="125">
        <f>DADOS_AM!$GJ$14</f>
        <v/>
      </c>
      <c r="H137" s="12" t="n"/>
      <c r="I137" s="115" t="n"/>
      <c r="J137" s="123" t="n">
        <v>1</v>
      </c>
      <c r="K137" s="124" t="n"/>
      <c r="L137" s="12" t="n"/>
      <c r="M137" s="125">
        <f>DADOS_AM!$GJ$15</f>
        <v/>
      </c>
      <c r="N137" s="12" t="n"/>
      <c r="O137" s="115" t="n"/>
      <c r="P137" s="123" t="n">
        <v>1</v>
      </c>
      <c r="Q137" s="124" t="n"/>
      <c r="R137" s="12" t="n"/>
      <c r="S137" s="125">
        <f>DADOS_AM!$GJ$16</f>
        <v/>
      </c>
      <c r="T137" s="12" t="n"/>
      <c r="U137" s="115" t="n"/>
    </row>
    <row r="138" hidden="1" outlineLevel="3">
      <c r="A138" s="8" t="n"/>
      <c r="B138" s="22" t="n"/>
      <c r="C138" s="115" t="n"/>
      <c r="D138" s="52" t="inlineStr">
        <is>
          <t>COMO É</t>
        </is>
      </c>
      <c r="E138" s="11" t="n"/>
      <c r="F138" s="11" t="n"/>
      <c r="G138" s="11" t="n"/>
      <c r="H138" s="12" t="n"/>
      <c r="I138" s="115" t="n"/>
      <c r="J138" s="52" t="inlineStr">
        <is>
          <t>COMO É</t>
        </is>
      </c>
      <c r="K138" s="11" t="n"/>
      <c r="L138" s="11" t="n"/>
      <c r="M138" s="11" t="n"/>
      <c r="N138" s="12" t="n"/>
      <c r="O138" s="115" t="n"/>
      <c r="P138" s="52" t="inlineStr">
        <is>
          <t>COMO É</t>
        </is>
      </c>
      <c r="Q138" s="11" t="n"/>
      <c r="R138" s="11" t="n"/>
      <c r="S138" s="11" t="n"/>
      <c r="T138" s="12" t="n"/>
      <c r="U138" s="115" t="n"/>
    </row>
    <row r="139" hidden="1" outlineLevel="3">
      <c r="A139" s="8" t="n"/>
      <c r="B139" s="22" t="n"/>
      <c r="C139" s="115" t="n"/>
      <c r="D139" s="120" t="n"/>
      <c r="E139" s="14" t="n"/>
      <c r="F139" s="14" t="n"/>
      <c r="G139" s="14" t="n"/>
      <c r="H139" s="15" t="n"/>
      <c r="I139" s="115" t="n"/>
      <c r="J139" s="120" t="n"/>
      <c r="K139" s="14" t="n"/>
      <c r="L139" s="14" t="n"/>
      <c r="M139" s="14" t="n"/>
      <c r="N139" s="15" t="n"/>
      <c r="O139" s="115" t="n"/>
      <c r="P139" s="120" t="n"/>
      <c r="Q139" s="14" t="n"/>
      <c r="R139" s="14" t="n"/>
      <c r="S139" s="14" t="n"/>
      <c r="T139" s="15" t="n"/>
      <c r="U139" s="115" t="n"/>
    </row>
    <row r="140" hidden="1" outlineLevel="3">
      <c r="A140" s="8" t="n"/>
      <c r="B140" s="22" t="n"/>
      <c r="C140" s="115" t="n"/>
      <c r="D140" s="16" t="n"/>
      <c r="H140" s="17" t="n"/>
      <c r="I140" s="115" t="n"/>
      <c r="J140" s="16" t="n"/>
      <c r="N140" s="17" t="n"/>
      <c r="O140" s="115" t="n"/>
      <c r="P140" s="16" t="n"/>
      <c r="T140" s="17" t="n"/>
      <c r="U140" s="115" t="n"/>
    </row>
    <row r="141" hidden="1" outlineLevel="3">
      <c r="A141" s="8" t="n"/>
      <c r="B141" s="22" t="n"/>
      <c r="C141" s="115" t="n"/>
      <c r="D141" s="16" t="n"/>
      <c r="H141" s="17" t="n"/>
      <c r="I141" s="115" t="n"/>
      <c r="J141" s="16" t="n"/>
      <c r="N141" s="17" t="n"/>
      <c r="O141" s="115" t="n"/>
      <c r="P141" s="16" t="n"/>
      <c r="T141" s="17" t="n"/>
      <c r="U141" s="115" t="n"/>
    </row>
    <row r="142" hidden="1" outlineLevel="3">
      <c r="A142" s="8" t="n"/>
      <c r="B142" s="22" t="n"/>
      <c r="C142" s="115" t="n"/>
      <c r="D142" s="16" t="n"/>
      <c r="H142" s="17" t="n"/>
      <c r="I142" s="115" t="n"/>
      <c r="J142" s="16" t="n"/>
      <c r="N142" s="17" t="n"/>
      <c r="O142" s="115" t="n"/>
      <c r="P142" s="16" t="n"/>
      <c r="T142" s="17" t="n"/>
      <c r="U142" s="115" t="n"/>
    </row>
    <row r="143" hidden="1" outlineLevel="3">
      <c r="A143" s="8" t="n"/>
      <c r="B143" s="22" t="n"/>
      <c r="C143" s="115" t="n"/>
      <c r="D143" s="18" t="n"/>
      <c r="E143" s="19" t="n"/>
      <c r="F143" s="19" t="n"/>
      <c r="G143" s="19" t="n"/>
      <c r="H143" s="20" t="n"/>
      <c r="I143" s="115" t="n"/>
      <c r="J143" s="18" t="n"/>
      <c r="K143" s="19" t="n"/>
      <c r="L143" s="19" t="n"/>
      <c r="M143" s="19" t="n"/>
      <c r="N143" s="20" t="n"/>
      <c r="O143" s="115" t="n"/>
      <c r="P143" s="18" t="n"/>
      <c r="Q143" s="19" t="n"/>
      <c r="R143" s="19" t="n"/>
      <c r="S143" s="19" t="n"/>
      <c r="T143" s="20" t="n"/>
      <c r="U143" s="115" t="n"/>
    </row>
    <row r="144" hidden="1" outlineLevel="2">
      <c r="A144" s="8" t="n"/>
      <c r="B144" s="22" t="n"/>
      <c r="C144" s="115" t="n"/>
      <c r="D144" s="119" t="inlineStr">
        <is>
          <t>Projétil</t>
        </is>
      </c>
      <c r="E144" s="65">
        <f>DADOS_AM!$GO$14</f>
        <v/>
      </c>
      <c r="F144" s="65">
        <f>DADOS_AM!$GL$14</f>
        <v/>
      </c>
      <c r="G144" s="119">
        <f>DADOS_AM!$GN$14</f>
        <v/>
      </c>
      <c r="H144" s="12" t="n"/>
      <c r="I144" s="115" t="n"/>
      <c r="J144" s="119" t="inlineStr">
        <is>
          <t>Projétil</t>
        </is>
      </c>
      <c r="K144" s="65">
        <f>DADOS_AM!$GO$15</f>
        <v/>
      </c>
      <c r="L144" s="65">
        <f>DADOS_AM!$GL$15</f>
        <v/>
      </c>
      <c r="M144" s="119">
        <f>DADOS_AM!$GN$15</f>
        <v/>
      </c>
      <c r="N144" s="12" t="n"/>
      <c r="O144" s="115" t="n"/>
      <c r="P144" s="119" t="inlineStr">
        <is>
          <t>Projétil</t>
        </is>
      </c>
      <c r="Q144" s="65">
        <f>DADOS_AM!$GO$16</f>
        <v/>
      </c>
      <c r="R144" s="65">
        <f>DADOS_AM!$GL$16</f>
        <v/>
      </c>
      <c r="S144" s="119">
        <f>DADOS_AM!$GN$16</f>
        <v/>
      </c>
      <c r="T144" s="12" t="n"/>
      <c r="U144" s="115" t="n"/>
    </row>
    <row r="145" hidden="1" outlineLevel="2">
      <c r="A145" s="8" t="n"/>
      <c r="B145" s="22" t="n"/>
      <c r="C145" s="115" t="n"/>
      <c r="D145" s="119">
        <f>DADOS_AM!$GM$14</f>
        <v/>
      </c>
      <c r="E145" s="126">
        <f>DADOS_AM!$GT$14</f>
        <v/>
      </c>
      <c r="F145" s="11" t="n"/>
      <c r="G145" s="11" t="n"/>
      <c r="H145" s="12" t="n"/>
      <c r="I145" s="115" t="n"/>
      <c r="J145" s="119">
        <f>DADOS_AM!$GM$15</f>
        <v/>
      </c>
      <c r="K145" s="126">
        <f>DADOS_AM!$GT$15</f>
        <v/>
      </c>
      <c r="L145" s="11" t="n"/>
      <c r="M145" s="11" t="n"/>
      <c r="N145" s="12" t="n"/>
      <c r="O145" s="115" t="n"/>
      <c r="P145" s="119">
        <f>DADOS_AM!$GM$16</f>
        <v/>
      </c>
      <c r="Q145" s="126">
        <f>DADOS_AM!$GT$16</f>
        <v/>
      </c>
      <c r="R145" s="11" t="n"/>
      <c r="S145" s="11" t="n"/>
      <c r="T145" s="12" t="n"/>
      <c r="U145" s="115" t="n"/>
    </row>
    <row r="146" hidden="1" outlineLevel="3">
      <c r="A146" s="8" t="n"/>
      <c r="B146" s="22" t="n"/>
      <c r="C146" s="115" t="n"/>
      <c r="D146" s="52" t="inlineStr">
        <is>
          <t>MELHORIAS</t>
        </is>
      </c>
      <c r="E146" s="127" t="n"/>
      <c r="F146" s="12" t="n"/>
      <c r="G146" s="126">
        <f>DADOS_AM!$GW$14</f>
        <v/>
      </c>
      <c r="H146" s="12" t="n"/>
      <c r="I146" s="115" t="n"/>
      <c r="J146" s="52" t="inlineStr">
        <is>
          <t>MELHORIAS</t>
        </is>
      </c>
      <c r="K146" s="127" t="n"/>
      <c r="L146" s="12" t="n"/>
      <c r="M146" s="126">
        <f>DADOS_AM!$GW$15</f>
        <v/>
      </c>
      <c r="N146" s="12" t="n"/>
      <c r="O146" s="115" t="n"/>
      <c r="P146" s="52" t="inlineStr">
        <is>
          <t>MELHORIAS</t>
        </is>
      </c>
      <c r="Q146" s="127" t="n"/>
      <c r="R146" s="12" t="n"/>
      <c r="S146" s="126">
        <f>DADOS_AM!$GW$16</f>
        <v/>
      </c>
      <c r="T146" s="12" t="n"/>
      <c r="U146" s="115" t="n"/>
    </row>
    <row r="147" hidden="1" outlineLevel="3">
      <c r="A147" s="8" t="n"/>
      <c r="B147" s="22" t="n"/>
      <c r="C147" s="115" t="n"/>
      <c r="D147" s="128" t="n"/>
      <c r="E147" s="127" t="n"/>
      <c r="F147" s="12" t="n"/>
      <c r="G147" s="126">
        <f>DADOS_AM!$GX$14</f>
        <v/>
      </c>
      <c r="H147" s="12" t="n"/>
      <c r="I147" s="115" t="n"/>
      <c r="J147" s="128" t="n"/>
      <c r="K147" s="127" t="n"/>
      <c r="L147" s="12" t="n"/>
      <c r="M147" s="126">
        <f>DADOS_AM!$GX$15</f>
        <v/>
      </c>
      <c r="N147" s="12" t="n"/>
      <c r="O147" s="115" t="n"/>
      <c r="P147" s="128" t="n"/>
      <c r="Q147" s="127" t="n"/>
      <c r="R147" s="12" t="n"/>
      <c r="S147" s="126">
        <f>DADOS_AM!$GX$16</f>
        <v/>
      </c>
      <c r="T147" s="12" t="n"/>
      <c r="U147" s="115" t="n"/>
    </row>
    <row r="148" hidden="1" outlineLevel="3">
      <c r="A148" s="8" t="n"/>
      <c r="B148" s="22" t="n"/>
      <c r="C148" s="115" t="n"/>
      <c r="D148" s="128" t="n"/>
      <c r="E148" s="127" t="n"/>
      <c r="F148" s="12" t="n"/>
      <c r="G148" s="126">
        <f>DADOS_AM!$GY$14</f>
        <v/>
      </c>
      <c r="H148" s="12" t="n"/>
      <c r="I148" s="115" t="n"/>
      <c r="J148" s="128" t="n"/>
      <c r="K148" s="127" t="n"/>
      <c r="L148" s="12" t="n"/>
      <c r="M148" s="126">
        <f>DADOS_AM!$GY$15</f>
        <v/>
      </c>
      <c r="N148" s="12" t="n"/>
      <c r="O148" s="115" t="n"/>
      <c r="P148" s="128" t="n"/>
      <c r="Q148" s="127" t="n"/>
      <c r="R148" s="12" t="n"/>
      <c r="S148" s="126">
        <f>DADOS_AM!$GY$16</f>
        <v/>
      </c>
      <c r="T148" s="12" t="n"/>
      <c r="U148" s="115" t="n"/>
    </row>
    <row r="149" hidden="1" outlineLevel="3">
      <c r="A149" s="8" t="n"/>
      <c r="B149" s="22" t="n"/>
      <c r="C149" s="115" t="n"/>
      <c r="D149" s="121" t="n"/>
      <c r="E149" s="127" t="n"/>
      <c r="F149" s="12" t="n"/>
      <c r="G149" s="126">
        <f>DADOS_AM!$GZ$14</f>
        <v/>
      </c>
      <c r="H149" s="12" t="n"/>
      <c r="I149" s="115" t="n"/>
      <c r="J149" s="121" t="n"/>
      <c r="K149" s="127" t="n"/>
      <c r="L149" s="12" t="n"/>
      <c r="M149" s="126">
        <f>DADOS_AM!$GZ$15</f>
        <v/>
      </c>
      <c r="N149" s="12" t="n"/>
      <c r="O149" s="115" t="n"/>
      <c r="P149" s="121" t="n"/>
      <c r="Q149" s="127" t="n"/>
      <c r="R149" s="12" t="n"/>
      <c r="S149" s="126">
        <f>DADOS_AM!$GZ$16</f>
        <v/>
      </c>
      <c r="T149" s="12" t="n"/>
      <c r="U149" s="115" t="n"/>
    </row>
    <row r="150" hidden="1" outlineLevel="3">
      <c r="A150" s="8" t="n"/>
      <c r="B150" s="22" t="n"/>
      <c r="C150" s="115" t="n"/>
      <c r="D150" s="52" t="inlineStr">
        <is>
          <t>RESTRIÇÕES</t>
        </is>
      </c>
      <c r="E150" s="127" t="n"/>
      <c r="F150" s="12" t="n"/>
      <c r="G150" s="126">
        <f>DADOS_AM!$HA$14</f>
        <v/>
      </c>
      <c r="H150" s="12" t="n"/>
      <c r="I150" s="115" t="n"/>
      <c r="J150" s="52" t="inlineStr">
        <is>
          <t>RESTRIÇÕES</t>
        </is>
      </c>
      <c r="K150" s="127" t="n"/>
      <c r="L150" s="12" t="n"/>
      <c r="M150" s="126">
        <f>DADOS_AM!$HA$15</f>
        <v/>
      </c>
      <c r="N150" s="12" t="n"/>
      <c r="O150" s="115" t="n"/>
      <c r="P150" s="52" t="inlineStr">
        <is>
          <t>RESTRIÇÕES</t>
        </is>
      </c>
      <c r="Q150" s="127" t="n"/>
      <c r="R150" s="12" t="n"/>
      <c r="S150" s="126">
        <f>DADOS_AM!$HA$16</f>
        <v/>
      </c>
      <c r="T150" s="12" t="n"/>
      <c r="U150" s="115" t="n"/>
    </row>
    <row r="151" hidden="1" outlineLevel="3">
      <c r="A151" s="8" t="n"/>
      <c r="B151" s="22" t="n"/>
      <c r="C151" s="115" t="n"/>
      <c r="D151" s="121" t="n"/>
      <c r="E151" s="127" t="n"/>
      <c r="F151" s="12" t="n"/>
      <c r="G151" s="126">
        <f>DADOS_AM!$HB$14</f>
        <v/>
      </c>
      <c r="H151" s="12" t="n"/>
      <c r="I151" s="115" t="n"/>
      <c r="J151" s="121" t="n"/>
      <c r="K151" s="127" t="n"/>
      <c r="L151" s="12" t="n"/>
      <c r="M151" s="126">
        <f>DADOS_AM!$HB$15</f>
        <v/>
      </c>
      <c r="N151" s="12" t="n"/>
      <c r="O151" s="115" t="n"/>
      <c r="P151" s="121" t="n"/>
      <c r="Q151" s="127" t="n"/>
      <c r="R151" s="12" t="n"/>
      <c r="S151" s="126">
        <f>DADOS_AM!$HB$16</f>
        <v/>
      </c>
      <c r="T151" s="12" t="n"/>
      <c r="U151" s="115" t="n"/>
    </row>
    <row r="152" hidden="1" outlineLevel="3">
      <c r="A152" s="8" t="n"/>
      <c r="B152" s="22" t="n"/>
      <c r="C152" s="115" t="n"/>
      <c r="D152" s="52" t="inlineStr">
        <is>
          <t>CONTA</t>
        </is>
      </c>
      <c r="E152" s="129">
        <f>DADOS_AM!$GU$14</f>
        <v/>
      </c>
      <c r="F152" s="11" t="n"/>
      <c r="G152" s="11" t="n"/>
      <c r="H152" s="12" t="n"/>
      <c r="I152" s="115" t="n"/>
      <c r="J152" s="52" t="inlineStr">
        <is>
          <t>CONTA</t>
        </is>
      </c>
      <c r="K152" s="129">
        <f>DADOS_AM!$GU$15</f>
        <v/>
      </c>
      <c r="L152" s="11" t="n"/>
      <c r="M152" s="11" t="n"/>
      <c r="N152" s="12" t="n"/>
      <c r="O152" s="115" t="n"/>
      <c r="P152" s="52" t="inlineStr">
        <is>
          <t>CONTA</t>
        </is>
      </c>
      <c r="Q152" s="129">
        <f>DADOS_AM!$GU$16</f>
        <v/>
      </c>
      <c r="R152" s="11" t="n"/>
      <c r="S152" s="11" t="n"/>
      <c r="T152" s="12" t="n"/>
      <c r="U152" s="115" t="n"/>
    </row>
    <row r="153" hidden="1" outlineLevel="3">
      <c r="A153" s="8" t="n"/>
      <c r="B153" s="22" t="n"/>
      <c r="C153" s="115" t="n"/>
      <c r="D153" s="52" t="inlineStr">
        <is>
          <t>AMPLIAR</t>
        </is>
      </c>
      <c r="E153" s="129">
        <f>DADOS_AM!$GV$14</f>
        <v/>
      </c>
      <c r="F153" s="14" t="n"/>
      <c r="G153" s="14" t="n"/>
      <c r="H153" s="15" t="n"/>
      <c r="I153" s="115" t="n"/>
      <c r="J153" s="52" t="inlineStr">
        <is>
          <t>AMPLIAR</t>
        </is>
      </c>
      <c r="K153" s="129">
        <f>DADOS_AM!$GV$15</f>
        <v/>
      </c>
      <c r="L153" s="14" t="n"/>
      <c r="M153" s="14" t="n"/>
      <c r="N153" s="15" t="n"/>
      <c r="O153" s="115" t="n"/>
      <c r="P153" s="52" t="inlineStr">
        <is>
          <t>AMPLIAR</t>
        </is>
      </c>
      <c r="Q153" s="129">
        <f>DADOS_AM!$GV$16</f>
        <v/>
      </c>
      <c r="R153" s="14" t="n"/>
      <c r="S153" s="14" t="n"/>
      <c r="T153" s="15" t="n"/>
      <c r="U153" s="115" t="n"/>
    </row>
    <row r="154" hidden="1" outlineLevel="3">
      <c r="A154" s="8" t="n"/>
      <c r="B154" s="22" t="n"/>
      <c r="C154" s="115" t="n"/>
      <c r="D154" s="121" t="n"/>
      <c r="E154" s="18" t="n"/>
      <c r="F154" s="19" t="n"/>
      <c r="G154" s="19" t="n"/>
      <c r="H154" s="20" t="n"/>
      <c r="I154" s="115" t="n"/>
      <c r="J154" s="121" t="n"/>
      <c r="K154" s="18" t="n"/>
      <c r="L154" s="19" t="n"/>
      <c r="M154" s="19" t="n"/>
      <c r="N154" s="20" t="n"/>
      <c r="O154" s="115" t="n"/>
      <c r="P154" s="121" t="n"/>
      <c r="Q154" s="18" t="n"/>
      <c r="R154" s="19" t="n"/>
      <c r="S154" s="19" t="n"/>
      <c r="T154" s="20" t="n"/>
      <c r="U154" s="115" t="n"/>
    </row>
    <row r="155" hidden="1" outlineLevel="3">
      <c r="A155" s="8" t="n"/>
      <c r="B155" s="22" t="n"/>
      <c r="C155" s="115" t="n"/>
      <c r="D155" s="52" t="inlineStr">
        <is>
          <t>AVISOS</t>
        </is>
      </c>
      <c r="E155" s="129">
        <f>DADOS_AM!$GK$14</f>
        <v/>
      </c>
      <c r="F155" s="14" t="n"/>
      <c r="G155" s="14" t="n"/>
      <c r="H155" s="15" t="n"/>
      <c r="I155" s="115" t="n"/>
      <c r="J155" s="52" t="inlineStr">
        <is>
          <t>AVISOS</t>
        </is>
      </c>
      <c r="K155" s="129">
        <f>DADOS_AM!$GK$15</f>
        <v/>
      </c>
      <c r="L155" s="14" t="n"/>
      <c r="M155" s="14" t="n"/>
      <c r="N155" s="15" t="n"/>
      <c r="O155" s="115" t="n"/>
      <c r="P155" s="52" t="inlineStr">
        <is>
          <t>AVISOS</t>
        </is>
      </c>
      <c r="Q155" s="129">
        <f>DADOS_AM!$GK$16</f>
        <v/>
      </c>
      <c r="R155" s="14" t="n"/>
      <c r="S155" s="14" t="n"/>
      <c r="T155" s="15" t="n"/>
      <c r="U155" s="115" t="n"/>
    </row>
    <row r="156" hidden="1" outlineLevel="3">
      <c r="A156" s="8" t="n"/>
      <c r="B156" s="22" t="n"/>
      <c r="C156" s="115" t="n"/>
      <c r="D156" s="121" t="n"/>
      <c r="E156" s="18" t="n"/>
      <c r="F156" s="19" t="n"/>
      <c r="G156" s="19" t="n"/>
      <c r="H156" s="20" t="n"/>
      <c r="I156" s="115" t="n"/>
      <c r="J156" s="121" t="n"/>
      <c r="K156" s="18" t="n"/>
      <c r="L156" s="19" t="n"/>
      <c r="M156" s="19" t="n"/>
      <c r="N156" s="20" t="n"/>
      <c r="O156" s="115" t="n"/>
      <c r="P156" s="121" t="n"/>
      <c r="Q156" s="18" t="n"/>
      <c r="R156" s="19" t="n"/>
      <c r="S156" s="19" t="n"/>
      <c r="T156" s="20" t="n"/>
      <c r="U156" s="115" t="n"/>
    </row>
    <row r="157" hidden="1" outlineLevel="2">
      <c r="A157" s="8" t="n"/>
      <c r="B157" s="22" t="n"/>
      <c r="C157" s="115" t="n"/>
      <c r="D157" s="115" t="n"/>
      <c r="E157" s="115" t="n"/>
      <c r="F157" s="115" t="n"/>
      <c r="G157" s="115" t="n"/>
      <c r="H157" s="115" t="n"/>
      <c r="I157" s="115" t="n"/>
      <c r="J157" s="115" t="n"/>
      <c r="K157" s="115" t="n"/>
      <c r="L157" s="115" t="n"/>
      <c r="M157" s="115" t="n"/>
      <c r="N157" s="115" t="n"/>
      <c r="O157" s="115" t="n"/>
      <c r="P157" s="115" t="n"/>
      <c r="Q157" s="115" t="n"/>
      <c r="R157" s="115" t="n"/>
      <c r="S157" s="115" t="n"/>
      <c r="T157" s="115" t="n"/>
      <c r="U157" s="115" t="n"/>
    </row>
    <row r="158" hidden="1" outlineLevel="2">
      <c r="A158" s="8" t="n"/>
      <c r="B158" s="22" t="n"/>
      <c r="C158" s="115" t="n"/>
      <c r="D158" s="123" t="n">
        <v>1</v>
      </c>
      <c r="E158" s="124" t="n"/>
      <c r="F158" s="12" t="n"/>
      <c r="G158" s="125">
        <f>DADOS_AM!$GJ$17</f>
        <v/>
      </c>
      <c r="H158" s="12" t="n"/>
      <c r="I158" s="115" t="n"/>
      <c r="J158" s="123" t="n">
        <v>1</v>
      </c>
      <c r="K158" s="124" t="n"/>
      <c r="L158" s="12" t="n"/>
      <c r="M158" s="125">
        <f>DADOS_AM!$GJ$18</f>
        <v/>
      </c>
      <c r="N158" s="12" t="n"/>
      <c r="O158" s="115" t="n"/>
      <c r="P158" s="123" t="n">
        <v>1</v>
      </c>
      <c r="Q158" s="124" t="n"/>
      <c r="R158" s="12" t="n"/>
      <c r="S158" s="125">
        <f>DADOS_AM!$GJ$19</f>
        <v/>
      </c>
      <c r="T158" s="12" t="n"/>
      <c r="U158" s="115" t="n"/>
    </row>
    <row r="159" hidden="1" outlineLevel="3">
      <c r="A159" s="8" t="n"/>
      <c r="B159" s="22" t="n"/>
      <c r="C159" s="115" t="n"/>
      <c r="D159" s="52" t="inlineStr">
        <is>
          <t>COMO É</t>
        </is>
      </c>
      <c r="E159" s="11" t="n"/>
      <c r="F159" s="11" t="n"/>
      <c r="G159" s="11" t="n"/>
      <c r="H159" s="12" t="n"/>
      <c r="I159" s="115" t="n"/>
      <c r="J159" s="52" t="inlineStr">
        <is>
          <t>COMO É</t>
        </is>
      </c>
      <c r="K159" s="11" t="n"/>
      <c r="L159" s="11" t="n"/>
      <c r="M159" s="11" t="n"/>
      <c r="N159" s="12" t="n"/>
      <c r="O159" s="115" t="n"/>
      <c r="P159" s="52" t="inlineStr">
        <is>
          <t>COMO É</t>
        </is>
      </c>
      <c r="Q159" s="11" t="n"/>
      <c r="R159" s="11" t="n"/>
      <c r="S159" s="11" t="n"/>
      <c r="T159" s="12" t="n"/>
      <c r="U159" s="115" t="n"/>
    </row>
    <row r="160" hidden="1" outlineLevel="3">
      <c r="A160" s="8" t="n"/>
      <c r="B160" s="22" t="n"/>
      <c r="C160" s="115" t="n"/>
      <c r="D160" s="120" t="n"/>
      <c r="E160" s="14" t="n"/>
      <c r="F160" s="14" t="n"/>
      <c r="G160" s="14" t="n"/>
      <c r="H160" s="15" t="n"/>
      <c r="I160" s="115" t="n"/>
      <c r="J160" s="120" t="n"/>
      <c r="K160" s="14" t="n"/>
      <c r="L160" s="14" t="n"/>
      <c r="M160" s="14" t="n"/>
      <c r="N160" s="15" t="n"/>
      <c r="O160" s="115" t="n"/>
      <c r="P160" s="120" t="n"/>
      <c r="Q160" s="14" t="n"/>
      <c r="R160" s="14" t="n"/>
      <c r="S160" s="14" t="n"/>
      <c r="T160" s="15" t="n"/>
      <c r="U160" s="115" t="n"/>
    </row>
    <row r="161" hidden="1" outlineLevel="3">
      <c r="A161" s="8" t="n"/>
      <c r="B161" s="22" t="n"/>
      <c r="C161" s="115" t="n"/>
      <c r="D161" s="16" t="n"/>
      <c r="H161" s="17" t="n"/>
      <c r="I161" s="115" t="n"/>
      <c r="J161" s="16" t="n"/>
      <c r="N161" s="17" t="n"/>
      <c r="O161" s="115" t="n"/>
      <c r="P161" s="16" t="n"/>
      <c r="T161" s="17" t="n"/>
      <c r="U161" s="115" t="n"/>
    </row>
    <row r="162" hidden="1" outlineLevel="3">
      <c r="A162" s="8" t="n"/>
      <c r="B162" s="22" t="n"/>
      <c r="C162" s="115" t="n"/>
      <c r="D162" s="16" t="n"/>
      <c r="H162" s="17" t="n"/>
      <c r="I162" s="115" t="n"/>
      <c r="J162" s="16" t="n"/>
      <c r="N162" s="17" t="n"/>
      <c r="O162" s="115" t="n"/>
      <c r="P162" s="16" t="n"/>
      <c r="T162" s="17" t="n"/>
      <c r="U162" s="115" t="n"/>
    </row>
    <row r="163" hidden="1" outlineLevel="3">
      <c r="A163" s="8" t="n"/>
      <c r="B163" s="22" t="n"/>
      <c r="C163" s="115" t="n"/>
      <c r="D163" s="16" t="n"/>
      <c r="H163" s="17" t="n"/>
      <c r="I163" s="115" t="n"/>
      <c r="J163" s="16" t="n"/>
      <c r="N163" s="17" t="n"/>
      <c r="O163" s="115" t="n"/>
      <c r="P163" s="16" t="n"/>
      <c r="T163" s="17" t="n"/>
      <c r="U163" s="115" t="n"/>
    </row>
    <row r="164" hidden="1" outlineLevel="3">
      <c r="A164" s="8" t="n"/>
      <c r="B164" s="22" t="n"/>
      <c r="C164" s="115" t="n"/>
      <c r="D164" s="18" t="n"/>
      <c r="E164" s="19" t="n"/>
      <c r="F164" s="19" t="n"/>
      <c r="G164" s="19" t="n"/>
      <c r="H164" s="20" t="n"/>
      <c r="I164" s="115" t="n"/>
      <c r="J164" s="18" t="n"/>
      <c r="K164" s="19" t="n"/>
      <c r="L164" s="19" t="n"/>
      <c r="M164" s="19" t="n"/>
      <c r="N164" s="20" t="n"/>
      <c r="O164" s="115" t="n"/>
      <c r="P164" s="18" t="n"/>
      <c r="Q164" s="19" t="n"/>
      <c r="R164" s="19" t="n"/>
      <c r="S164" s="19" t="n"/>
      <c r="T164" s="20" t="n"/>
      <c r="U164" s="115" t="n"/>
    </row>
    <row r="165" hidden="1" outlineLevel="2">
      <c r="A165" s="8" t="n"/>
      <c r="B165" s="22" t="n"/>
      <c r="C165" s="115" t="n"/>
      <c r="D165" s="119" t="inlineStr">
        <is>
          <t>Projétil</t>
        </is>
      </c>
      <c r="E165" s="65">
        <f>DADOS_AM!$GO$17</f>
        <v/>
      </c>
      <c r="F165" s="65">
        <f>DADOS_AM!$GL$17</f>
        <v/>
      </c>
      <c r="G165" s="119">
        <f>DADOS_AM!$GN$17</f>
        <v/>
      </c>
      <c r="H165" s="12" t="n"/>
      <c r="I165" s="115" t="n"/>
      <c r="J165" s="119" t="inlineStr">
        <is>
          <t>Projétil</t>
        </is>
      </c>
      <c r="K165" s="65">
        <f>DADOS_AM!$GO$18</f>
        <v/>
      </c>
      <c r="L165" s="65">
        <f>DADOS_AM!$GL$18</f>
        <v/>
      </c>
      <c r="M165" s="119">
        <f>DADOS_AM!$GN$18</f>
        <v/>
      </c>
      <c r="N165" s="12" t="n"/>
      <c r="O165" s="115" t="n"/>
      <c r="P165" s="119" t="inlineStr">
        <is>
          <t>Projétil</t>
        </is>
      </c>
      <c r="Q165" s="65">
        <f>DADOS_AM!$GO$19</f>
        <v/>
      </c>
      <c r="R165" s="65">
        <f>DADOS_AM!$GL$19</f>
        <v/>
      </c>
      <c r="S165" s="119">
        <f>DADOS_AM!$GN$19</f>
        <v/>
      </c>
      <c r="T165" s="12" t="n"/>
      <c r="U165" s="115" t="n"/>
    </row>
    <row r="166" hidden="1" outlineLevel="2">
      <c r="A166" s="8" t="n"/>
      <c r="B166" s="22" t="n"/>
      <c r="C166" s="115" t="n"/>
      <c r="D166" s="119">
        <f>DADOS_AM!$GM$17</f>
        <v/>
      </c>
      <c r="E166" s="126">
        <f>DADOS_AM!$GT$17</f>
        <v/>
      </c>
      <c r="F166" s="11" t="n"/>
      <c r="G166" s="11" t="n"/>
      <c r="H166" s="12" t="n"/>
      <c r="I166" s="115" t="n"/>
      <c r="J166" s="119">
        <f>DADOS_AM!$GM$18</f>
        <v/>
      </c>
      <c r="K166" s="126">
        <f>DADOS_AM!$GT$18</f>
        <v/>
      </c>
      <c r="L166" s="11" t="n"/>
      <c r="M166" s="11" t="n"/>
      <c r="N166" s="12" t="n"/>
      <c r="O166" s="115" t="n"/>
      <c r="P166" s="119">
        <f>DADOS_AM!$GM$19</f>
        <v/>
      </c>
      <c r="Q166" s="126">
        <f>DADOS_AM!$GT$19</f>
        <v/>
      </c>
      <c r="R166" s="11" t="n"/>
      <c r="S166" s="11" t="n"/>
      <c r="T166" s="12" t="n"/>
      <c r="U166" s="115" t="n"/>
    </row>
    <row r="167" hidden="1" outlineLevel="3">
      <c r="A167" s="8" t="n"/>
      <c r="B167" s="22" t="n"/>
      <c r="C167" s="115" t="n"/>
      <c r="D167" s="52" t="inlineStr">
        <is>
          <t>MELHORIAS</t>
        </is>
      </c>
      <c r="E167" s="127" t="n"/>
      <c r="F167" s="12" t="n"/>
      <c r="G167" s="126">
        <f>DADOS_AM!$GW$17</f>
        <v/>
      </c>
      <c r="H167" s="12" t="n"/>
      <c r="I167" s="115" t="n"/>
      <c r="J167" s="52" t="inlineStr">
        <is>
          <t>MELHORIAS</t>
        </is>
      </c>
      <c r="K167" s="127" t="n"/>
      <c r="L167" s="12" t="n"/>
      <c r="M167" s="126">
        <f>DADOS_AM!$GW$18</f>
        <v/>
      </c>
      <c r="N167" s="12" t="n"/>
      <c r="O167" s="115" t="n"/>
      <c r="P167" s="52" t="inlineStr">
        <is>
          <t>MELHORIAS</t>
        </is>
      </c>
      <c r="Q167" s="127" t="n"/>
      <c r="R167" s="12" t="n"/>
      <c r="S167" s="126">
        <f>DADOS_AM!$GW$19</f>
        <v/>
      </c>
      <c r="T167" s="12" t="n"/>
      <c r="U167" s="115" t="n"/>
    </row>
    <row r="168" hidden="1" outlineLevel="3">
      <c r="A168" s="8" t="n"/>
      <c r="B168" s="22" t="n"/>
      <c r="C168" s="115" t="n"/>
      <c r="D168" s="128" t="n"/>
      <c r="E168" s="127" t="n"/>
      <c r="F168" s="12" t="n"/>
      <c r="G168" s="126">
        <f>DADOS_AM!$GX$17</f>
        <v/>
      </c>
      <c r="H168" s="12" t="n"/>
      <c r="I168" s="115" t="n"/>
      <c r="J168" s="128" t="n"/>
      <c r="K168" s="127" t="n"/>
      <c r="L168" s="12" t="n"/>
      <c r="M168" s="126">
        <f>DADOS_AM!$GX$18</f>
        <v/>
      </c>
      <c r="N168" s="12" t="n"/>
      <c r="O168" s="115" t="n"/>
      <c r="P168" s="128" t="n"/>
      <c r="Q168" s="127" t="n"/>
      <c r="R168" s="12" t="n"/>
      <c r="S168" s="126">
        <f>DADOS_AM!$GX$19</f>
        <v/>
      </c>
      <c r="T168" s="12" t="n"/>
      <c r="U168" s="115" t="n"/>
    </row>
    <row r="169" hidden="1" outlineLevel="3">
      <c r="A169" s="8" t="n"/>
      <c r="B169" s="22" t="n"/>
      <c r="C169" s="115" t="n"/>
      <c r="D169" s="128" t="n"/>
      <c r="E169" s="127" t="n"/>
      <c r="F169" s="12" t="n"/>
      <c r="G169" s="126">
        <f>DADOS_AM!$GY$17</f>
        <v/>
      </c>
      <c r="H169" s="12" t="n"/>
      <c r="I169" s="115" t="n"/>
      <c r="J169" s="128" t="n"/>
      <c r="K169" s="127" t="n"/>
      <c r="L169" s="12" t="n"/>
      <c r="M169" s="126">
        <f>DADOS_AM!$GY$18</f>
        <v/>
      </c>
      <c r="N169" s="12" t="n"/>
      <c r="O169" s="115" t="n"/>
      <c r="P169" s="128" t="n"/>
      <c r="Q169" s="127" t="n"/>
      <c r="R169" s="12" t="n"/>
      <c r="S169" s="126">
        <f>DADOS_AM!$GY$19</f>
        <v/>
      </c>
      <c r="T169" s="12" t="n"/>
      <c r="U169" s="115" t="n"/>
    </row>
    <row r="170" hidden="1" outlineLevel="3">
      <c r="A170" s="8" t="n"/>
      <c r="B170" s="22" t="n"/>
      <c r="C170" s="115" t="n"/>
      <c r="D170" s="121" t="n"/>
      <c r="E170" s="127" t="n"/>
      <c r="F170" s="12" t="n"/>
      <c r="G170" s="126">
        <f>DADOS_AM!$GZ$17</f>
        <v/>
      </c>
      <c r="H170" s="12" t="n"/>
      <c r="I170" s="115" t="n"/>
      <c r="J170" s="121" t="n"/>
      <c r="K170" s="127" t="n"/>
      <c r="L170" s="12" t="n"/>
      <c r="M170" s="126">
        <f>DADOS_AM!$GZ$18</f>
        <v/>
      </c>
      <c r="N170" s="12" t="n"/>
      <c r="O170" s="115" t="n"/>
      <c r="P170" s="121" t="n"/>
      <c r="Q170" s="127" t="n"/>
      <c r="R170" s="12" t="n"/>
      <c r="S170" s="126">
        <f>DADOS_AM!$GZ$19</f>
        <v/>
      </c>
      <c r="T170" s="12" t="n"/>
      <c r="U170" s="115" t="n"/>
    </row>
    <row r="171" hidden="1" outlineLevel="3">
      <c r="A171" s="8" t="n"/>
      <c r="B171" s="22" t="n"/>
      <c r="C171" s="115" t="n"/>
      <c r="D171" s="52" t="inlineStr">
        <is>
          <t>RESTRIÇÕES</t>
        </is>
      </c>
      <c r="E171" s="127" t="n"/>
      <c r="F171" s="12" t="n"/>
      <c r="G171" s="126">
        <f>DADOS_AM!$HA$17</f>
        <v/>
      </c>
      <c r="H171" s="12" t="n"/>
      <c r="I171" s="115" t="n"/>
      <c r="J171" s="52" t="inlineStr">
        <is>
          <t>RESTRIÇÕES</t>
        </is>
      </c>
      <c r="K171" s="127" t="n"/>
      <c r="L171" s="12" t="n"/>
      <c r="M171" s="126">
        <f>DADOS_AM!$HA$18</f>
        <v/>
      </c>
      <c r="N171" s="12" t="n"/>
      <c r="O171" s="115" t="n"/>
      <c r="P171" s="52" t="inlineStr">
        <is>
          <t>RESTRIÇÕES</t>
        </is>
      </c>
      <c r="Q171" s="127" t="n"/>
      <c r="R171" s="12" t="n"/>
      <c r="S171" s="126">
        <f>DADOS_AM!$HA$19</f>
        <v/>
      </c>
      <c r="T171" s="12" t="n"/>
      <c r="U171" s="115" t="n"/>
    </row>
    <row r="172" hidden="1" outlineLevel="3">
      <c r="A172" s="8" t="n"/>
      <c r="B172" s="22" t="n"/>
      <c r="C172" s="115" t="n"/>
      <c r="D172" s="121" t="n"/>
      <c r="E172" s="127" t="n"/>
      <c r="F172" s="12" t="n"/>
      <c r="G172" s="126">
        <f>DADOS_AM!$HB$17</f>
        <v/>
      </c>
      <c r="H172" s="12" t="n"/>
      <c r="I172" s="115" t="n"/>
      <c r="J172" s="121" t="n"/>
      <c r="K172" s="127" t="n"/>
      <c r="L172" s="12" t="n"/>
      <c r="M172" s="126">
        <f>DADOS_AM!$HB$18</f>
        <v/>
      </c>
      <c r="N172" s="12" t="n"/>
      <c r="O172" s="115" t="n"/>
      <c r="P172" s="121" t="n"/>
      <c r="Q172" s="127" t="n"/>
      <c r="R172" s="12" t="n"/>
      <c r="S172" s="126">
        <f>DADOS_AM!$HB$19</f>
        <v/>
      </c>
      <c r="T172" s="12" t="n"/>
      <c r="U172" s="115" t="n"/>
    </row>
    <row r="173" hidden="1" outlineLevel="3">
      <c r="A173" s="8" t="n"/>
      <c r="B173" s="22" t="n"/>
      <c r="C173" s="115" t="n"/>
      <c r="D173" s="52" t="inlineStr">
        <is>
          <t>CONTA</t>
        </is>
      </c>
      <c r="E173" s="129">
        <f>DADOS_AM!$GU$17</f>
        <v/>
      </c>
      <c r="F173" s="11" t="n"/>
      <c r="G173" s="11" t="n"/>
      <c r="H173" s="12" t="n"/>
      <c r="I173" s="115" t="n"/>
      <c r="J173" s="52" t="inlineStr">
        <is>
          <t>CONTA</t>
        </is>
      </c>
      <c r="K173" s="129">
        <f>DADOS_AM!$GU$18</f>
        <v/>
      </c>
      <c r="L173" s="11" t="n"/>
      <c r="M173" s="11" t="n"/>
      <c r="N173" s="12" t="n"/>
      <c r="O173" s="115" t="n"/>
      <c r="P173" s="52" t="inlineStr">
        <is>
          <t>CONTA</t>
        </is>
      </c>
      <c r="Q173" s="129">
        <f>DADOS_AM!$GU$19</f>
        <v/>
      </c>
      <c r="R173" s="11" t="n"/>
      <c r="S173" s="11" t="n"/>
      <c r="T173" s="12" t="n"/>
      <c r="U173" s="115" t="n"/>
    </row>
    <row r="174" hidden="1" outlineLevel="3">
      <c r="A174" s="8" t="n"/>
      <c r="B174" s="22" t="n"/>
      <c r="C174" s="115" t="n"/>
      <c r="D174" s="52" t="inlineStr">
        <is>
          <t>AMPLIAR</t>
        </is>
      </c>
      <c r="E174" s="129">
        <f>DADOS_AM!$GV$17</f>
        <v/>
      </c>
      <c r="F174" s="14" t="n"/>
      <c r="G174" s="14" t="n"/>
      <c r="H174" s="15" t="n"/>
      <c r="I174" s="115" t="n"/>
      <c r="J174" s="52" t="inlineStr">
        <is>
          <t>AMPLIAR</t>
        </is>
      </c>
      <c r="K174" s="129">
        <f>DADOS_AM!$GV$18</f>
        <v/>
      </c>
      <c r="L174" s="14" t="n"/>
      <c r="M174" s="14" t="n"/>
      <c r="N174" s="15" t="n"/>
      <c r="O174" s="115" t="n"/>
      <c r="P174" s="52" t="inlineStr">
        <is>
          <t>AMPLIAR</t>
        </is>
      </c>
      <c r="Q174" s="129">
        <f>DADOS_AM!$GV$19</f>
        <v/>
      </c>
      <c r="R174" s="14" t="n"/>
      <c r="S174" s="14" t="n"/>
      <c r="T174" s="15" t="n"/>
      <c r="U174" s="115" t="n"/>
    </row>
    <row r="175" hidden="1" outlineLevel="3">
      <c r="A175" s="8" t="n"/>
      <c r="B175" s="22" t="n"/>
      <c r="C175" s="115" t="n"/>
      <c r="D175" s="121" t="n"/>
      <c r="E175" s="18" t="n"/>
      <c r="F175" s="19" t="n"/>
      <c r="G175" s="19" t="n"/>
      <c r="H175" s="20" t="n"/>
      <c r="I175" s="115" t="n"/>
      <c r="J175" s="121" t="n"/>
      <c r="K175" s="18" t="n"/>
      <c r="L175" s="19" t="n"/>
      <c r="M175" s="19" t="n"/>
      <c r="N175" s="20" t="n"/>
      <c r="O175" s="115" t="n"/>
      <c r="P175" s="121" t="n"/>
      <c r="Q175" s="18" t="n"/>
      <c r="R175" s="19" t="n"/>
      <c r="S175" s="19" t="n"/>
      <c r="T175" s="20" t="n"/>
      <c r="U175" s="115" t="n"/>
    </row>
    <row r="176" hidden="1" outlineLevel="3">
      <c r="A176" s="8" t="n"/>
      <c r="B176" s="22" t="n"/>
      <c r="C176" s="115" t="n"/>
      <c r="D176" s="52" t="inlineStr">
        <is>
          <t>AVISOS</t>
        </is>
      </c>
      <c r="E176" s="129">
        <f>DADOS_AM!$GK$17</f>
        <v/>
      </c>
      <c r="F176" s="14" t="n"/>
      <c r="G176" s="14" t="n"/>
      <c r="H176" s="15" t="n"/>
      <c r="I176" s="115" t="n"/>
      <c r="J176" s="52" t="inlineStr">
        <is>
          <t>AVISOS</t>
        </is>
      </c>
      <c r="K176" s="129">
        <f>DADOS_AM!$GK$18</f>
        <v/>
      </c>
      <c r="L176" s="14" t="n"/>
      <c r="M176" s="14" t="n"/>
      <c r="N176" s="15" t="n"/>
      <c r="O176" s="115" t="n"/>
      <c r="P176" s="52" t="inlineStr">
        <is>
          <t>AVISOS</t>
        </is>
      </c>
      <c r="Q176" s="129">
        <f>DADOS_AM!$GK$19</f>
        <v/>
      </c>
      <c r="R176" s="14" t="n"/>
      <c r="S176" s="14" t="n"/>
      <c r="T176" s="15" t="n"/>
      <c r="U176" s="115" t="n"/>
    </row>
    <row r="177" hidden="1" outlineLevel="3">
      <c r="A177" s="8" t="n"/>
      <c r="B177" s="22" t="n"/>
      <c r="C177" s="115" t="n"/>
      <c r="D177" s="121" t="n"/>
      <c r="E177" s="18" t="n"/>
      <c r="F177" s="19" t="n"/>
      <c r="G177" s="19" t="n"/>
      <c r="H177" s="20" t="n"/>
      <c r="I177" s="115" t="n"/>
      <c r="J177" s="121" t="n"/>
      <c r="K177" s="18" t="n"/>
      <c r="L177" s="19" t="n"/>
      <c r="M177" s="19" t="n"/>
      <c r="N177" s="20" t="n"/>
      <c r="O177" s="115" t="n"/>
      <c r="P177" s="121" t="n"/>
      <c r="Q177" s="18" t="n"/>
      <c r="R177" s="19" t="n"/>
      <c r="S177" s="19" t="n"/>
      <c r="T177" s="20" t="n"/>
      <c r="U177" s="115" t="n"/>
    </row>
    <row r="178" hidden="1" outlineLevel="2">
      <c r="A178" s="8" t="n"/>
      <c r="B178" s="22" t="n"/>
      <c r="C178" s="115" t="n"/>
      <c r="D178" s="115" t="n"/>
      <c r="E178" s="115" t="n"/>
      <c r="F178" s="115" t="n"/>
      <c r="G178" s="115" t="n"/>
      <c r="H178" s="115" t="n"/>
      <c r="I178" s="115" t="n"/>
      <c r="J178" s="115" t="n"/>
      <c r="K178" s="115" t="n"/>
      <c r="L178" s="115" t="n"/>
      <c r="M178" s="115" t="n"/>
      <c r="N178" s="115" t="n"/>
      <c r="O178" s="115" t="n"/>
      <c r="P178" s="115" t="n"/>
      <c r="Q178" s="115" t="n"/>
      <c r="R178" s="115" t="n"/>
      <c r="S178" s="115" t="n"/>
      <c r="T178" s="115" t="n"/>
      <c r="U178" s="115" t="n"/>
    </row>
    <row r="179" hidden="1" outlineLevel="2">
      <c r="A179" s="8" t="n"/>
      <c r="B179" s="22" t="n"/>
      <c r="C179" s="115" t="n"/>
      <c r="D179" s="123" t="n">
        <v>1</v>
      </c>
      <c r="E179" s="124" t="n"/>
      <c r="F179" s="12" t="n"/>
      <c r="G179" s="125">
        <f>DADOS_AM!$GJ$20</f>
        <v/>
      </c>
      <c r="H179" s="12" t="n"/>
      <c r="I179" s="115" t="n"/>
      <c r="J179" s="123" t="n">
        <v>1</v>
      </c>
      <c r="K179" s="124" t="n"/>
      <c r="L179" s="12" t="n"/>
      <c r="M179" s="125">
        <f>DADOS_AM!$GJ$21</f>
        <v/>
      </c>
      <c r="N179" s="12" t="n"/>
      <c r="O179" s="115" t="n"/>
      <c r="P179" s="123" t="n">
        <v>1</v>
      </c>
      <c r="Q179" s="124" t="n"/>
      <c r="R179" s="12" t="n"/>
      <c r="S179" s="125">
        <f>DADOS_AM!$GJ$22</f>
        <v/>
      </c>
      <c r="T179" s="12" t="n"/>
      <c r="U179" s="115" t="n"/>
    </row>
    <row r="180" hidden="1" outlineLevel="3">
      <c r="A180" s="8" t="n"/>
      <c r="B180" s="22" t="n"/>
      <c r="C180" s="115" t="n"/>
      <c r="D180" s="52" t="inlineStr">
        <is>
          <t>COMO É</t>
        </is>
      </c>
      <c r="E180" s="11" t="n"/>
      <c r="F180" s="11" t="n"/>
      <c r="G180" s="11" t="n"/>
      <c r="H180" s="12" t="n"/>
      <c r="I180" s="115" t="n"/>
      <c r="J180" s="52" t="inlineStr">
        <is>
          <t>COMO É</t>
        </is>
      </c>
      <c r="K180" s="11" t="n"/>
      <c r="L180" s="11" t="n"/>
      <c r="M180" s="11" t="n"/>
      <c r="N180" s="12" t="n"/>
      <c r="O180" s="115" t="n"/>
      <c r="P180" s="52" t="inlineStr">
        <is>
          <t>COMO É</t>
        </is>
      </c>
      <c r="Q180" s="11" t="n"/>
      <c r="R180" s="11" t="n"/>
      <c r="S180" s="11" t="n"/>
      <c r="T180" s="12" t="n"/>
      <c r="U180" s="115" t="n"/>
    </row>
    <row r="181" hidden="1" outlineLevel="3">
      <c r="A181" s="8" t="n"/>
      <c r="B181" s="22" t="n"/>
      <c r="C181" s="115" t="n"/>
      <c r="D181" s="120" t="n"/>
      <c r="E181" s="14" t="n"/>
      <c r="F181" s="14" t="n"/>
      <c r="G181" s="14" t="n"/>
      <c r="H181" s="15" t="n"/>
      <c r="I181" s="115" t="n"/>
      <c r="J181" s="120" t="n"/>
      <c r="K181" s="14" t="n"/>
      <c r="L181" s="14" t="n"/>
      <c r="M181" s="14" t="n"/>
      <c r="N181" s="15" t="n"/>
      <c r="O181" s="115" t="n"/>
      <c r="P181" s="120" t="n"/>
      <c r="Q181" s="14" t="n"/>
      <c r="R181" s="14" t="n"/>
      <c r="S181" s="14" t="n"/>
      <c r="T181" s="15" t="n"/>
      <c r="U181" s="115" t="n"/>
    </row>
    <row r="182" hidden="1" outlineLevel="3">
      <c r="A182" s="8" t="n"/>
      <c r="B182" s="22" t="n"/>
      <c r="C182" s="115" t="n"/>
      <c r="D182" s="16" t="n"/>
      <c r="H182" s="17" t="n"/>
      <c r="I182" s="115" t="n"/>
      <c r="J182" s="16" t="n"/>
      <c r="N182" s="17" t="n"/>
      <c r="O182" s="115" t="n"/>
      <c r="P182" s="16" t="n"/>
      <c r="T182" s="17" t="n"/>
      <c r="U182" s="115" t="n"/>
    </row>
    <row r="183" hidden="1" outlineLevel="3">
      <c r="A183" s="8" t="n"/>
      <c r="B183" s="22" t="n"/>
      <c r="C183" s="115" t="n"/>
      <c r="D183" s="16" t="n"/>
      <c r="H183" s="17" t="n"/>
      <c r="I183" s="115" t="n"/>
      <c r="J183" s="16" t="n"/>
      <c r="N183" s="17" t="n"/>
      <c r="O183" s="115" t="n"/>
      <c r="P183" s="16" t="n"/>
      <c r="T183" s="17" t="n"/>
      <c r="U183" s="115" t="n"/>
    </row>
    <row r="184" hidden="1" outlineLevel="3">
      <c r="A184" s="8" t="n"/>
      <c r="B184" s="22" t="n"/>
      <c r="C184" s="115" t="n"/>
      <c r="D184" s="16" t="n"/>
      <c r="H184" s="17" t="n"/>
      <c r="I184" s="115" t="n"/>
      <c r="J184" s="16" t="n"/>
      <c r="N184" s="17" t="n"/>
      <c r="O184" s="115" t="n"/>
      <c r="P184" s="16" t="n"/>
      <c r="T184" s="17" t="n"/>
      <c r="U184" s="115" t="n"/>
    </row>
    <row r="185" hidden="1" outlineLevel="3">
      <c r="A185" s="8" t="n"/>
      <c r="B185" s="22" t="n"/>
      <c r="C185" s="115" t="n"/>
      <c r="D185" s="18" t="n"/>
      <c r="E185" s="19" t="n"/>
      <c r="F185" s="19" t="n"/>
      <c r="G185" s="19" t="n"/>
      <c r="H185" s="20" t="n"/>
      <c r="I185" s="115" t="n"/>
      <c r="J185" s="18" t="n"/>
      <c r="K185" s="19" t="n"/>
      <c r="L185" s="19" t="n"/>
      <c r="M185" s="19" t="n"/>
      <c r="N185" s="20" t="n"/>
      <c r="O185" s="115" t="n"/>
      <c r="P185" s="18" t="n"/>
      <c r="Q185" s="19" t="n"/>
      <c r="R185" s="19" t="n"/>
      <c r="S185" s="19" t="n"/>
      <c r="T185" s="20" t="n"/>
      <c r="U185" s="115" t="n"/>
    </row>
    <row r="186" hidden="1" outlineLevel="2">
      <c r="A186" s="8" t="n"/>
      <c r="B186" s="22" t="n"/>
      <c r="C186" s="115" t="n"/>
      <c r="D186" s="119" t="inlineStr">
        <is>
          <t>Projétil</t>
        </is>
      </c>
      <c r="E186" s="65">
        <f>DADOS_AM!$GO$20</f>
        <v/>
      </c>
      <c r="F186" s="65">
        <f>DADOS_AM!$GL$20</f>
        <v/>
      </c>
      <c r="G186" s="119">
        <f>DADOS_AM!$GN$20</f>
        <v/>
      </c>
      <c r="H186" s="12" t="n"/>
      <c r="I186" s="115" t="n"/>
      <c r="J186" s="119" t="inlineStr">
        <is>
          <t>Projétil</t>
        </is>
      </c>
      <c r="K186" s="65">
        <f>DADOS_AM!$GO$21</f>
        <v/>
      </c>
      <c r="L186" s="65">
        <f>DADOS_AM!$GL$21</f>
        <v/>
      </c>
      <c r="M186" s="119">
        <f>DADOS_AM!$GN$21</f>
        <v/>
      </c>
      <c r="N186" s="12" t="n"/>
      <c r="O186" s="115" t="n"/>
      <c r="P186" s="119" t="inlineStr">
        <is>
          <t>Projétil</t>
        </is>
      </c>
      <c r="Q186" s="65">
        <f>DADOS_AM!$GO$22</f>
        <v/>
      </c>
      <c r="R186" s="65">
        <f>DADOS_AM!$GL$22</f>
        <v/>
      </c>
      <c r="S186" s="119">
        <f>DADOS_AM!$GN$22</f>
        <v/>
      </c>
      <c r="T186" s="12" t="n"/>
      <c r="U186" s="115" t="n"/>
    </row>
    <row r="187" hidden="1" outlineLevel="2">
      <c r="A187" s="8" t="n"/>
      <c r="B187" s="22" t="n"/>
      <c r="C187" s="115" t="n"/>
      <c r="D187" s="119">
        <f>DADOS_AM!$GM$20</f>
        <v/>
      </c>
      <c r="E187" s="126">
        <f>DADOS_AM!$GT$20</f>
        <v/>
      </c>
      <c r="F187" s="11" t="n"/>
      <c r="G187" s="11" t="n"/>
      <c r="H187" s="12" t="n"/>
      <c r="I187" s="115" t="n"/>
      <c r="J187" s="119">
        <f>DADOS_AM!$GM$21</f>
        <v/>
      </c>
      <c r="K187" s="126">
        <f>DADOS_AM!$GT$21</f>
        <v/>
      </c>
      <c r="L187" s="11" t="n"/>
      <c r="M187" s="11" t="n"/>
      <c r="N187" s="12" t="n"/>
      <c r="O187" s="115" t="n"/>
      <c r="P187" s="119">
        <f>DADOS_AM!$GM$22</f>
        <v/>
      </c>
      <c r="Q187" s="126">
        <f>DADOS_AM!$GT$22</f>
        <v/>
      </c>
      <c r="R187" s="11" t="n"/>
      <c r="S187" s="11" t="n"/>
      <c r="T187" s="12" t="n"/>
      <c r="U187" s="115" t="n"/>
    </row>
    <row r="188" hidden="1" outlineLevel="3">
      <c r="A188" s="8" t="n"/>
      <c r="B188" s="22" t="n"/>
      <c r="C188" s="115" t="n"/>
      <c r="D188" s="52" t="inlineStr">
        <is>
          <t>MELHORIAS</t>
        </is>
      </c>
      <c r="E188" s="127" t="n"/>
      <c r="F188" s="12" t="n"/>
      <c r="G188" s="126">
        <f>DADOS_AM!$GW$20</f>
        <v/>
      </c>
      <c r="H188" s="12" t="n"/>
      <c r="I188" s="115" t="n"/>
      <c r="J188" s="52" t="inlineStr">
        <is>
          <t>MELHORIAS</t>
        </is>
      </c>
      <c r="K188" s="127" t="n"/>
      <c r="L188" s="12" t="n"/>
      <c r="M188" s="126">
        <f>DADOS_AM!$GW$21</f>
        <v/>
      </c>
      <c r="N188" s="12" t="n"/>
      <c r="O188" s="115" t="n"/>
      <c r="P188" s="52" t="inlineStr">
        <is>
          <t>MELHORIAS</t>
        </is>
      </c>
      <c r="Q188" s="127" t="n"/>
      <c r="R188" s="12" t="n"/>
      <c r="S188" s="126">
        <f>DADOS_AM!$GW$22</f>
        <v/>
      </c>
      <c r="T188" s="12" t="n"/>
      <c r="U188" s="115" t="n"/>
    </row>
    <row r="189" hidden="1" outlineLevel="3">
      <c r="A189" s="8" t="n"/>
      <c r="B189" s="22" t="n"/>
      <c r="C189" s="115" t="n"/>
      <c r="D189" s="128" t="n"/>
      <c r="E189" s="127" t="n"/>
      <c r="F189" s="12" t="n"/>
      <c r="G189" s="126">
        <f>DADOS_AM!$GX$20</f>
        <v/>
      </c>
      <c r="H189" s="12" t="n"/>
      <c r="I189" s="115" t="n"/>
      <c r="J189" s="128" t="n"/>
      <c r="K189" s="127" t="n"/>
      <c r="L189" s="12" t="n"/>
      <c r="M189" s="126">
        <f>DADOS_AM!$GX$21</f>
        <v/>
      </c>
      <c r="N189" s="12" t="n"/>
      <c r="O189" s="115" t="n"/>
      <c r="P189" s="128" t="n"/>
      <c r="Q189" s="127" t="n"/>
      <c r="R189" s="12" t="n"/>
      <c r="S189" s="126">
        <f>DADOS_AM!$GX$22</f>
        <v/>
      </c>
      <c r="T189" s="12" t="n"/>
      <c r="U189" s="115" t="n"/>
    </row>
    <row r="190" hidden="1" outlineLevel="3">
      <c r="A190" s="8" t="n"/>
      <c r="B190" s="22" t="n"/>
      <c r="C190" s="115" t="n"/>
      <c r="D190" s="128" t="n"/>
      <c r="E190" s="127" t="n"/>
      <c r="F190" s="12" t="n"/>
      <c r="G190" s="126">
        <f>DADOS_AM!$GY$20</f>
        <v/>
      </c>
      <c r="H190" s="12" t="n"/>
      <c r="I190" s="115" t="n"/>
      <c r="J190" s="128" t="n"/>
      <c r="K190" s="127" t="n"/>
      <c r="L190" s="12" t="n"/>
      <c r="M190" s="126">
        <f>DADOS_AM!$GY$21</f>
        <v/>
      </c>
      <c r="N190" s="12" t="n"/>
      <c r="O190" s="115" t="n"/>
      <c r="P190" s="128" t="n"/>
      <c r="Q190" s="127" t="n"/>
      <c r="R190" s="12" t="n"/>
      <c r="S190" s="126">
        <f>DADOS_AM!$GY$22</f>
        <v/>
      </c>
      <c r="T190" s="12" t="n"/>
      <c r="U190" s="115" t="n"/>
    </row>
    <row r="191" hidden="1" outlineLevel="3">
      <c r="A191" s="8" t="n"/>
      <c r="B191" s="22" t="n"/>
      <c r="C191" s="115" t="n"/>
      <c r="D191" s="121" t="n"/>
      <c r="E191" s="127" t="n"/>
      <c r="F191" s="12" t="n"/>
      <c r="G191" s="126">
        <f>DADOS_AM!$GZ$20</f>
        <v/>
      </c>
      <c r="H191" s="12" t="n"/>
      <c r="I191" s="115" t="n"/>
      <c r="J191" s="121" t="n"/>
      <c r="K191" s="127" t="n"/>
      <c r="L191" s="12" t="n"/>
      <c r="M191" s="126">
        <f>DADOS_AM!$GZ$21</f>
        <v/>
      </c>
      <c r="N191" s="12" t="n"/>
      <c r="O191" s="115" t="n"/>
      <c r="P191" s="121" t="n"/>
      <c r="Q191" s="127" t="n"/>
      <c r="R191" s="12" t="n"/>
      <c r="S191" s="126">
        <f>DADOS_AM!$GZ$22</f>
        <v/>
      </c>
      <c r="T191" s="12" t="n"/>
      <c r="U191" s="115" t="n"/>
    </row>
    <row r="192" hidden="1" outlineLevel="3">
      <c r="A192" s="8" t="n"/>
      <c r="B192" s="22" t="n"/>
      <c r="C192" s="115" t="n"/>
      <c r="D192" s="52" t="inlineStr">
        <is>
          <t>RESTRIÇÕES</t>
        </is>
      </c>
      <c r="E192" s="127" t="n"/>
      <c r="F192" s="12" t="n"/>
      <c r="G192" s="126">
        <f>DADOS_AM!$HA$20</f>
        <v/>
      </c>
      <c r="H192" s="12" t="n"/>
      <c r="I192" s="115" t="n"/>
      <c r="J192" s="52" t="inlineStr">
        <is>
          <t>RESTRIÇÕES</t>
        </is>
      </c>
      <c r="K192" s="127" t="n"/>
      <c r="L192" s="12" t="n"/>
      <c r="M192" s="126">
        <f>DADOS_AM!$HA$21</f>
        <v/>
      </c>
      <c r="N192" s="12" t="n"/>
      <c r="O192" s="115" t="n"/>
      <c r="P192" s="52" t="inlineStr">
        <is>
          <t>RESTRIÇÕES</t>
        </is>
      </c>
      <c r="Q192" s="127" t="n"/>
      <c r="R192" s="12" t="n"/>
      <c r="S192" s="126">
        <f>DADOS_AM!$HA$22</f>
        <v/>
      </c>
      <c r="T192" s="12" t="n"/>
      <c r="U192" s="115" t="n"/>
    </row>
    <row r="193" hidden="1" outlineLevel="3">
      <c r="A193" s="8" t="n"/>
      <c r="B193" s="22" t="n"/>
      <c r="C193" s="115" t="n"/>
      <c r="D193" s="121" t="n"/>
      <c r="E193" s="127" t="n"/>
      <c r="F193" s="12" t="n"/>
      <c r="G193" s="126">
        <f>DADOS_AM!$HB$20</f>
        <v/>
      </c>
      <c r="H193" s="12" t="n"/>
      <c r="I193" s="115" t="n"/>
      <c r="J193" s="121" t="n"/>
      <c r="K193" s="127" t="n"/>
      <c r="L193" s="12" t="n"/>
      <c r="M193" s="126">
        <f>DADOS_AM!$HB$21</f>
        <v/>
      </c>
      <c r="N193" s="12" t="n"/>
      <c r="O193" s="115" t="n"/>
      <c r="P193" s="121" t="n"/>
      <c r="Q193" s="127" t="n"/>
      <c r="R193" s="12" t="n"/>
      <c r="S193" s="126">
        <f>DADOS_AM!$HB$22</f>
        <v/>
      </c>
      <c r="T193" s="12" t="n"/>
      <c r="U193" s="115" t="n"/>
    </row>
    <row r="194" hidden="1" outlineLevel="3">
      <c r="A194" s="8" t="n"/>
      <c r="B194" s="22" t="n"/>
      <c r="C194" s="115" t="n"/>
      <c r="D194" s="52" t="inlineStr">
        <is>
          <t>CONTA</t>
        </is>
      </c>
      <c r="E194" s="129">
        <f>DADOS_AM!$GU$20</f>
        <v/>
      </c>
      <c r="F194" s="11" t="n"/>
      <c r="G194" s="11" t="n"/>
      <c r="H194" s="12" t="n"/>
      <c r="I194" s="115" t="n"/>
      <c r="J194" s="52" t="inlineStr">
        <is>
          <t>CONTA</t>
        </is>
      </c>
      <c r="K194" s="129">
        <f>DADOS_AM!$GU$21</f>
        <v/>
      </c>
      <c r="L194" s="11" t="n"/>
      <c r="M194" s="11" t="n"/>
      <c r="N194" s="12" t="n"/>
      <c r="O194" s="115" t="n"/>
      <c r="P194" s="52" t="inlineStr">
        <is>
          <t>CONTA</t>
        </is>
      </c>
      <c r="Q194" s="129">
        <f>DADOS_AM!$GU$22</f>
        <v/>
      </c>
      <c r="R194" s="11" t="n"/>
      <c r="S194" s="11" t="n"/>
      <c r="T194" s="12" t="n"/>
      <c r="U194" s="115" t="n"/>
    </row>
    <row r="195" hidden="1" outlineLevel="3">
      <c r="A195" s="8" t="n"/>
      <c r="B195" s="22" t="n"/>
      <c r="C195" s="115" t="n"/>
      <c r="D195" s="52" t="inlineStr">
        <is>
          <t>AMPLIAR</t>
        </is>
      </c>
      <c r="E195" s="129">
        <f>DADOS_AM!$GV$20</f>
        <v/>
      </c>
      <c r="F195" s="14" t="n"/>
      <c r="G195" s="14" t="n"/>
      <c r="H195" s="15" t="n"/>
      <c r="I195" s="115" t="n"/>
      <c r="J195" s="52" t="inlineStr">
        <is>
          <t>AMPLIAR</t>
        </is>
      </c>
      <c r="K195" s="129">
        <f>DADOS_AM!$GV$21</f>
        <v/>
      </c>
      <c r="L195" s="14" t="n"/>
      <c r="M195" s="14" t="n"/>
      <c r="N195" s="15" t="n"/>
      <c r="O195" s="115" t="n"/>
      <c r="P195" s="52" t="inlineStr">
        <is>
          <t>AMPLIAR</t>
        </is>
      </c>
      <c r="Q195" s="129">
        <f>DADOS_AM!$GV$22</f>
        <v/>
      </c>
      <c r="R195" s="14" t="n"/>
      <c r="S195" s="14" t="n"/>
      <c r="T195" s="15" t="n"/>
      <c r="U195" s="115" t="n"/>
    </row>
    <row r="196" hidden="1" outlineLevel="3">
      <c r="A196" s="8" t="n"/>
      <c r="B196" s="22" t="n"/>
      <c r="C196" s="115" t="n"/>
      <c r="D196" s="121" t="n"/>
      <c r="E196" s="18" t="n"/>
      <c r="F196" s="19" t="n"/>
      <c r="G196" s="19" t="n"/>
      <c r="H196" s="20" t="n"/>
      <c r="I196" s="115" t="n"/>
      <c r="J196" s="121" t="n"/>
      <c r="K196" s="18" t="n"/>
      <c r="L196" s="19" t="n"/>
      <c r="M196" s="19" t="n"/>
      <c r="N196" s="20" t="n"/>
      <c r="O196" s="115" t="n"/>
      <c r="P196" s="121" t="n"/>
      <c r="Q196" s="18" t="n"/>
      <c r="R196" s="19" t="n"/>
      <c r="S196" s="19" t="n"/>
      <c r="T196" s="20" t="n"/>
      <c r="U196" s="115" t="n"/>
    </row>
    <row r="197" hidden="1" outlineLevel="3">
      <c r="A197" s="8" t="n"/>
      <c r="B197" s="22" t="n"/>
      <c r="C197" s="115" t="n"/>
      <c r="D197" s="52" t="inlineStr">
        <is>
          <t>AVISOS</t>
        </is>
      </c>
      <c r="E197" s="129">
        <f>DADOS_AM!$GK$20</f>
        <v/>
      </c>
      <c r="F197" s="14" t="n"/>
      <c r="G197" s="14" t="n"/>
      <c r="H197" s="15" t="n"/>
      <c r="I197" s="115" t="n"/>
      <c r="J197" s="52" t="inlineStr">
        <is>
          <t>AVISOS</t>
        </is>
      </c>
      <c r="K197" s="129">
        <f>DADOS_AM!$GK$21</f>
        <v/>
      </c>
      <c r="L197" s="14" t="n"/>
      <c r="M197" s="14" t="n"/>
      <c r="N197" s="15" t="n"/>
      <c r="O197" s="115" t="n"/>
      <c r="P197" s="52" t="inlineStr">
        <is>
          <t>AVISOS</t>
        </is>
      </c>
      <c r="Q197" s="129">
        <f>DADOS_AM!$GK$22</f>
        <v/>
      </c>
      <c r="R197" s="14" t="n"/>
      <c r="S197" s="14" t="n"/>
      <c r="T197" s="15" t="n"/>
      <c r="U197" s="115" t="n"/>
    </row>
    <row r="198" hidden="1" outlineLevel="3">
      <c r="A198" s="8" t="n"/>
      <c r="B198" s="22" t="n"/>
      <c r="C198" s="115" t="n"/>
      <c r="D198" s="121" t="n"/>
      <c r="E198" s="18" t="n"/>
      <c r="F198" s="19" t="n"/>
      <c r="G198" s="19" t="n"/>
      <c r="H198" s="20" t="n"/>
      <c r="I198" s="115" t="n"/>
      <c r="J198" s="121" t="n"/>
      <c r="K198" s="18" t="n"/>
      <c r="L198" s="19" t="n"/>
      <c r="M198" s="19" t="n"/>
      <c r="N198" s="20" t="n"/>
      <c r="O198" s="115" t="n"/>
      <c r="P198" s="121" t="n"/>
      <c r="Q198" s="18" t="n"/>
      <c r="R198" s="19" t="n"/>
      <c r="S198" s="19" t="n"/>
      <c r="T198" s="20" t="n"/>
      <c r="U198" s="115" t="n"/>
    </row>
    <row r="199" hidden="1" outlineLevel="2">
      <c r="A199" s="8" t="n"/>
      <c r="B199" s="22" t="n"/>
      <c r="C199" s="115" t="n"/>
      <c r="D199" s="115" t="n"/>
      <c r="E199" s="115" t="n"/>
      <c r="F199" s="115" t="n"/>
      <c r="G199" s="115" t="n"/>
      <c r="H199" s="115" t="n"/>
      <c r="I199" s="115" t="n"/>
      <c r="J199" s="115" t="n"/>
      <c r="K199" s="115" t="n"/>
      <c r="L199" s="115" t="n"/>
      <c r="M199" s="115" t="n"/>
      <c r="N199" s="115" t="n"/>
      <c r="O199" s="115" t="n"/>
      <c r="P199" s="115" t="n"/>
      <c r="Q199" s="115" t="n"/>
      <c r="R199" s="115" t="n"/>
      <c r="S199" s="115" t="n"/>
      <c r="T199" s="115" t="n"/>
      <c r="U199" s="115" t="n"/>
    </row>
    <row r="200" hidden="1" outlineLevel="2">
      <c r="A200" s="8" t="n"/>
      <c r="B200" s="22" t="n"/>
      <c r="C200" s="115" t="n"/>
      <c r="D200" s="123" t="n">
        <v>1</v>
      </c>
      <c r="E200" s="124" t="n"/>
      <c r="F200" s="12" t="n"/>
      <c r="G200" s="125">
        <f>DADOS_AM!$GJ$23</f>
        <v/>
      </c>
      <c r="H200" s="12" t="n"/>
      <c r="I200" s="115" t="n"/>
      <c r="J200" s="123" t="n">
        <v>1</v>
      </c>
      <c r="K200" s="124" t="n"/>
      <c r="L200" s="12" t="n"/>
      <c r="M200" s="125">
        <f>DADOS_AM!$GJ$24</f>
        <v/>
      </c>
      <c r="N200" s="12" t="n"/>
      <c r="O200" s="115" t="n"/>
      <c r="P200" s="123" t="n">
        <v>1</v>
      </c>
      <c r="Q200" s="124" t="n"/>
      <c r="R200" s="12" t="n"/>
      <c r="S200" s="125">
        <f>DADOS_AM!$GJ$25</f>
        <v/>
      </c>
      <c r="T200" s="12" t="n"/>
      <c r="U200" s="115" t="n"/>
    </row>
    <row r="201" hidden="1" outlineLevel="3">
      <c r="A201" s="8" t="n"/>
      <c r="B201" s="22" t="n"/>
      <c r="C201" s="115" t="n"/>
      <c r="D201" s="52" t="inlineStr">
        <is>
          <t>COMO É</t>
        </is>
      </c>
      <c r="E201" s="11" t="n"/>
      <c r="F201" s="11" t="n"/>
      <c r="G201" s="11" t="n"/>
      <c r="H201" s="12" t="n"/>
      <c r="I201" s="115" t="n"/>
      <c r="J201" s="52" t="inlineStr">
        <is>
          <t>COMO É</t>
        </is>
      </c>
      <c r="K201" s="11" t="n"/>
      <c r="L201" s="11" t="n"/>
      <c r="M201" s="11" t="n"/>
      <c r="N201" s="12" t="n"/>
      <c r="O201" s="115" t="n"/>
      <c r="P201" s="52" t="inlineStr">
        <is>
          <t>COMO É</t>
        </is>
      </c>
      <c r="Q201" s="11" t="n"/>
      <c r="R201" s="11" t="n"/>
      <c r="S201" s="11" t="n"/>
      <c r="T201" s="12" t="n"/>
      <c r="U201" s="115" t="n"/>
    </row>
    <row r="202" hidden="1" outlineLevel="3">
      <c r="A202" s="8" t="n"/>
      <c r="B202" s="22" t="n"/>
      <c r="C202" s="115" t="n"/>
      <c r="D202" s="120" t="n"/>
      <c r="E202" s="14" t="n"/>
      <c r="F202" s="14" t="n"/>
      <c r="G202" s="14" t="n"/>
      <c r="H202" s="15" t="n"/>
      <c r="I202" s="115" t="n"/>
      <c r="J202" s="120" t="n"/>
      <c r="K202" s="14" t="n"/>
      <c r="L202" s="14" t="n"/>
      <c r="M202" s="14" t="n"/>
      <c r="N202" s="15" t="n"/>
      <c r="O202" s="115" t="n"/>
      <c r="P202" s="120" t="n"/>
      <c r="Q202" s="14" t="n"/>
      <c r="R202" s="14" t="n"/>
      <c r="S202" s="14" t="n"/>
      <c r="T202" s="15" t="n"/>
      <c r="U202" s="115" t="n"/>
    </row>
    <row r="203" hidden="1" outlineLevel="3">
      <c r="A203" s="8" t="n"/>
      <c r="B203" s="22" t="n"/>
      <c r="C203" s="115" t="n"/>
      <c r="D203" s="16" t="n"/>
      <c r="H203" s="17" t="n"/>
      <c r="I203" s="115" t="n"/>
      <c r="J203" s="16" t="n"/>
      <c r="N203" s="17" t="n"/>
      <c r="O203" s="115" t="n"/>
      <c r="P203" s="16" t="n"/>
      <c r="T203" s="17" t="n"/>
      <c r="U203" s="115" t="n"/>
    </row>
    <row r="204" hidden="1" outlineLevel="3">
      <c r="A204" s="8" t="n"/>
      <c r="B204" s="22" t="n"/>
      <c r="C204" s="115" t="n"/>
      <c r="D204" s="16" t="n"/>
      <c r="H204" s="17" t="n"/>
      <c r="I204" s="115" t="n"/>
      <c r="J204" s="16" t="n"/>
      <c r="N204" s="17" t="n"/>
      <c r="O204" s="115" t="n"/>
      <c r="P204" s="16" t="n"/>
      <c r="T204" s="17" t="n"/>
      <c r="U204" s="115" t="n"/>
    </row>
    <row r="205" hidden="1" outlineLevel="3">
      <c r="A205" s="8" t="n"/>
      <c r="B205" s="22" t="n"/>
      <c r="C205" s="115" t="n"/>
      <c r="D205" s="16" t="n"/>
      <c r="H205" s="17" t="n"/>
      <c r="I205" s="115" t="n"/>
      <c r="J205" s="16" t="n"/>
      <c r="N205" s="17" t="n"/>
      <c r="O205" s="115" t="n"/>
      <c r="P205" s="16" t="n"/>
      <c r="T205" s="17" t="n"/>
      <c r="U205" s="115" t="n"/>
    </row>
    <row r="206" hidden="1" outlineLevel="3">
      <c r="A206" s="8" t="n"/>
      <c r="B206" s="22" t="n"/>
      <c r="C206" s="115" t="n"/>
      <c r="D206" s="18" t="n"/>
      <c r="E206" s="19" t="n"/>
      <c r="F206" s="19" t="n"/>
      <c r="G206" s="19" t="n"/>
      <c r="H206" s="20" t="n"/>
      <c r="I206" s="115" t="n"/>
      <c r="J206" s="18" t="n"/>
      <c r="K206" s="19" t="n"/>
      <c r="L206" s="19" t="n"/>
      <c r="M206" s="19" t="n"/>
      <c r="N206" s="20" t="n"/>
      <c r="O206" s="115" t="n"/>
      <c r="P206" s="18" t="n"/>
      <c r="Q206" s="19" t="n"/>
      <c r="R206" s="19" t="n"/>
      <c r="S206" s="19" t="n"/>
      <c r="T206" s="20" t="n"/>
      <c r="U206" s="115" t="n"/>
    </row>
    <row r="207" hidden="1" outlineLevel="2">
      <c r="A207" s="8" t="n"/>
      <c r="B207" s="22" t="n"/>
      <c r="C207" s="115" t="n"/>
      <c r="D207" s="119" t="inlineStr">
        <is>
          <t>Projétil</t>
        </is>
      </c>
      <c r="E207" s="65">
        <f>DADOS_AM!$GO$23</f>
        <v/>
      </c>
      <c r="F207" s="65">
        <f>DADOS_AM!$GL$23</f>
        <v/>
      </c>
      <c r="G207" s="119">
        <f>DADOS_AM!$GN$23</f>
        <v/>
      </c>
      <c r="H207" s="12" t="n"/>
      <c r="I207" s="115" t="n"/>
      <c r="J207" s="119" t="inlineStr">
        <is>
          <t>Projétil</t>
        </is>
      </c>
      <c r="K207" s="65">
        <f>DADOS_AM!$GO$24</f>
        <v/>
      </c>
      <c r="L207" s="65">
        <f>DADOS_AM!$GL$24</f>
        <v/>
      </c>
      <c r="M207" s="119">
        <f>DADOS_AM!$GN$24</f>
        <v/>
      </c>
      <c r="N207" s="12" t="n"/>
      <c r="O207" s="115" t="n"/>
      <c r="P207" s="119" t="inlineStr">
        <is>
          <t>Projétil</t>
        </is>
      </c>
      <c r="Q207" s="65">
        <f>DADOS_AM!$GO$25</f>
        <v/>
      </c>
      <c r="R207" s="65">
        <f>DADOS_AM!$GL$25</f>
        <v/>
      </c>
      <c r="S207" s="119">
        <f>DADOS_AM!$GN$25</f>
        <v/>
      </c>
      <c r="T207" s="12" t="n"/>
      <c r="U207" s="115" t="n"/>
    </row>
    <row r="208" hidden="1" outlineLevel="2">
      <c r="A208" s="8" t="n"/>
      <c r="B208" s="22" t="n"/>
      <c r="C208" s="115" t="n"/>
      <c r="D208" s="119">
        <f>DADOS_AM!$GM$23</f>
        <v/>
      </c>
      <c r="E208" s="126">
        <f>DADOS_AM!$GT$23</f>
        <v/>
      </c>
      <c r="F208" s="11" t="n"/>
      <c r="G208" s="11" t="n"/>
      <c r="H208" s="12" t="n"/>
      <c r="I208" s="115" t="n"/>
      <c r="J208" s="119">
        <f>DADOS_AM!$GM$24</f>
        <v/>
      </c>
      <c r="K208" s="126">
        <f>DADOS_AM!$GT$24</f>
        <v/>
      </c>
      <c r="L208" s="11" t="n"/>
      <c r="M208" s="11" t="n"/>
      <c r="N208" s="12" t="n"/>
      <c r="O208" s="115" t="n"/>
      <c r="P208" s="119">
        <f>DADOS_AM!$GM$25</f>
        <v/>
      </c>
      <c r="Q208" s="126">
        <f>DADOS_AM!$GT$25</f>
        <v/>
      </c>
      <c r="R208" s="11" t="n"/>
      <c r="S208" s="11" t="n"/>
      <c r="T208" s="12" t="n"/>
      <c r="U208" s="115" t="n"/>
    </row>
    <row r="209" hidden="1" outlineLevel="3">
      <c r="A209" s="8" t="n"/>
      <c r="B209" s="22" t="n"/>
      <c r="C209" s="115" t="n"/>
      <c r="D209" s="52" t="inlineStr">
        <is>
          <t>MELHORIAS</t>
        </is>
      </c>
      <c r="E209" s="127" t="n"/>
      <c r="F209" s="12" t="n"/>
      <c r="G209" s="126">
        <f>DADOS_AM!$GW$23</f>
        <v/>
      </c>
      <c r="H209" s="12" t="n"/>
      <c r="I209" s="115" t="n"/>
      <c r="J209" s="52" t="inlineStr">
        <is>
          <t>MELHORIAS</t>
        </is>
      </c>
      <c r="K209" s="127" t="n"/>
      <c r="L209" s="12" t="n"/>
      <c r="M209" s="126">
        <f>DADOS_AM!$GW$24</f>
        <v/>
      </c>
      <c r="N209" s="12" t="n"/>
      <c r="O209" s="115" t="n"/>
      <c r="P209" s="52" t="inlineStr">
        <is>
          <t>MELHORIAS</t>
        </is>
      </c>
      <c r="Q209" s="127" t="n"/>
      <c r="R209" s="12" t="n"/>
      <c r="S209" s="126">
        <f>DADOS_AM!$GW$25</f>
        <v/>
      </c>
      <c r="T209" s="12" t="n"/>
      <c r="U209" s="115" t="n"/>
    </row>
    <row r="210" hidden="1" outlineLevel="3">
      <c r="A210" s="8" t="n"/>
      <c r="B210" s="22" t="n"/>
      <c r="C210" s="115" t="n"/>
      <c r="D210" s="128" t="n"/>
      <c r="E210" s="127" t="n"/>
      <c r="F210" s="12" t="n"/>
      <c r="G210" s="126">
        <f>DADOS_AM!$GX$23</f>
        <v/>
      </c>
      <c r="H210" s="12" t="n"/>
      <c r="I210" s="115" t="n"/>
      <c r="J210" s="128" t="n"/>
      <c r="K210" s="127" t="n"/>
      <c r="L210" s="12" t="n"/>
      <c r="M210" s="126">
        <f>DADOS_AM!$GX$24</f>
        <v/>
      </c>
      <c r="N210" s="12" t="n"/>
      <c r="O210" s="115" t="n"/>
      <c r="P210" s="128" t="n"/>
      <c r="Q210" s="127" t="n"/>
      <c r="R210" s="12" t="n"/>
      <c r="S210" s="126">
        <f>DADOS_AM!$GX$25</f>
        <v/>
      </c>
      <c r="T210" s="12" t="n"/>
      <c r="U210" s="115" t="n"/>
    </row>
    <row r="211" hidden="1" outlineLevel="3">
      <c r="A211" s="8" t="n"/>
      <c r="B211" s="22" t="n"/>
      <c r="C211" s="115" t="n"/>
      <c r="D211" s="128" t="n"/>
      <c r="E211" s="127" t="n"/>
      <c r="F211" s="12" t="n"/>
      <c r="G211" s="126">
        <f>DADOS_AM!$GY$23</f>
        <v/>
      </c>
      <c r="H211" s="12" t="n"/>
      <c r="I211" s="115" t="n"/>
      <c r="J211" s="128" t="n"/>
      <c r="K211" s="127" t="n"/>
      <c r="L211" s="12" t="n"/>
      <c r="M211" s="126">
        <f>DADOS_AM!$GY$24</f>
        <v/>
      </c>
      <c r="N211" s="12" t="n"/>
      <c r="O211" s="115" t="n"/>
      <c r="P211" s="128" t="n"/>
      <c r="Q211" s="127" t="n"/>
      <c r="R211" s="12" t="n"/>
      <c r="S211" s="126">
        <f>DADOS_AM!$GY$25</f>
        <v/>
      </c>
      <c r="T211" s="12" t="n"/>
      <c r="U211" s="115" t="n"/>
    </row>
    <row r="212" hidden="1" outlineLevel="3">
      <c r="A212" s="8" t="n"/>
      <c r="B212" s="22" t="n"/>
      <c r="C212" s="115" t="n"/>
      <c r="D212" s="121" t="n"/>
      <c r="E212" s="127" t="n"/>
      <c r="F212" s="12" t="n"/>
      <c r="G212" s="126">
        <f>DADOS_AM!$GZ$23</f>
        <v/>
      </c>
      <c r="H212" s="12" t="n"/>
      <c r="I212" s="115" t="n"/>
      <c r="J212" s="121" t="n"/>
      <c r="K212" s="127" t="n"/>
      <c r="L212" s="12" t="n"/>
      <c r="M212" s="126">
        <f>DADOS_AM!$GZ$24</f>
        <v/>
      </c>
      <c r="N212" s="12" t="n"/>
      <c r="O212" s="115" t="n"/>
      <c r="P212" s="121" t="n"/>
      <c r="Q212" s="127" t="n"/>
      <c r="R212" s="12" t="n"/>
      <c r="S212" s="126">
        <f>DADOS_AM!$GZ$25</f>
        <v/>
      </c>
      <c r="T212" s="12" t="n"/>
      <c r="U212" s="115" t="n"/>
    </row>
    <row r="213" hidden="1" outlineLevel="3">
      <c r="A213" s="8" t="n"/>
      <c r="B213" s="22" t="n"/>
      <c r="C213" s="115" t="n"/>
      <c r="D213" s="52" t="inlineStr">
        <is>
          <t>RESTRIÇÕES</t>
        </is>
      </c>
      <c r="E213" s="127" t="n"/>
      <c r="F213" s="12" t="n"/>
      <c r="G213" s="126">
        <f>DADOS_AM!$HA$23</f>
        <v/>
      </c>
      <c r="H213" s="12" t="n"/>
      <c r="I213" s="115" t="n"/>
      <c r="J213" s="52" t="inlineStr">
        <is>
          <t>RESTRIÇÕES</t>
        </is>
      </c>
      <c r="K213" s="127" t="n"/>
      <c r="L213" s="12" t="n"/>
      <c r="M213" s="126">
        <f>DADOS_AM!$HA$24</f>
        <v/>
      </c>
      <c r="N213" s="12" t="n"/>
      <c r="O213" s="115" t="n"/>
      <c r="P213" s="52" t="inlineStr">
        <is>
          <t>RESTRIÇÕES</t>
        </is>
      </c>
      <c r="Q213" s="127" t="n"/>
      <c r="R213" s="12" t="n"/>
      <c r="S213" s="126">
        <f>DADOS_AM!$HA$25</f>
        <v/>
      </c>
      <c r="T213" s="12" t="n"/>
      <c r="U213" s="115" t="n"/>
    </row>
    <row r="214" hidden="1" outlineLevel="3">
      <c r="A214" s="8" t="n"/>
      <c r="B214" s="22" t="n"/>
      <c r="C214" s="115" t="n"/>
      <c r="D214" s="121" t="n"/>
      <c r="E214" s="127" t="n"/>
      <c r="F214" s="12" t="n"/>
      <c r="G214" s="126">
        <f>DADOS_AM!$HB$23</f>
        <v/>
      </c>
      <c r="H214" s="12" t="n"/>
      <c r="I214" s="115" t="n"/>
      <c r="J214" s="121" t="n"/>
      <c r="K214" s="127" t="n"/>
      <c r="L214" s="12" t="n"/>
      <c r="M214" s="126">
        <f>DADOS_AM!$HB$24</f>
        <v/>
      </c>
      <c r="N214" s="12" t="n"/>
      <c r="O214" s="115" t="n"/>
      <c r="P214" s="121" t="n"/>
      <c r="Q214" s="127" t="n"/>
      <c r="R214" s="12" t="n"/>
      <c r="S214" s="126">
        <f>DADOS_AM!$HB$25</f>
        <v/>
      </c>
      <c r="T214" s="12" t="n"/>
      <c r="U214" s="115" t="n"/>
    </row>
    <row r="215" hidden="1" outlineLevel="3">
      <c r="A215" s="8" t="n"/>
      <c r="B215" s="22" t="n"/>
      <c r="C215" s="115" t="n"/>
      <c r="D215" s="52" t="inlineStr">
        <is>
          <t>CONTA</t>
        </is>
      </c>
      <c r="E215" s="129">
        <f>DADOS_AM!$GU$23</f>
        <v/>
      </c>
      <c r="F215" s="11" t="n"/>
      <c r="G215" s="11" t="n"/>
      <c r="H215" s="12" t="n"/>
      <c r="I215" s="115" t="n"/>
      <c r="J215" s="52" t="inlineStr">
        <is>
          <t>CONTA</t>
        </is>
      </c>
      <c r="K215" s="129">
        <f>DADOS_AM!$GU$24</f>
        <v/>
      </c>
      <c r="L215" s="11" t="n"/>
      <c r="M215" s="11" t="n"/>
      <c r="N215" s="12" t="n"/>
      <c r="O215" s="115" t="n"/>
      <c r="P215" s="52" t="inlineStr">
        <is>
          <t>CONTA</t>
        </is>
      </c>
      <c r="Q215" s="129">
        <f>DADOS_AM!$GU$25</f>
        <v/>
      </c>
      <c r="R215" s="11" t="n"/>
      <c r="S215" s="11" t="n"/>
      <c r="T215" s="12" t="n"/>
      <c r="U215" s="115" t="n"/>
    </row>
    <row r="216" hidden="1" outlineLevel="3">
      <c r="A216" s="8" t="n"/>
      <c r="B216" s="22" t="n"/>
      <c r="C216" s="115" t="n"/>
      <c r="D216" s="52" t="inlineStr">
        <is>
          <t>AMPLIAR</t>
        </is>
      </c>
      <c r="E216" s="129">
        <f>DADOS_AM!$GV$23</f>
        <v/>
      </c>
      <c r="F216" s="14" t="n"/>
      <c r="G216" s="14" t="n"/>
      <c r="H216" s="15" t="n"/>
      <c r="I216" s="115" t="n"/>
      <c r="J216" s="52" t="inlineStr">
        <is>
          <t>AMPLIAR</t>
        </is>
      </c>
      <c r="K216" s="129">
        <f>DADOS_AM!$GV$24</f>
        <v/>
      </c>
      <c r="L216" s="14" t="n"/>
      <c r="M216" s="14" t="n"/>
      <c r="N216" s="15" t="n"/>
      <c r="O216" s="115" t="n"/>
      <c r="P216" s="52" t="inlineStr">
        <is>
          <t>AMPLIAR</t>
        </is>
      </c>
      <c r="Q216" s="129">
        <f>DADOS_AM!$GV$25</f>
        <v/>
      </c>
      <c r="R216" s="14" t="n"/>
      <c r="S216" s="14" t="n"/>
      <c r="T216" s="15" t="n"/>
      <c r="U216" s="115" t="n"/>
    </row>
    <row r="217" hidden="1" outlineLevel="3">
      <c r="A217" s="8" t="n"/>
      <c r="B217" s="22" t="n"/>
      <c r="C217" s="115" t="n"/>
      <c r="D217" s="121" t="n"/>
      <c r="E217" s="18" t="n"/>
      <c r="F217" s="19" t="n"/>
      <c r="G217" s="19" t="n"/>
      <c r="H217" s="20" t="n"/>
      <c r="I217" s="115" t="n"/>
      <c r="J217" s="121" t="n"/>
      <c r="K217" s="18" t="n"/>
      <c r="L217" s="19" t="n"/>
      <c r="M217" s="19" t="n"/>
      <c r="N217" s="20" t="n"/>
      <c r="O217" s="115" t="n"/>
      <c r="P217" s="121" t="n"/>
      <c r="Q217" s="18" t="n"/>
      <c r="R217" s="19" t="n"/>
      <c r="S217" s="19" t="n"/>
      <c r="T217" s="20" t="n"/>
      <c r="U217" s="115" t="n"/>
    </row>
    <row r="218" hidden="1" outlineLevel="3">
      <c r="A218" s="8" t="n"/>
      <c r="B218" s="22" t="n"/>
      <c r="C218" s="115" t="n"/>
      <c r="D218" s="52" t="inlineStr">
        <is>
          <t>AVISOS</t>
        </is>
      </c>
      <c r="E218" s="129">
        <f>DADOS_AM!$GK$23</f>
        <v/>
      </c>
      <c r="F218" s="14" t="n"/>
      <c r="G218" s="14" t="n"/>
      <c r="H218" s="15" t="n"/>
      <c r="I218" s="115" t="n"/>
      <c r="J218" s="52" t="inlineStr">
        <is>
          <t>AVISOS</t>
        </is>
      </c>
      <c r="K218" s="129">
        <f>DADOS_AM!$GK$24</f>
        <v/>
      </c>
      <c r="L218" s="14" t="n"/>
      <c r="M218" s="14" t="n"/>
      <c r="N218" s="15" t="n"/>
      <c r="O218" s="115" t="n"/>
      <c r="P218" s="52" t="inlineStr">
        <is>
          <t>AVISOS</t>
        </is>
      </c>
      <c r="Q218" s="129">
        <f>DADOS_AM!$GK$25</f>
        <v/>
      </c>
      <c r="R218" s="14" t="n"/>
      <c r="S218" s="14" t="n"/>
      <c r="T218" s="15" t="n"/>
      <c r="U218" s="115" t="n"/>
    </row>
    <row r="219" hidden="1" outlineLevel="3">
      <c r="A219" s="8" t="n"/>
      <c r="B219" s="22" t="n"/>
      <c r="C219" s="115" t="n"/>
      <c r="D219" s="121" t="n"/>
      <c r="E219" s="18" t="n"/>
      <c r="F219" s="19" t="n"/>
      <c r="G219" s="19" t="n"/>
      <c r="H219" s="20" t="n"/>
      <c r="I219" s="115" t="n"/>
      <c r="J219" s="121" t="n"/>
      <c r="K219" s="18" t="n"/>
      <c r="L219" s="19" t="n"/>
      <c r="M219" s="19" t="n"/>
      <c r="N219" s="20" t="n"/>
      <c r="O219" s="115" t="n"/>
      <c r="P219" s="121" t="n"/>
      <c r="Q219" s="18" t="n"/>
      <c r="R219" s="19" t="n"/>
      <c r="S219" s="19" t="n"/>
      <c r="T219" s="20" t="n"/>
      <c r="U219" s="115" t="n"/>
    </row>
    <row r="220" outlineLevel="1">
      <c r="A220" s="8" t="n"/>
      <c r="B220" s="22" t="n"/>
      <c r="C220" s="115" t="n"/>
      <c r="D220" s="115" t="n"/>
      <c r="E220" s="115" t="n"/>
      <c r="F220" s="115" t="n"/>
      <c r="G220" s="115" t="n"/>
      <c r="H220" s="115" t="n"/>
      <c r="I220" s="115" t="n"/>
      <c r="J220" s="115" t="n"/>
      <c r="K220" s="115" t="n"/>
      <c r="L220" s="115" t="n"/>
      <c r="M220" s="115" t="n"/>
      <c r="N220" s="115" t="n"/>
      <c r="O220" s="115" t="n"/>
      <c r="P220" s="115" t="n"/>
      <c r="Q220" s="115" t="n"/>
      <c r="R220" s="115" t="n"/>
      <c r="S220" s="115" t="n"/>
      <c r="T220" s="115" t="n"/>
      <c r="U220" s="115" t="n"/>
    </row>
    <row r="221" outlineLevel="1">
      <c r="A221" s="8" t="n"/>
      <c r="B221" s="22" t="n"/>
      <c r="C221" s="115" t="n"/>
      <c r="D221" s="130">
        <f>DADOS_AM!$IK$33</f>
        <v/>
      </c>
      <c r="E221" s="11" t="n"/>
      <c r="F221" s="11" t="n"/>
      <c r="G221" s="11" t="n"/>
      <c r="H221" s="11" t="n"/>
      <c r="I221" s="11" t="n"/>
      <c r="J221" s="11" t="n"/>
      <c r="K221" s="11" t="n"/>
      <c r="L221" s="11" t="n"/>
      <c r="M221" s="11" t="n"/>
      <c r="N221" s="11" t="n"/>
      <c r="O221" s="11" t="n"/>
      <c r="P221" s="11" t="n"/>
      <c r="Q221" s="11" t="n"/>
      <c r="R221" s="11" t="n"/>
      <c r="S221" s="11" t="n"/>
      <c r="T221" s="12" t="n"/>
      <c r="U221" s="115" t="n"/>
    </row>
    <row r="222" hidden="1" outlineLevel="2">
      <c r="A222" s="8" t="n"/>
      <c r="B222" s="22" t="n"/>
      <c r="C222" s="115" t="n"/>
      <c r="D222" s="115" t="n"/>
      <c r="E222" s="115" t="n"/>
      <c r="F222" s="115" t="n"/>
      <c r="G222" s="115" t="n"/>
      <c r="H222" s="115" t="n"/>
      <c r="I222" s="115" t="n"/>
      <c r="J222" s="115" t="n"/>
      <c r="K222" s="115" t="n"/>
      <c r="L222" s="115" t="n"/>
      <c r="M222" s="115" t="n"/>
      <c r="N222" s="115" t="n"/>
      <c r="O222" s="115" t="n"/>
      <c r="P222" s="115" t="n"/>
      <c r="Q222" s="115" t="n"/>
      <c r="R222" s="115" t="n"/>
      <c r="S222" s="115" t="n"/>
      <c r="T222" s="115" t="n"/>
      <c r="U222" s="115" t="n"/>
    </row>
    <row r="223" hidden="1" outlineLevel="2">
      <c r="A223" s="8" t="n"/>
      <c r="B223" s="22" t="n"/>
      <c r="C223" s="115" t="n"/>
      <c r="D223" s="123" t="n">
        <v>1</v>
      </c>
      <c r="E223" s="124" t="n"/>
      <c r="F223" s="12" t="n"/>
      <c r="G223" s="125">
        <f>DADOS_AM!$GJ$26</f>
        <v/>
      </c>
      <c r="H223" s="12" t="n"/>
      <c r="I223" s="115" t="n"/>
      <c r="J223" s="123" t="n">
        <v>1</v>
      </c>
      <c r="K223" s="124" t="n"/>
      <c r="L223" s="12" t="n"/>
      <c r="M223" s="125">
        <f>DADOS_AM!$GJ$27</f>
        <v/>
      </c>
      <c r="N223" s="12" t="n"/>
      <c r="O223" s="115" t="n"/>
      <c r="P223" s="123" t="n">
        <v>1</v>
      </c>
      <c r="Q223" s="124" t="n"/>
      <c r="R223" s="12" t="n"/>
      <c r="S223" s="125">
        <f>DADOS_AM!$GJ$28</f>
        <v/>
      </c>
      <c r="T223" s="12" t="n"/>
      <c r="U223" s="115" t="n"/>
    </row>
    <row r="224" hidden="1" outlineLevel="3">
      <c r="A224" s="8" t="n"/>
      <c r="B224" s="22" t="n"/>
      <c r="C224" s="115" t="n"/>
      <c r="D224" s="52" t="inlineStr">
        <is>
          <t>COMO É</t>
        </is>
      </c>
      <c r="E224" s="11" t="n"/>
      <c r="F224" s="11" t="n"/>
      <c r="G224" s="11" t="n"/>
      <c r="H224" s="12" t="n"/>
      <c r="I224" s="115" t="n"/>
      <c r="J224" s="52" t="inlineStr">
        <is>
          <t>COMO É</t>
        </is>
      </c>
      <c r="K224" s="11" t="n"/>
      <c r="L224" s="11" t="n"/>
      <c r="M224" s="11" t="n"/>
      <c r="N224" s="12" t="n"/>
      <c r="O224" s="115" t="n"/>
      <c r="P224" s="52" t="inlineStr">
        <is>
          <t>COMO É</t>
        </is>
      </c>
      <c r="Q224" s="11" t="n"/>
      <c r="R224" s="11" t="n"/>
      <c r="S224" s="11" t="n"/>
      <c r="T224" s="12" t="n"/>
      <c r="U224" s="115" t="n"/>
    </row>
    <row r="225" hidden="1" outlineLevel="3">
      <c r="A225" s="8" t="n"/>
      <c r="B225" s="22" t="n"/>
      <c r="C225" s="115" t="n"/>
      <c r="D225" s="120" t="n"/>
      <c r="E225" s="14" t="n"/>
      <c r="F225" s="14" t="n"/>
      <c r="G225" s="14" t="n"/>
      <c r="H225" s="15" t="n"/>
      <c r="I225" s="115" t="n"/>
      <c r="J225" s="120" t="n"/>
      <c r="K225" s="14" t="n"/>
      <c r="L225" s="14" t="n"/>
      <c r="M225" s="14" t="n"/>
      <c r="N225" s="15" t="n"/>
      <c r="O225" s="115" t="n"/>
      <c r="P225" s="120" t="n"/>
      <c r="Q225" s="14" t="n"/>
      <c r="R225" s="14" t="n"/>
      <c r="S225" s="14" t="n"/>
      <c r="T225" s="15" t="n"/>
      <c r="U225" s="115" t="n"/>
    </row>
    <row r="226" hidden="1" outlineLevel="3">
      <c r="A226" s="8" t="n"/>
      <c r="B226" s="22" t="n"/>
      <c r="C226" s="115" t="n"/>
      <c r="D226" s="16" t="n"/>
      <c r="H226" s="17" t="n"/>
      <c r="I226" s="115" t="n"/>
      <c r="J226" s="16" t="n"/>
      <c r="N226" s="17" t="n"/>
      <c r="O226" s="115" t="n"/>
      <c r="P226" s="16" t="n"/>
      <c r="T226" s="17" t="n"/>
      <c r="U226" s="115" t="n"/>
    </row>
    <row r="227" hidden="1" outlineLevel="3">
      <c r="A227" s="8" t="n"/>
      <c r="B227" s="22" t="n"/>
      <c r="C227" s="115" t="n"/>
      <c r="D227" s="16" t="n"/>
      <c r="H227" s="17" t="n"/>
      <c r="I227" s="115" t="n"/>
      <c r="J227" s="16" t="n"/>
      <c r="N227" s="17" t="n"/>
      <c r="O227" s="115" t="n"/>
      <c r="P227" s="16" t="n"/>
      <c r="T227" s="17" t="n"/>
      <c r="U227" s="115" t="n"/>
    </row>
    <row r="228" hidden="1" outlineLevel="3">
      <c r="A228" s="8" t="n"/>
      <c r="B228" s="22" t="n"/>
      <c r="C228" s="115" t="n"/>
      <c r="D228" s="16" t="n"/>
      <c r="H228" s="17" t="n"/>
      <c r="I228" s="115" t="n"/>
      <c r="J228" s="16" t="n"/>
      <c r="N228" s="17" t="n"/>
      <c r="O228" s="115" t="n"/>
      <c r="P228" s="16" t="n"/>
      <c r="T228" s="17" t="n"/>
      <c r="U228" s="115" t="n"/>
    </row>
    <row r="229" hidden="1" outlineLevel="3">
      <c r="A229" s="8" t="n"/>
      <c r="B229" s="22" t="n"/>
      <c r="C229" s="115" t="n"/>
      <c r="D229" s="18" t="n"/>
      <c r="E229" s="19" t="n"/>
      <c r="F229" s="19" t="n"/>
      <c r="G229" s="19" t="n"/>
      <c r="H229" s="20" t="n"/>
      <c r="I229" s="115" t="n"/>
      <c r="J229" s="18" t="n"/>
      <c r="K229" s="19" t="n"/>
      <c r="L229" s="19" t="n"/>
      <c r="M229" s="19" t="n"/>
      <c r="N229" s="20" t="n"/>
      <c r="O229" s="115" t="n"/>
      <c r="P229" s="18" t="n"/>
      <c r="Q229" s="19" t="n"/>
      <c r="R229" s="19" t="n"/>
      <c r="S229" s="19" t="n"/>
      <c r="T229" s="20" t="n"/>
      <c r="U229" s="115" t="n"/>
    </row>
    <row r="230" hidden="1" outlineLevel="2">
      <c r="A230" s="8" t="n"/>
      <c r="B230" s="22" t="n"/>
      <c r="C230" s="115" t="n"/>
      <c r="D230" s="119" t="inlineStr">
        <is>
          <t>Projétil</t>
        </is>
      </c>
      <c r="E230" s="65">
        <f>DADOS_AM!$GO$26</f>
        <v/>
      </c>
      <c r="F230" s="65">
        <f>DADOS_AM!$GL$26</f>
        <v/>
      </c>
      <c r="G230" s="119">
        <f>DADOS_AM!$GN$26</f>
        <v/>
      </c>
      <c r="H230" s="12" t="n"/>
      <c r="I230" s="115" t="n"/>
      <c r="J230" s="119" t="inlineStr">
        <is>
          <t>Projétil</t>
        </is>
      </c>
      <c r="K230" s="65">
        <f>DADOS_AM!$GO$27</f>
        <v/>
      </c>
      <c r="L230" s="65">
        <f>DADOS_AM!$GL$27</f>
        <v/>
      </c>
      <c r="M230" s="119">
        <f>DADOS_AM!$GN$27</f>
        <v/>
      </c>
      <c r="N230" s="12" t="n"/>
      <c r="O230" s="115" t="n"/>
      <c r="P230" s="119" t="inlineStr">
        <is>
          <t>Projétil</t>
        </is>
      </c>
      <c r="Q230" s="65">
        <f>DADOS_AM!$GO$28</f>
        <v/>
      </c>
      <c r="R230" s="65">
        <f>DADOS_AM!$GL$28</f>
        <v/>
      </c>
      <c r="S230" s="119">
        <f>DADOS_AM!$GN$28</f>
        <v/>
      </c>
      <c r="T230" s="12" t="n"/>
      <c r="U230" s="115" t="n"/>
    </row>
    <row r="231" hidden="1" outlineLevel="2">
      <c r="A231" s="8" t="n"/>
      <c r="B231" s="22" t="n"/>
      <c r="C231" s="115" t="n"/>
      <c r="D231" s="119">
        <f>DADOS_AM!$GM$26</f>
        <v/>
      </c>
      <c r="E231" s="126">
        <f>DADOS_AM!$GT$26</f>
        <v/>
      </c>
      <c r="F231" s="11" t="n"/>
      <c r="G231" s="11" t="n"/>
      <c r="H231" s="12" t="n"/>
      <c r="I231" s="115" t="n"/>
      <c r="J231" s="119">
        <f>DADOS_AM!$GM$27</f>
        <v/>
      </c>
      <c r="K231" s="126">
        <f>DADOS_AM!$GT$27</f>
        <v/>
      </c>
      <c r="L231" s="11" t="n"/>
      <c r="M231" s="11" t="n"/>
      <c r="N231" s="12" t="n"/>
      <c r="O231" s="115" t="n"/>
      <c r="P231" s="119">
        <f>DADOS_AM!$GM$28</f>
        <v/>
      </c>
      <c r="Q231" s="126">
        <f>DADOS_AM!$GT$28</f>
        <v/>
      </c>
      <c r="R231" s="11" t="n"/>
      <c r="S231" s="11" t="n"/>
      <c r="T231" s="12" t="n"/>
      <c r="U231" s="115" t="n"/>
    </row>
    <row r="232" hidden="1" outlineLevel="3">
      <c r="A232" s="8" t="n"/>
      <c r="B232" s="22" t="n"/>
      <c r="C232" s="115" t="n"/>
      <c r="D232" s="52" t="inlineStr">
        <is>
          <t>MELHORIAS</t>
        </is>
      </c>
      <c r="E232" s="127" t="n"/>
      <c r="F232" s="12" t="n"/>
      <c r="G232" s="126">
        <f>DADOS_AM!$GW$26</f>
        <v/>
      </c>
      <c r="H232" s="12" t="n"/>
      <c r="I232" s="115" t="n"/>
      <c r="J232" s="52" t="inlineStr">
        <is>
          <t>MELHORIAS</t>
        </is>
      </c>
      <c r="K232" s="127" t="n"/>
      <c r="L232" s="12" t="n"/>
      <c r="M232" s="126">
        <f>DADOS_AM!$GW$27</f>
        <v/>
      </c>
      <c r="N232" s="12" t="n"/>
      <c r="O232" s="115" t="n"/>
      <c r="P232" s="52" t="inlineStr">
        <is>
          <t>MELHORIAS</t>
        </is>
      </c>
      <c r="Q232" s="127" t="n"/>
      <c r="R232" s="12" t="n"/>
      <c r="S232" s="126">
        <f>DADOS_AM!$GW$28</f>
        <v/>
      </c>
      <c r="T232" s="12" t="n"/>
      <c r="U232" s="115" t="n"/>
    </row>
    <row r="233" hidden="1" outlineLevel="3">
      <c r="A233" s="8" t="n"/>
      <c r="B233" s="22" t="n"/>
      <c r="C233" s="115" t="n"/>
      <c r="D233" s="128" t="n"/>
      <c r="E233" s="127" t="n"/>
      <c r="F233" s="12" t="n"/>
      <c r="G233" s="126">
        <f>DADOS_AM!$GX$26</f>
        <v/>
      </c>
      <c r="H233" s="12" t="n"/>
      <c r="I233" s="115" t="n"/>
      <c r="J233" s="128" t="n"/>
      <c r="K233" s="127" t="n"/>
      <c r="L233" s="12" t="n"/>
      <c r="M233" s="126">
        <f>DADOS_AM!$GX$27</f>
        <v/>
      </c>
      <c r="N233" s="12" t="n"/>
      <c r="O233" s="115" t="n"/>
      <c r="P233" s="128" t="n"/>
      <c r="Q233" s="127" t="n"/>
      <c r="R233" s="12" t="n"/>
      <c r="S233" s="126">
        <f>DADOS_AM!$GX$28</f>
        <v/>
      </c>
      <c r="T233" s="12" t="n"/>
      <c r="U233" s="115" t="n"/>
    </row>
    <row r="234" hidden="1" outlineLevel="3">
      <c r="A234" s="8" t="n"/>
      <c r="B234" s="22" t="n"/>
      <c r="C234" s="115" t="n"/>
      <c r="D234" s="128" t="n"/>
      <c r="E234" s="127" t="n"/>
      <c r="F234" s="12" t="n"/>
      <c r="G234" s="126">
        <f>DADOS_AM!$GY$26</f>
        <v/>
      </c>
      <c r="H234" s="12" t="n"/>
      <c r="I234" s="115" t="n"/>
      <c r="J234" s="128" t="n"/>
      <c r="K234" s="127" t="n"/>
      <c r="L234" s="12" t="n"/>
      <c r="M234" s="126">
        <f>DADOS_AM!$GY$27</f>
        <v/>
      </c>
      <c r="N234" s="12" t="n"/>
      <c r="O234" s="115" t="n"/>
      <c r="P234" s="128" t="n"/>
      <c r="Q234" s="127" t="n"/>
      <c r="R234" s="12" t="n"/>
      <c r="S234" s="126">
        <f>DADOS_AM!$GY$28</f>
        <v/>
      </c>
      <c r="T234" s="12" t="n"/>
      <c r="U234" s="115" t="n"/>
    </row>
    <row r="235" hidden="1" outlineLevel="3">
      <c r="A235" s="8" t="n"/>
      <c r="B235" s="22" t="n"/>
      <c r="C235" s="115" t="n"/>
      <c r="D235" s="121" t="n"/>
      <c r="E235" s="127" t="n"/>
      <c r="F235" s="12" t="n"/>
      <c r="G235" s="126">
        <f>DADOS_AM!$GZ$26</f>
        <v/>
      </c>
      <c r="H235" s="12" t="n"/>
      <c r="I235" s="115" t="n"/>
      <c r="J235" s="121" t="n"/>
      <c r="K235" s="127" t="n"/>
      <c r="L235" s="12" t="n"/>
      <c r="M235" s="126">
        <f>DADOS_AM!$GZ$27</f>
        <v/>
      </c>
      <c r="N235" s="12" t="n"/>
      <c r="O235" s="115" t="n"/>
      <c r="P235" s="121" t="n"/>
      <c r="Q235" s="127" t="n"/>
      <c r="R235" s="12" t="n"/>
      <c r="S235" s="126">
        <f>DADOS_AM!$GZ$28</f>
        <v/>
      </c>
      <c r="T235" s="12" t="n"/>
      <c r="U235" s="115" t="n"/>
    </row>
    <row r="236" hidden="1" outlineLevel="3">
      <c r="A236" s="8" t="n"/>
      <c r="B236" s="22" t="n"/>
      <c r="C236" s="115" t="n"/>
      <c r="D236" s="52" t="inlineStr">
        <is>
          <t>RESTRIÇÕES</t>
        </is>
      </c>
      <c r="E236" s="127" t="n"/>
      <c r="F236" s="12" t="n"/>
      <c r="G236" s="126">
        <f>DADOS_AM!$HA$26</f>
        <v/>
      </c>
      <c r="H236" s="12" t="n"/>
      <c r="I236" s="115" t="n"/>
      <c r="J236" s="52" t="inlineStr">
        <is>
          <t>RESTRIÇÕES</t>
        </is>
      </c>
      <c r="K236" s="127" t="n"/>
      <c r="L236" s="12" t="n"/>
      <c r="M236" s="126">
        <f>DADOS_AM!$HA$27</f>
        <v/>
      </c>
      <c r="N236" s="12" t="n"/>
      <c r="O236" s="115" t="n"/>
      <c r="P236" s="52" t="inlineStr">
        <is>
          <t>RESTRIÇÕES</t>
        </is>
      </c>
      <c r="Q236" s="127" t="n"/>
      <c r="R236" s="12" t="n"/>
      <c r="S236" s="126">
        <f>DADOS_AM!$HA$28</f>
        <v/>
      </c>
      <c r="T236" s="12" t="n"/>
      <c r="U236" s="115" t="n"/>
    </row>
    <row r="237" hidden="1" outlineLevel="3">
      <c r="A237" s="8" t="n"/>
      <c r="B237" s="22" t="n"/>
      <c r="C237" s="115" t="n"/>
      <c r="D237" s="121" t="n"/>
      <c r="E237" s="127" t="n"/>
      <c r="F237" s="12" t="n"/>
      <c r="G237" s="126">
        <f>DADOS_AM!$HB$26</f>
        <v/>
      </c>
      <c r="H237" s="12" t="n"/>
      <c r="I237" s="115" t="n"/>
      <c r="J237" s="121" t="n"/>
      <c r="K237" s="127" t="n"/>
      <c r="L237" s="12" t="n"/>
      <c r="M237" s="126">
        <f>DADOS_AM!$HB$27</f>
        <v/>
      </c>
      <c r="N237" s="12" t="n"/>
      <c r="O237" s="115" t="n"/>
      <c r="P237" s="121" t="n"/>
      <c r="Q237" s="127" t="n"/>
      <c r="R237" s="12" t="n"/>
      <c r="S237" s="126">
        <f>DADOS_AM!$HB$28</f>
        <v/>
      </c>
      <c r="T237" s="12" t="n"/>
      <c r="U237" s="115" t="n"/>
    </row>
    <row r="238" hidden="1" outlineLevel="3">
      <c r="A238" s="8" t="n"/>
      <c r="B238" s="22" t="n"/>
      <c r="C238" s="115" t="n"/>
      <c r="D238" s="52" t="inlineStr">
        <is>
          <t>CONTA</t>
        </is>
      </c>
      <c r="E238" s="129">
        <f>DADOS_AM!$GU$26</f>
        <v/>
      </c>
      <c r="F238" s="11" t="n"/>
      <c r="G238" s="11" t="n"/>
      <c r="H238" s="12" t="n"/>
      <c r="I238" s="115" t="n"/>
      <c r="J238" s="52" t="inlineStr">
        <is>
          <t>CONTA</t>
        </is>
      </c>
      <c r="K238" s="129">
        <f>DADOS_AM!$GU$27</f>
        <v/>
      </c>
      <c r="L238" s="11" t="n"/>
      <c r="M238" s="11" t="n"/>
      <c r="N238" s="12" t="n"/>
      <c r="O238" s="115" t="n"/>
      <c r="P238" s="52" t="inlineStr">
        <is>
          <t>CONTA</t>
        </is>
      </c>
      <c r="Q238" s="129">
        <f>DADOS_AM!$GU$28</f>
        <v/>
      </c>
      <c r="R238" s="11" t="n"/>
      <c r="S238" s="11" t="n"/>
      <c r="T238" s="12" t="n"/>
      <c r="U238" s="115" t="n"/>
    </row>
    <row r="239" hidden="1" outlineLevel="3">
      <c r="A239" s="8" t="n"/>
      <c r="B239" s="22" t="n"/>
      <c r="C239" s="115" t="n"/>
      <c r="D239" s="52" t="inlineStr">
        <is>
          <t>AMPLIAR</t>
        </is>
      </c>
      <c r="E239" s="129">
        <f>DADOS_AM!$GV$26</f>
        <v/>
      </c>
      <c r="F239" s="14" t="n"/>
      <c r="G239" s="14" t="n"/>
      <c r="H239" s="15" t="n"/>
      <c r="I239" s="115" t="n"/>
      <c r="J239" s="52" t="inlineStr">
        <is>
          <t>AMPLIAR</t>
        </is>
      </c>
      <c r="K239" s="129">
        <f>DADOS_AM!$GV$27</f>
        <v/>
      </c>
      <c r="L239" s="14" t="n"/>
      <c r="M239" s="14" t="n"/>
      <c r="N239" s="15" t="n"/>
      <c r="O239" s="115" t="n"/>
      <c r="P239" s="52" t="inlineStr">
        <is>
          <t>AMPLIAR</t>
        </is>
      </c>
      <c r="Q239" s="129">
        <f>DADOS_AM!$GV$28</f>
        <v/>
      </c>
      <c r="R239" s="14" t="n"/>
      <c r="S239" s="14" t="n"/>
      <c r="T239" s="15" t="n"/>
      <c r="U239" s="115" t="n"/>
    </row>
    <row r="240" hidden="1" outlineLevel="3">
      <c r="A240" s="8" t="n"/>
      <c r="B240" s="22" t="n"/>
      <c r="C240" s="115" t="n"/>
      <c r="D240" s="121" t="n"/>
      <c r="E240" s="18" t="n"/>
      <c r="F240" s="19" t="n"/>
      <c r="G240" s="19" t="n"/>
      <c r="H240" s="20" t="n"/>
      <c r="I240" s="115" t="n"/>
      <c r="J240" s="121" t="n"/>
      <c r="K240" s="18" t="n"/>
      <c r="L240" s="19" t="n"/>
      <c r="M240" s="19" t="n"/>
      <c r="N240" s="20" t="n"/>
      <c r="O240" s="115" t="n"/>
      <c r="P240" s="121" t="n"/>
      <c r="Q240" s="18" t="n"/>
      <c r="R240" s="19" t="n"/>
      <c r="S240" s="19" t="n"/>
      <c r="T240" s="20" t="n"/>
      <c r="U240" s="115" t="n"/>
    </row>
    <row r="241" hidden="1" outlineLevel="3">
      <c r="A241" s="8" t="n"/>
      <c r="B241" s="22" t="n"/>
      <c r="C241" s="115" t="n"/>
      <c r="D241" s="52" t="inlineStr">
        <is>
          <t>AVISOS</t>
        </is>
      </c>
      <c r="E241" s="129">
        <f>DADOS_AM!$GK$26</f>
        <v/>
      </c>
      <c r="F241" s="14" t="n"/>
      <c r="G241" s="14" t="n"/>
      <c r="H241" s="15" t="n"/>
      <c r="I241" s="115" t="n"/>
      <c r="J241" s="52" t="inlineStr">
        <is>
          <t>AVISOS</t>
        </is>
      </c>
      <c r="K241" s="129">
        <f>DADOS_AM!$GK$27</f>
        <v/>
      </c>
      <c r="L241" s="14" t="n"/>
      <c r="M241" s="14" t="n"/>
      <c r="N241" s="15" t="n"/>
      <c r="O241" s="115" t="n"/>
      <c r="P241" s="52" t="inlineStr">
        <is>
          <t>AVISOS</t>
        </is>
      </c>
      <c r="Q241" s="129">
        <f>DADOS_AM!$GK$28</f>
        <v/>
      </c>
      <c r="R241" s="14" t="n"/>
      <c r="S241" s="14" t="n"/>
      <c r="T241" s="15" t="n"/>
      <c r="U241" s="115" t="n"/>
    </row>
    <row r="242" hidden="1" outlineLevel="3">
      <c r="A242" s="8" t="n"/>
      <c r="B242" s="22" t="n"/>
      <c r="C242" s="115" t="n"/>
      <c r="D242" s="121" t="n"/>
      <c r="E242" s="18" t="n"/>
      <c r="F242" s="19" t="n"/>
      <c r="G242" s="19" t="n"/>
      <c r="H242" s="20" t="n"/>
      <c r="I242" s="115" t="n"/>
      <c r="J242" s="121" t="n"/>
      <c r="K242" s="18" t="n"/>
      <c r="L242" s="19" t="n"/>
      <c r="M242" s="19" t="n"/>
      <c r="N242" s="20" t="n"/>
      <c r="O242" s="115" t="n"/>
      <c r="P242" s="121" t="n"/>
      <c r="Q242" s="18" t="n"/>
      <c r="R242" s="19" t="n"/>
      <c r="S242" s="19" t="n"/>
      <c r="T242" s="20" t="n"/>
      <c r="U242" s="115" t="n"/>
    </row>
    <row r="243" hidden="1" outlineLevel="2">
      <c r="A243" s="8" t="n"/>
      <c r="B243" s="22" t="n"/>
      <c r="C243" s="115" t="n"/>
      <c r="D243" s="115" t="n"/>
      <c r="E243" s="115" t="n"/>
      <c r="F243" s="115" t="n"/>
      <c r="G243" s="115" t="n"/>
      <c r="H243" s="115" t="n"/>
      <c r="I243" s="115" t="n"/>
      <c r="J243" s="115" t="n"/>
      <c r="K243" s="115" t="n"/>
      <c r="L243" s="115" t="n"/>
      <c r="M243" s="115" t="n"/>
      <c r="N243" s="115" t="n"/>
      <c r="O243" s="115" t="n"/>
      <c r="P243" s="115" t="n"/>
      <c r="Q243" s="115" t="n"/>
      <c r="R243" s="115" t="n"/>
      <c r="S243" s="115" t="n"/>
      <c r="T243" s="115" t="n"/>
      <c r="U243" s="115" t="n"/>
    </row>
    <row r="244" hidden="1" outlineLevel="2">
      <c r="A244" s="8" t="n"/>
      <c r="B244" s="22" t="n"/>
      <c r="C244" s="115" t="n"/>
      <c r="D244" s="123" t="n">
        <v>1</v>
      </c>
      <c r="E244" s="124" t="n"/>
      <c r="F244" s="12" t="n"/>
      <c r="G244" s="125">
        <f>DADOS_AM!$GJ$29</f>
        <v/>
      </c>
      <c r="H244" s="12" t="n"/>
      <c r="I244" s="115" t="n"/>
      <c r="J244" s="123" t="n">
        <v>1</v>
      </c>
      <c r="K244" s="124" t="n"/>
      <c r="L244" s="12" t="n"/>
      <c r="M244" s="125">
        <f>DADOS_AM!$GJ$30</f>
        <v/>
      </c>
      <c r="N244" s="12" t="n"/>
      <c r="O244" s="115" t="n"/>
      <c r="P244" s="123" t="n">
        <v>1</v>
      </c>
      <c r="Q244" s="124" t="n"/>
      <c r="R244" s="12" t="n"/>
      <c r="S244" s="125">
        <f>DADOS_AM!$GJ$31</f>
        <v/>
      </c>
      <c r="T244" s="12" t="n"/>
      <c r="U244" s="115" t="n"/>
    </row>
    <row r="245" hidden="1" outlineLevel="3">
      <c r="A245" s="8" t="n"/>
      <c r="B245" s="22" t="n"/>
      <c r="C245" s="115" t="n"/>
      <c r="D245" s="52" t="inlineStr">
        <is>
          <t>COMO É</t>
        </is>
      </c>
      <c r="E245" s="11" t="n"/>
      <c r="F245" s="11" t="n"/>
      <c r="G245" s="11" t="n"/>
      <c r="H245" s="12" t="n"/>
      <c r="I245" s="115" t="n"/>
      <c r="J245" s="52" t="inlineStr">
        <is>
          <t>COMO É</t>
        </is>
      </c>
      <c r="K245" s="11" t="n"/>
      <c r="L245" s="11" t="n"/>
      <c r="M245" s="11" t="n"/>
      <c r="N245" s="12" t="n"/>
      <c r="O245" s="115" t="n"/>
      <c r="P245" s="52" t="inlineStr">
        <is>
          <t>COMO É</t>
        </is>
      </c>
      <c r="Q245" s="11" t="n"/>
      <c r="R245" s="11" t="n"/>
      <c r="S245" s="11" t="n"/>
      <c r="T245" s="12" t="n"/>
      <c r="U245" s="115" t="n"/>
    </row>
    <row r="246" hidden="1" outlineLevel="3">
      <c r="A246" s="8" t="n"/>
      <c r="B246" s="22" t="n"/>
      <c r="C246" s="115" t="n"/>
      <c r="D246" s="120" t="n"/>
      <c r="E246" s="14" t="n"/>
      <c r="F246" s="14" t="n"/>
      <c r="G246" s="14" t="n"/>
      <c r="H246" s="15" t="n"/>
      <c r="I246" s="115" t="n"/>
      <c r="J246" s="120" t="n"/>
      <c r="K246" s="14" t="n"/>
      <c r="L246" s="14" t="n"/>
      <c r="M246" s="14" t="n"/>
      <c r="N246" s="15" t="n"/>
      <c r="O246" s="115" t="n"/>
      <c r="P246" s="120" t="n"/>
      <c r="Q246" s="14" t="n"/>
      <c r="R246" s="14" t="n"/>
      <c r="S246" s="14" t="n"/>
      <c r="T246" s="15" t="n"/>
      <c r="U246" s="115" t="n"/>
    </row>
    <row r="247" hidden="1" outlineLevel="3">
      <c r="A247" s="8" t="n"/>
      <c r="B247" s="22" t="n"/>
      <c r="C247" s="115" t="n"/>
      <c r="D247" s="16" t="n"/>
      <c r="H247" s="17" t="n"/>
      <c r="I247" s="115" t="n"/>
      <c r="J247" s="16" t="n"/>
      <c r="N247" s="17" t="n"/>
      <c r="O247" s="115" t="n"/>
      <c r="P247" s="16" t="n"/>
      <c r="T247" s="17" t="n"/>
      <c r="U247" s="115" t="n"/>
    </row>
    <row r="248" hidden="1" outlineLevel="3">
      <c r="A248" s="8" t="n"/>
      <c r="B248" s="22" t="n"/>
      <c r="C248" s="115" t="n"/>
      <c r="D248" s="16" t="n"/>
      <c r="H248" s="17" t="n"/>
      <c r="I248" s="115" t="n"/>
      <c r="J248" s="16" t="n"/>
      <c r="N248" s="17" t="n"/>
      <c r="O248" s="115" t="n"/>
      <c r="P248" s="16" t="n"/>
      <c r="T248" s="17" t="n"/>
      <c r="U248" s="115" t="n"/>
    </row>
    <row r="249" hidden="1" outlineLevel="3">
      <c r="A249" s="8" t="n"/>
      <c r="B249" s="22" t="n"/>
      <c r="C249" s="115" t="n"/>
      <c r="D249" s="16" t="n"/>
      <c r="H249" s="17" t="n"/>
      <c r="I249" s="115" t="n"/>
      <c r="J249" s="16" t="n"/>
      <c r="N249" s="17" t="n"/>
      <c r="O249" s="115" t="n"/>
      <c r="P249" s="16" t="n"/>
      <c r="T249" s="17" t="n"/>
      <c r="U249" s="115" t="n"/>
    </row>
    <row r="250" hidden="1" outlineLevel="3">
      <c r="A250" s="8" t="n"/>
      <c r="B250" s="22" t="n"/>
      <c r="C250" s="115" t="n"/>
      <c r="D250" s="18" t="n"/>
      <c r="E250" s="19" t="n"/>
      <c r="F250" s="19" t="n"/>
      <c r="G250" s="19" t="n"/>
      <c r="H250" s="20" t="n"/>
      <c r="I250" s="115" t="n"/>
      <c r="J250" s="18" t="n"/>
      <c r="K250" s="19" t="n"/>
      <c r="L250" s="19" t="n"/>
      <c r="M250" s="19" t="n"/>
      <c r="N250" s="20" t="n"/>
      <c r="O250" s="115" t="n"/>
      <c r="P250" s="18" t="n"/>
      <c r="Q250" s="19" t="n"/>
      <c r="R250" s="19" t="n"/>
      <c r="S250" s="19" t="n"/>
      <c r="T250" s="20" t="n"/>
      <c r="U250" s="115" t="n"/>
    </row>
    <row r="251" hidden="1" outlineLevel="2">
      <c r="A251" s="8" t="n"/>
      <c r="B251" s="22" t="n"/>
      <c r="C251" s="115" t="n"/>
      <c r="D251" s="119" t="inlineStr">
        <is>
          <t>Projétil</t>
        </is>
      </c>
      <c r="E251" s="65">
        <f>DADOS_AM!$GO$29</f>
        <v/>
      </c>
      <c r="F251" s="65">
        <f>DADOS_AM!$GL$29</f>
        <v/>
      </c>
      <c r="G251" s="119">
        <f>DADOS_AM!$GN$29</f>
        <v/>
      </c>
      <c r="H251" s="12" t="n"/>
      <c r="I251" s="115" t="n"/>
      <c r="J251" s="119" t="inlineStr">
        <is>
          <t>Projétil</t>
        </is>
      </c>
      <c r="K251" s="65">
        <f>DADOS_AM!$GO$30</f>
        <v/>
      </c>
      <c r="L251" s="65">
        <f>DADOS_AM!$GL$30</f>
        <v/>
      </c>
      <c r="M251" s="119">
        <f>DADOS_AM!$GN$30</f>
        <v/>
      </c>
      <c r="N251" s="12" t="n"/>
      <c r="O251" s="115" t="n"/>
      <c r="P251" s="119" t="inlineStr">
        <is>
          <t>Projétil</t>
        </is>
      </c>
      <c r="Q251" s="65">
        <f>DADOS_AM!$GO$31</f>
        <v/>
      </c>
      <c r="R251" s="65">
        <f>DADOS_AM!$GL$31</f>
        <v/>
      </c>
      <c r="S251" s="119">
        <f>DADOS_AM!$GN$31</f>
        <v/>
      </c>
      <c r="T251" s="12" t="n"/>
      <c r="U251" s="115" t="n"/>
    </row>
    <row r="252" hidden="1" outlineLevel="2">
      <c r="A252" s="8" t="n"/>
      <c r="B252" s="22" t="n"/>
      <c r="C252" s="115" t="n"/>
      <c r="D252" s="119">
        <f>DADOS_AM!$GM$29</f>
        <v/>
      </c>
      <c r="E252" s="126">
        <f>DADOS_AM!$GT$29</f>
        <v/>
      </c>
      <c r="F252" s="11" t="n"/>
      <c r="G252" s="11" t="n"/>
      <c r="H252" s="12" t="n"/>
      <c r="I252" s="115" t="n"/>
      <c r="J252" s="119">
        <f>DADOS_AM!$GM$30</f>
        <v/>
      </c>
      <c r="K252" s="126">
        <f>DADOS_AM!$GT$30</f>
        <v/>
      </c>
      <c r="L252" s="11" t="n"/>
      <c r="M252" s="11" t="n"/>
      <c r="N252" s="12" t="n"/>
      <c r="O252" s="115" t="n"/>
      <c r="P252" s="119">
        <f>DADOS_AM!$GM$31</f>
        <v/>
      </c>
      <c r="Q252" s="126">
        <f>DADOS_AM!$GT$31</f>
        <v/>
      </c>
      <c r="R252" s="11" t="n"/>
      <c r="S252" s="11" t="n"/>
      <c r="T252" s="12" t="n"/>
      <c r="U252" s="115" t="n"/>
    </row>
    <row r="253" hidden="1" outlineLevel="3">
      <c r="A253" s="8" t="n"/>
      <c r="B253" s="22" t="n"/>
      <c r="C253" s="115" t="n"/>
      <c r="D253" s="52" t="inlineStr">
        <is>
          <t>MELHORIAS</t>
        </is>
      </c>
      <c r="E253" s="127" t="n"/>
      <c r="F253" s="12" t="n"/>
      <c r="G253" s="126">
        <f>DADOS_AM!$GW$29</f>
        <v/>
      </c>
      <c r="H253" s="12" t="n"/>
      <c r="I253" s="115" t="n"/>
      <c r="J253" s="52" t="inlineStr">
        <is>
          <t>MELHORIAS</t>
        </is>
      </c>
      <c r="K253" s="127" t="n"/>
      <c r="L253" s="12" t="n"/>
      <c r="M253" s="126">
        <f>DADOS_AM!$GW$30</f>
        <v/>
      </c>
      <c r="N253" s="12" t="n"/>
      <c r="O253" s="115" t="n"/>
      <c r="P253" s="52" t="inlineStr">
        <is>
          <t>MELHORIAS</t>
        </is>
      </c>
      <c r="Q253" s="127" t="n"/>
      <c r="R253" s="12" t="n"/>
      <c r="S253" s="126">
        <f>DADOS_AM!$GW$31</f>
        <v/>
      </c>
      <c r="T253" s="12" t="n"/>
      <c r="U253" s="115" t="n"/>
    </row>
    <row r="254" hidden="1" outlineLevel="3">
      <c r="A254" s="8" t="n"/>
      <c r="B254" s="22" t="n"/>
      <c r="C254" s="115" t="n"/>
      <c r="D254" s="128" t="n"/>
      <c r="E254" s="127" t="n"/>
      <c r="F254" s="12" t="n"/>
      <c r="G254" s="126">
        <f>DADOS_AM!$GX$29</f>
        <v/>
      </c>
      <c r="H254" s="12" t="n"/>
      <c r="I254" s="115" t="n"/>
      <c r="J254" s="128" t="n"/>
      <c r="K254" s="127" t="n"/>
      <c r="L254" s="12" t="n"/>
      <c r="M254" s="126">
        <f>DADOS_AM!$GX$30</f>
        <v/>
      </c>
      <c r="N254" s="12" t="n"/>
      <c r="O254" s="115" t="n"/>
      <c r="P254" s="128" t="n"/>
      <c r="Q254" s="127" t="n"/>
      <c r="R254" s="12" t="n"/>
      <c r="S254" s="126">
        <f>DADOS_AM!$GX$31</f>
        <v/>
      </c>
      <c r="T254" s="12" t="n"/>
      <c r="U254" s="115" t="n"/>
    </row>
    <row r="255" hidden="1" outlineLevel="3">
      <c r="A255" s="8" t="n"/>
      <c r="B255" s="22" t="n"/>
      <c r="C255" s="115" t="n"/>
      <c r="D255" s="128" t="n"/>
      <c r="E255" s="127" t="n"/>
      <c r="F255" s="12" t="n"/>
      <c r="G255" s="126">
        <f>DADOS_AM!$GY$29</f>
        <v/>
      </c>
      <c r="H255" s="12" t="n"/>
      <c r="I255" s="115" t="n"/>
      <c r="J255" s="128" t="n"/>
      <c r="K255" s="127" t="n"/>
      <c r="L255" s="12" t="n"/>
      <c r="M255" s="126">
        <f>DADOS_AM!$GY$30</f>
        <v/>
      </c>
      <c r="N255" s="12" t="n"/>
      <c r="O255" s="115" t="n"/>
      <c r="P255" s="128" t="n"/>
      <c r="Q255" s="127" t="n"/>
      <c r="R255" s="12" t="n"/>
      <c r="S255" s="126">
        <f>DADOS_AM!$GY$31</f>
        <v/>
      </c>
      <c r="T255" s="12" t="n"/>
      <c r="U255" s="115" t="n"/>
    </row>
    <row r="256" hidden="1" outlineLevel="3">
      <c r="A256" s="8" t="n"/>
      <c r="B256" s="22" t="n"/>
      <c r="C256" s="115" t="n"/>
      <c r="D256" s="121" t="n"/>
      <c r="E256" s="127" t="n"/>
      <c r="F256" s="12" t="n"/>
      <c r="G256" s="126">
        <f>DADOS_AM!$GZ$29</f>
        <v/>
      </c>
      <c r="H256" s="12" t="n"/>
      <c r="I256" s="115" t="n"/>
      <c r="J256" s="121" t="n"/>
      <c r="K256" s="127" t="n"/>
      <c r="L256" s="12" t="n"/>
      <c r="M256" s="126">
        <f>DADOS_AM!$GZ$30</f>
        <v/>
      </c>
      <c r="N256" s="12" t="n"/>
      <c r="O256" s="115" t="n"/>
      <c r="P256" s="121" t="n"/>
      <c r="Q256" s="127" t="n"/>
      <c r="R256" s="12" t="n"/>
      <c r="S256" s="126">
        <f>DADOS_AM!$GZ$31</f>
        <v/>
      </c>
      <c r="T256" s="12" t="n"/>
      <c r="U256" s="115" t="n"/>
    </row>
    <row r="257" hidden="1" outlineLevel="3">
      <c r="A257" s="8" t="n"/>
      <c r="B257" s="22" t="n"/>
      <c r="C257" s="115" t="n"/>
      <c r="D257" s="52" t="inlineStr">
        <is>
          <t>RESTRIÇÕES</t>
        </is>
      </c>
      <c r="E257" s="127" t="n"/>
      <c r="F257" s="12" t="n"/>
      <c r="G257" s="126">
        <f>DADOS_AM!$HA$29</f>
        <v/>
      </c>
      <c r="H257" s="12" t="n"/>
      <c r="I257" s="115" t="n"/>
      <c r="J257" s="52" t="inlineStr">
        <is>
          <t>RESTRIÇÕES</t>
        </is>
      </c>
      <c r="K257" s="127" t="n"/>
      <c r="L257" s="12" t="n"/>
      <c r="M257" s="126">
        <f>DADOS_AM!$HA$30</f>
        <v/>
      </c>
      <c r="N257" s="12" t="n"/>
      <c r="O257" s="115" t="n"/>
      <c r="P257" s="52" t="inlineStr">
        <is>
          <t>RESTRIÇÕES</t>
        </is>
      </c>
      <c r="Q257" s="127" t="n"/>
      <c r="R257" s="12" t="n"/>
      <c r="S257" s="126">
        <f>DADOS_AM!$HA$31</f>
        <v/>
      </c>
      <c r="T257" s="12" t="n"/>
      <c r="U257" s="115" t="n"/>
    </row>
    <row r="258" hidden="1" outlineLevel="3">
      <c r="A258" s="8" t="n"/>
      <c r="B258" s="22" t="n"/>
      <c r="C258" s="115" t="n"/>
      <c r="D258" s="121" t="n"/>
      <c r="E258" s="127" t="n"/>
      <c r="F258" s="12" t="n"/>
      <c r="G258" s="126">
        <f>DADOS_AM!$HB$29</f>
        <v/>
      </c>
      <c r="H258" s="12" t="n"/>
      <c r="I258" s="115" t="n"/>
      <c r="J258" s="121" t="n"/>
      <c r="K258" s="127" t="n"/>
      <c r="L258" s="12" t="n"/>
      <c r="M258" s="126">
        <f>DADOS_AM!$HB$30</f>
        <v/>
      </c>
      <c r="N258" s="12" t="n"/>
      <c r="O258" s="115" t="n"/>
      <c r="P258" s="121" t="n"/>
      <c r="Q258" s="127" t="n"/>
      <c r="R258" s="12" t="n"/>
      <c r="S258" s="126">
        <f>DADOS_AM!$HB$31</f>
        <v/>
      </c>
      <c r="T258" s="12" t="n"/>
      <c r="U258" s="115" t="n"/>
    </row>
    <row r="259" hidden="1" outlineLevel="3">
      <c r="A259" s="8" t="n"/>
      <c r="B259" s="22" t="n"/>
      <c r="C259" s="115" t="n"/>
      <c r="D259" s="52" t="inlineStr">
        <is>
          <t>CONTA</t>
        </is>
      </c>
      <c r="E259" s="129">
        <f>DADOS_AM!$GU$29</f>
        <v/>
      </c>
      <c r="F259" s="11" t="n"/>
      <c r="G259" s="11" t="n"/>
      <c r="H259" s="12" t="n"/>
      <c r="I259" s="115" t="n"/>
      <c r="J259" s="52" t="inlineStr">
        <is>
          <t>CONTA</t>
        </is>
      </c>
      <c r="K259" s="129">
        <f>DADOS_AM!$GU$30</f>
        <v/>
      </c>
      <c r="L259" s="11" t="n"/>
      <c r="M259" s="11" t="n"/>
      <c r="N259" s="12" t="n"/>
      <c r="O259" s="115" t="n"/>
      <c r="P259" s="52" t="inlineStr">
        <is>
          <t>CONTA</t>
        </is>
      </c>
      <c r="Q259" s="129">
        <f>DADOS_AM!$GU$31</f>
        <v/>
      </c>
      <c r="R259" s="11" t="n"/>
      <c r="S259" s="11" t="n"/>
      <c r="T259" s="12" t="n"/>
      <c r="U259" s="115" t="n"/>
    </row>
    <row r="260" hidden="1" outlineLevel="3">
      <c r="A260" s="8" t="n"/>
      <c r="B260" s="22" t="n"/>
      <c r="C260" s="115" t="n"/>
      <c r="D260" s="52" t="inlineStr">
        <is>
          <t>AMPLIAR</t>
        </is>
      </c>
      <c r="E260" s="129">
        <f>DADOS_AM!$GV$29</f>
        <v/>
      </c>
      <c r="F260" s="14" t="n"/>
      <c r="G260" s="14" t="n"/>
      <c r="H260" s="15" t="n"/>
      <c r="I260" s="115" t="n"/>
      <c r="J260" s="52" t="inlineStr">
        <is>
          <t>AMPLIAR</t>
        </is>
      </c>
      <c r="K260" s="129">
        <f>DADOS_AM!$GV$30</f>
        <v/>
      </c>
      <c r="L260" s="14" t="n"/>
      <c r="M260" s="14" t="n"/>
      <c r="N260" s="15" t="n"/>
      <c r="O260" s="115" t="n"/>
      <c r="P260" s="52" t="inlineStr">
        <is>
          <t>AMPLIAR</t>
        </is>
      </c>
      <c r="Q260" s="129">
        <f>DADOS_AM!$GV$31</f>
        <v/>
      </c>
      <c r="R260" s="14" t="n"/>
      <c r="S260" s="14" t="n"/>
      <c r="T260" s="15" t="n"/>
      <c r="U260" s="115" t="n"/>
    </row>
    <row r="261" hidden="1" outlineLevel="3">
      <c r="A261" s="8" t="n"/>
      <c r="B261" s="22" t="n"/>
      <c r="C261" s="115" t="n"/>
      <c r="D261" s="121" t="n"/>
      <c r="E261" s="18" t="n"/>
      <c r="F261" s="19" t="n"/>
      <c r="G261" s="19" t="n"/>
      <c r="H261" s="20" t="n"/>
      <c r="I261" s="115" t="n"/>
      <c r="J261" s="121" t="n"/>
      <c r="K261" s="18" t="n"/>
      <c r="L261" s="19" t="n"/>
      <c r="M261" s="19" t="n"/>
      <c r="N261" s="20" t="n"/>
      <c r="O261" s="115" t="n"/>
      <c r="P261" s="121" t="n"/>
      <c r="Q261" s="18" t="n"/>
      <c r="R261" s="19" t="n"/>
      <c r="S261" s="19" t="n"/>
      <c r="T261" s="20" t="n"/>
      <c r="U261" s="115" t="n"/>
    </row>
    <row r="262" hidden="1" outlineLevel="3">
      <c r="A262" s="8" t="n"/>
      <c r="B262" s="22" t="n"/>
      <c r="C262" s="115" t="n"/>
      <c r="D262" s="52" t="inlineStr">
        <is>
          <t>AVISOS</t>
        </is>
      </c>
      <c r="E262" s="129">
        <f>DADOS_AM!$GK$29</f>
        <v/>
      </c>
      <c r="F262" s="14" t="n"/>
      <c r="G262" s="14" t="n"/>
      <c r="H262" s="15" t="n"/>
      <c r="I262" s="115" t="n"/>
      <c r="J262" s="52" t="inlineStr">
        <is>
          <t>AVISOS</t>
        </is>
      </c>
      <c r="K262" s="129">
        <f>DADOS_AM!$GK$30</f>
        <v/>
      </c>
      <c r="L262" s="14" t="n"/>
      <c r="M262" s="14" t="n"/>
      <c r="N262" s="15" t="n"/>
      <c r="O262" s="115" t="n"/>
      <c r="P262" s="52" t="inlineStr">
        <is>
          <t>AVISOS</t>
        </is>
      </c>
      <c r="Q262" s="129">
        <f>DADOS_AM!$GK$31</f>
        <v/>
      </c>
      <c r="R262" s="14" t="n"/>
      <c r="S262" s="14" t="n"/>
      <c r="T262" s="15" t="n"/>
      <c r="U262" s="115" t="n"/>
    </row>
    <row r="263" hidden="1" outlineLevel="3">
      <c r="A263" s="8" t="n"/>
      <c r="B263" s="22" t="n"/>
      <c r="C263" s="115" t="n"/>
      <c r="D263" s="121" t="n"/>
      <c r="E263" s="18" t="n"/>
      <c r="F263" s="19" t="n"/>
      <c r="G263" s="19" t="n"/>
      <c r="H263" s="20" t="n"/>
      <c r="I263" s="115" t="n"/>
      <c r="J263" s="121" t="n"/>
      <c r="K263" s="18" t="n"/>
      <c r="L263" s="19" t="n"/>
      <c r="M263" s="19" t="n"/>
      <c r="N263" s="20" t="n"/>
      <c r="O263" s="115" t="n"/>
      <c r="P263" s="121" t="n"/>
      <c r="Q263" s="18" t="n"/>
      <c r="R263" s="19" t="n"/>
      <c r="S263" s="19" t="n"/>
      <c r="T263" s="20" t="n"/>
      <c r="U263" s="115" t="n"/>
    </row>
    <row r="264" hidden="1" outlineLevel="2">
      <c r="A264" s="8" t="n"/>
      <c r="B264" s="22" t="n"/>
      <c r="C264" s="115" t="n"/>
      <c r="D264" s="115" t="n"/>
      <c r="E264" s="115" t="n"/>
      <c r="F264" s="115" t="n"/>
      <c r="G264" s="115" t="n"/>
      <c r="H264" s="115" t="n"/>
      <c r="I264" s="115" t="n"/>
      <c r="J264" s="115" t="n"/>
      <c r="K264" s="115" t="n"/>
      <c r="L264" s="115" t="n"/>
      <c r="M264" s="115" t="n"/>
      <c r="N264" s="115" t="n"/>
      <c r="O264" s="115" t="n"/>
      <c r="P264" s="115" t="n"/>
      <c r="Q264" s="115" t="n"/>
      <c r="R264" s="115" t="n"/>
      <c r="S264" s="115" t="n"/>
      <c r="T264" s="115" t="n"/>
      <c r="U264" s="115" t="n"/>
    </row>
    <row r="265" hidden="1" outlineLevel="2">
      <c r="A265" s="8" t="n"/>
      <c r="B265" s="22" t="n"/>
      <c r="C265" s="115" t="n"/>
      <c r="D265" s="123" t="n">
        <v>1</v>
      </c>
      <c r="E265" s="124" t="n"/>
      <c r="F265" s="12" t="n"/>
      <c r="G265" s="125">
        <f>DADOS_AM!$GJ$32</f>
        <v/>
      </c>
      <c r="H265" s="12" t="n"/>
      <c r="I265" s="115" t="n"/>
      <c r="J265" s="123" t="n">
        <v>1</v>
      </c>
      <c r="K265" s="124" t="n"/>
      <c r="L265" s="12" t="n"/>
      <c r="M265" s="125">
        <f>DADOS_AM!$GJ$33</f>
        <v/>
      </c>
      <c r="N265" s="12" t="n"/>
      <c r="O265" s="115" t="n"/>
      <c r="P265" s="123" t="n">
        <v>1</v>
      </c>
      <c r="Q265" s="124" t="n"/>
      <c r="R265" s="12" t="n"/>
      <c r="S265" s="125">
        <f>DADOS_AM!$GJ$34</f>
        <v/>
      </c>
      <c r="T265" s="12" t="n"/>
      <c r="U265" s="115" t="n"/>
    </row>
    <row r="266" hidden="1" outlineLevel="3">
      <c r="A266" s="8" t="n"/>
      <c r="B266" s="22" t="n"/>
      <c r="C266" s="115" t="n"/>
      <c r="D266" s="52" t="inlineStr">
        <is>
          <t>COMO É</t>
        </is>
      </c>
      <c r="E266" s="11" t="n"/>
      <c r="F266" s="11" t="n"/>
      <c r="G266" s="11" t="n"/>
      <c r="H266" s="12" t="n"/>
      <c r="I266" s="115" t="n"/>
      <c r="J266" s="52" t="inlineStr">
        <is>
          <t>COMO É</t>
        </is>
      </c>
      <c r="K266" s="11" t="n"/>
      <c r="L266" s="11" t="n"/>
      <c r="M266" s="11" t="n"/>
      <c r="N266" s="12" t="n"/>
      <c r="O266" s="115" t="n"/>
      <c r="P266" s="52" t="inlineStr">
        <is>
          <t>COMO É</t>
        </is>
      </c>
      <c r="Q266" s="11" t="n"/>
      <c r="R266" s="11" t="n"/>
      <c r="S266" s="11" t="n"/>
      <c r="T266" s="12" t="n"/>
      <c r="U266" s="115" t="n"/>
    </row>
    <row r="267" hidden="1" outlineLevel="3">
      <c r="A267" s="8" t="n"/>
      <c r="B267" s="22" t="n"/>
      <c r="C267" s="115" t="n"/>
      <c r="D267" s="120" t="n"/>
      <c r="E267" s="14" t="n"/>
      <c r="F267" s="14" t="n"/>
      <c r="G267" s="14" t="n"/>
      <c r="H267" s="15" t="n"/>
      <c r="I267" s="115" t="n"/>
      <c r="J267" s="120" t="n"/>
      <c r="K267" s="14" t="n"/>
      <c r="L267" s="14" t="n"/>
      <c r="M267" s="14" t="n"/>
      <c r="N267" s="15" t="n"/>
      <c r="O267" s="115" t="n"/>
      <c r="P267" s="120" t="n"/>
      <c r="Q267" s="14" t="n"/>
      <c r="R267" s="14" t="n"/>
      <c r="S267" s="14" t="n"/>
      <c r="T267" s="15" t="n"/>
      <c r="U267" s="115" t="n"/>
    </row>
    <row r="268" hidden="1" outlineLevel="3">
      <c r="A268" s="8" t="n"/>
      <c r="B268" s="22" t="n"/>
      <c r="C268" s="115" t="n"/>
      <c r="D268" s="16" t="n"/>
      <c r="H268" s="17" t="n"/>
      <c r="I268" s="115" t="n"/>
      <c r="J268" s="16" t="n"/>
      <c r="N268" s="17" t="n"/>
      <c r="O268" s="115" t="n"/>
      <c r="P268" s="16" t="n"/>
      <c r="T268" s="17" t="n"/>
      <c r="U268" s="115" t="n"/>
    </row>
    <row r="269" hidden="1" outlineLevel="3">
      <c r="A269" s="8" t="n"/>
      <c r="B269" s="22" t="n"/>
      <c r="C269" s="115" t="n"/>
      <c r="D269" s="16" t="n"/>
      <c r="H269" s="17" t="n"/>
      <c r="I269" s="115" t="n"/>
      <c r="J269" s="16" t="n"/>
      <c r="N269" s="17" t="n"/>
      <c r="O269" s="115" t="n"/>
      <c r="P269" s="16" t="n"/>
      <c r="T269" s="17" t="n"/>
      <c r="U269" s="115" t="n"/>
    </row>
    <row r="270" hidden="1" outlineLevel="3">
      <c r="A270" s="8" t="n"/>
      <c r="B270" s="22" t="n"/>
      <c r="C270" s="115" t="n"/>
      <c r="D270" s="16" t="n"/>
      <c r="H270" s="17" t="n"/>
      <c r="I270" s="115" t="n"/>
      <c r="J270" s="16" t="n"/>
      <c r="N270" s="17" t="n"/>
      <c r="O270" s="115" t="n"/>
      <c r="P270" s="16" t="n"/>
      <c r="T270" s="17" t="n"/>
      <c r="U270" s="115" t="n"/>
    </row>
    <row r="271" hidden="1" outlineLevel="3">
      <c r="A271" s="8" t="n"/>
      <c r="B271" s="22" t="n"/>
      <c r="C271" s="115" t="n"/>
      <c r="D271" s="18" t="n"/>
      <c r="E271" s="19" t="n"/>
      <c r="F271" s="19" t="n"/>
      <c r="G271" s="19" t="n"/>
      <c r="H271" s="20" t="n"/>
      <c r="I271" s="115" t="n"/>
      <c r="J271" s="18" t="n"/>
      <c r="K271" s="19" t="n"/>
      <c r="L271" s="19" t="n"/>
      <c r="M271" s="19" t="n"/>
      <c r="N271" s="20" t="n"/>
      <c r="O271" s="115" t="n"/>
      <c r="P271" s="18" t="n"/>
      <c r="Q271" s="19" t="n"/>
      <c r="R271" s="19" t="n"/>
      <c r="S271" s="19" t="n"/>
      <c r="T271" s="20" t="n"/>
      <c r="U271" s="115" t="n"/>
    </row>
    <row r="272" hidden="1" outlineLevel="2">
      <c r="A272" s="8" t="n"/>
      <c r="B272" s="22" t="n"/>
      <c r="C272" s="115" t="n"/>
      <c r="D272" s="119" t="inlineStr">
        <is>
          <t>Projétil</t>
        </is>
      </c>
      <c r="E272" s="65">
        <f>DADOS_AM!$GO$32</f>
        <v/>
      </c>
      <c r="F272" s="65">
        <f>DADOS_AM!$GL$32</f>
        <v/>
      </c>
      <c r="G272" s="119">
        <f>DADOS_AM!$GN$32</f>
        <v/>
      </c>
      <c r="H272" s="12" t="n"/>
      <c r="I272" s="115" t="n"/>
      <c r="J272" s="119" t="inlineStr">
        <is>
          <t>Projétil</t>
        </is>
      </c>
      <c r="K272" s="65">
        <f>DADOS_AM!$GO$33</f>
        <v/>
      </c>
      <c r="L272" s="65">
        <f>DADOS_AM!$GL$33</f>
        <v/>
      </c>
      <c r="M272" s="119">
        <f>DADOS_AM!$GN$33</f>
        <v/>
      </c>
      <c r="N272" s="12" t="n"/>
      <c r="O272" s="115" t="n"/>
      <c r="P272" s="119" t="inlineStr">
        <is>
          <t>Projétil</t>
        </is>
      </c>
      <c r="Q272" s="65">
        <f>DADOS_AM!$GO$34</f>
        <v/>
      </c>
      <c r="R272" s="65">
        <f>DADOS_AM!$GL$34</f>
        <v/>
      </c>
      <c r="S272" s="119">
        <f>DADOS_AM!$GN$34</f>
        <v/>
      </c>
      <c r="T272" s="12" t="n"/>
      <c r="U272" s="115" t="n"/>
    </row>
    <row r="273" hidden="1" outlineLevel="2">
      <c r="A273" s="8" t="n"/>
      <c r="B273" s="22" t="n"/>
      <c r="C273" s="115" t="n"/>
      <c r="D273" s="119">
        <f>DADOS_AM!$GM$32</f>
        <v/>
      </c>
      <c r="E273" s="126">
        <f>DADOS_AM!$GT$32</f>
        <v/>
      </c>
      <c r="F273" s="11" t="n"/>
      <c r="G273" s="11" t="n"/>
      <c r="H273" s="12" t="n"/>
      <c r="I273" s="115" t="n"/>
      <c r="J273" s="119">
        <f>DADOS_AM!$GM$33</f>
        <v/>
      </c>
      <c r="K273" s="126">
        <f>DADOS_AM!$GT$33</f>
        <v/>
      </c>
      <c r="L273" s="11" t="n"/>
      <c r="M273" s="11" t="n"/>
      <c r="N273" s="12" t="n"/>
      <c r="O273" s="115" t="n"/>
      <c r="P273" s="119">
        <f>DADOS_AM!$GM$34</f>
        <v/>
      </c>
      <c r="Q273" s="126">
        <f>DADOS_AM!$GT$34</f>
        <v/>
      </c>
      <c r="R273" s="11" t="n"/>
      <c r="S273" s="11" t="n"/>
      <c r="T273" s="12" t="n"/>
      <c r="U273" s="115" t="n"/>
    </row>
    <row r="274" hidden="1" outlineLevel="3">
      <c r="A274" s="8" t="n"/>
      <c r="B274" s="22" t="n"/>
      <c r="C274" s="115" t="n"/>
      <c r="D274" s="52" t="inlineStr">
        <is>
          <t>MELHORIAS</t>
        </is>
      </c>
      <c r="E274" s="127" t="n"/>
      <c r="F274" s="12" t="n"/>
      <c r="G274" s="126">
        <f>DADOS_AM!$GW$32</f>
        <v/>
      </c>
      <c r="H274" s="12" t="n"/>
      <c r="I274" s="115" t="n"/>
      <c r="J274" s="52" t="inlineStr">
        <is>
          <t>MELHORIAS</t>
        </is>
      </c>
      <c r="K274" s="127" t="n"/>
      <c r="L274" s="12" t="n"/>
      <c r="M274" s="126">
        <f>DADOS_AM!$GW$33</f>
        <v/>
      </c>
      <c r="N274" s="12" t="n"/>
      <c r="O274" s="115" t="n"/>
      <c r="P274" s="52" t="inlineStr">
        <is>
          <t>MELHORIAS</t>
        </is>
      </c>
      <c r="Q274" s="127" t="n"/>
      <c r="R274" s="12" t="n"/>
      <c r="S274" s="126">
        <f>DADOS_AM!$GW$34</f>
        <v/>
      </c>
      <c r="T274" s="12" t="n"/>
      <c r="U274" s="115" t="n"/>
    </row>
    <row r="275" hidden="1" outlineLevel="3">
      <c r="A275" s="8" t="n"/>
      <c r="B275" s="22" t="n"/>
      <c r="C275" s="115" t="n"/>
      <c r="D275" s="128" t="n"/>
      <c r="E275" s="127" t="n"/>
      <c r="F275" s="12" t="n"/>
      <c r="G275" s="126">
        <f>DADOS_AM!$GX$32</f>
        <v/>
      </c>
      <c r="H275" s="12" t="n"/>
      <c r="I275" s="115" t="n"/>
      <c r="J275" s="128" t="n"/>
      <c r="K275" s="127" t="n"/>
      <c r="L275" s="12" t="n"/>
      <c r="M275" s="126">
        <f>DADOS_AM!$GX$33</f>
        <v/>
      </c>
      <c r="N275" s="12" t="n"/>
      <c r="O275" s="115" t="n"/>
      <c r="P275" s="128" t="n"/>
      <c r="Q275" s="127" t="n"/>
      <c r="R275" s="12" t="n"/>
      <c r="S275" s="126">
        <f>DADOS_AM!$GX$34</f>
        <v/>
      </c>
      <c r="T275" s="12" t="n"/>
      <c r="U275" s="115" t="n"/>
    </row>
    <row r="276" hidden="1" outlineLevel="3">
      <c r="A276" s="8" t="n"/>
      <c r="B276" s="22" t="n"/>
      <c r="C276" s="115" t="n"/>
      <c r="D276" s="128" t="n"/>
      <c r="E276" s="127" t="n"/>
      <c r="F276" s="12" t="n"/>
      <c r="G276" s="126">
        <f>DADOS_AM!$GY$32</f>
        <v/>
      </c>
      <c r="H276" s="12" t="n"/>
      <c r="I276" s="115" t="n"/>
      <c r="J276" s="128" t="n"/>
      <c r="K276" s="127" t="n"/>
      <c r="L276" s="12" t="n"/>
      <c r="M276" s="126">
        <f>DADOS_AM!$GY$33</f>
        <v/>
      </c>
      <c r="N276" s="12" t="n"/>
      <c r="O276" s="115" t="n"/>
      <c r="P276" s="128" t="n"/>
      <c r="Q276" s="127" t="n"/>
      <c r="R276" s="12" t="n"/>
      <c r="S276" s="126">
        <f>DADOS_AM!$GY$34</f>
        <v/>
      </c>
      <c r="T276" s="12" t="n"/>
      <c r="U276" s="115" t="n"/>
    </row>
    <row r="277" hidden="1" outlineLevel="3">
      <c r="A277" s="8" t="n"/>
      <c r="B277" s="22" t="n"/>
      <c r="C277" s="115" t="n"/>
      <c r="D277" s="121" t="n"/>
      <c r="E277" s="127" t="n"/>
      <c r="F277" s="12" t="n"/>
      <c r="G277" s="126">
        <f>DADOS_AM!$GZ$32</f>
        <v/>
      </c>
      <c r="H277" s="12" t="n"/>
      <c r="I277" s="115" t="n"/>
      <c r="J277" s="121" t="n"/>
      <c r="K277" s="127" t="n"/>
      <c r="L277" s="12" t="n"/>
      <c r="M277" s="126">
        <f>DADOS_AM!$GZ$33</f>
        <v/>
      </c>
      <c r="N277" s="12" t="n"/>
      <c r="O277" s="115" t="n"/>
      <c r="P277" s="121" t="n"/>
      <c r="Q277" s="127" t="n"/>
      <c r="R277" s="12" t="n"/>
      <c r="S277" s="126">
        <f>DADOS_AM!$GZ$34</f>
        <v/>
      </c>
      <c r="T277" s="12" t="n"/>
      <c r="U277" s="115" t="n"/>
    </row>
    <row r="278" hidden="1" outlineLevel="3">
      <c r="A278" s="8" t="n"/>
      <c r="B278" s="22" t="n"/>
      <c r="C278" s="115" t="n"/>
      <c r="D278" s="52" t="inlineStr">
        <is>
          <t>RESTRIÇÕES</t>
        </is>
      </c>
      <c r="E278" s="127" t="n"/>
      <c r="F278" s="12" t="n"/>
      <c r="G278" s="126">
        <f>DADOS_AM!$HA$32</f>
        <v/>
      </c>
      <c r="H278" s="12" t="n"/>
      <c r="I278" s="115" t="n"/>
      <c r="J278" s="52" t="inlineStr">
        <is>
          <t>RESTRIÇÕES</t>
        </is>
      </c>
      <c r="K278" s="127" t="n"/>
      <c r="L278" s="12" t="n"/>
      <c r="M278" s="126">
        <f>DADOS_AM!$HA$33</f>
        <v/>
      </c>
      <c r="N278" s="12" t="n"/>
      <c r="O278" s="115" t="n"/>
      <c r="P278" s="52" t="inlineStr">
        <is>
          <t>RESTRIÇÕES</t>
        </is>
      </c>
      <c r="Q278" s="127" t="n"/>
      <c r="R278" s="12" t="n"/>
      <c r="S278" s="126">
        <f>DADOS_AM!$HA$34</f>
        <v/>
      </c>
      <c r="T278" s="12" t="n"/>
      <c r="U278" s="115" t="n"/>
    </row>
    <row r="279" hidden="1" outlineLevel="3">
      <c r="A279" s="8" t="n"/>
      <c r="B279" s="22" t="n"/>
      <c r="C279" s="115" t="n"/>
      <c r="D279" s="121" t="n"/>
      <c r="E279" s="127" t="n"/>
      <c r="F279" s="12" t="n"/>
      <c r="G279" s="126">
        <f>DADOS_AM!$HB$32</f>
        <v/>
      </c>
      <c r="H279" s="12" t="n"/>
      <c r="I279" s="115" t="n"/>
      <c r="J279" s="121" t="n"/>
      <c r="K279" s="127" t="n"/>
      <c r="L279" s="12" t="n"/>
      <c r="M279" s="126">
        <f>DADOS_AM!$HB$33</f>
        <v/>
      </c>
      <c r="N279" s="12" t="n"/>
      <c r="O279" s="115" t="n"/>
      <c r="P279" s="121" t="n"/>
      <c r="Q279" s="127" t="n"/>
      <c r="R279" s="12" t="n"/>
      <c r="S279" s="126">
        <f>DADOS_AM!$HB$34</f>
        <v/>
      </c>
      <c r="T279" s="12" t="n"/>
      <c r="U279" s="115" t="n"/>
    </row>
    <row r="280" hidden="1" outlineLevel="3">
      <c r="A280" s="8" t="n"/>
      <c r="B280" s="22" t="n"/>
      <c r="C280" s="115" t="n"/>
      <c r="D280" s="52" t="inlineStr">
        <is>
          <t>CONTA</t>
        </is>
      </c>
      <c r="E280" s="129">
        <f>DADOS_AM!$GU$32</f>
        <v/>
      </c>
      <c r="F280" s="11" t="n"/>
      <c r="G280" s="11" t="n"/>
      <c r="H280" s="12" t="n"/>
      <c r="I280" s="115" t="n"/>
      <c r="J280" s="52" t="inlineStr">
        <is>
          <t>CONTA</t>
        </is>
      </c>
      <c r="K280" s="129">
        <f>DADOS_AM!$GU$33</f>
        <v/>
      </c>
      <c r="L280" s="11" t="n"/>
      <c r="M280" s="11" t="n"/>
      <c r="N280" s="12" t="n"/>
      <c r="O280" s="115" t="n"/>
      <c r="P280" s="52" t="inlineStr">
        <is>
          <t>CONTA</t>
        </is>
      </c>
      <c r="Q280" s="129">
        <f>DADOS_AM!$GU$34</f>
        <v/>
      </c>
      <c r="R280" s="11" t="n"/>
      <c r="S280" s="11" t="n"/>
      <c r="T280" s="12" t="n"/>
      <c r="U280" s="115" t="n"/>
    </row>
    <row r="281" hidden="1" outlineLevel="3">
      <c r="A281" s="8" t="n"/>
      <c r="B281" s="22" t="n"/>
      <c r="C281" s="115" t="n"/>
      <c r="D281" s="52" t="inlineStr">
        <is>
          <t>AMPLIAR</t>
        </is>
      </c>
      <c r="E281" s="129">
        <f>DADOS_AM!$GV$32</f>
        <v/>
      </c>
      <c r="F281" s="14" t="n"/>
      <c r="G281" s="14" t="n"/>
      <c r="H281" s="15" t="n"/>
      <c r="I281" s="115" t="n"/>
      <c r="J281" s="52" t="inlineStr">
        <is>
          <t>AMPLIAR</t>
        </is>
      </c>
      <c r="K281" s="129">
        <f>DADOS_AM!$GV$33</f>
        <v/>
      </c>
      <c r="L281" s="14" t="n"/>
      <c r="M281" s="14" t="n"/>
      <c r="N281" s="15" t="n"/>
      <c r="O281" s="115" t="n"/>
      <c r="P281" s="52" t="inlineStr">
        <is>
          <t>AMPLIAR</t>
        </is>
      </c>
      <c r="Q281" s="129">
        <f>DADOS_AM!$GV$34</f>
        <v/>
      </c>
      <c r="R281" s="14" t="n"/>
      <c r="S281" s="14" t="n"/>
      <c r="T281" s="15" t="n"/>
      <c r="U281" s="115" t="n"/>
    </row>
    <row r="282" hidden="1" outlineLevel="3">
      <c r="A282" s="8" t="n"/>
      <c r="B282" s="22" t="n"/>
      <c r="C282" s="115" t="n"/>
      <c r="D282" s="121" t="n"/>
      <c r="E282" s="18" t="n"/>
      <c r="F282" s="19" t="n"/>
      <c r="G282" s="19" t="n"/>
      <c r="H282" s="20" t="n"/>
      <c r="I282" s="115" t="n"/>
      <c r="J282" s="121" t="n"/>
      <c r="K282" s="18" t="n"/>
      <c r="L282" s="19" t="n"/>
      <c r="M282" s="19" t="n"/>
      <c r="N282" s="20" t="n"/>
      <c r="O282" s="115" t="n"/>
      <c r="P282" s="121" t="n"/>
      <c r="Q282" s="18" t="n"/>
      <c r="R282" s="19" t="n"/>
      <c r="S282" s="19" t="n"/>
      <c r="T282" s="20" t="n"/>
      <c r="U282" s="115" t="n"/>
    </row>
    <row r="283" hidden="1" outlineLevel="3">
      <c r="A283" s="8" t="n"/>
      <c r="B283" s="22" t="n"/>
      <c r="C283" s="115" t="n"/>
      <c r="D283" s="52" t="inlineStr">
        <is>
          <t>AVISOS</t>
        </is>
      </c>
      <c r="E283" s="129">
        <f>DADOS_AM!$GK$32</f>
        <v/>
      </c>
      <c r="F283" s="14" t="n"/>
      <c r="G283" s="14" t="n"/>
      <c r="H283" s="15" t="n"/>
      <c r="I283" s="115" t="n"/>
      <c r="J283" s="52" t="inlineStr">
        <is>
          <t>AVISOS</t>
        </is>
      </c>
      <c r="K283" s="129">
        <f>DADOS_AM!$GK$33</f>
        <v/>
      </c>
      <c r="L283" s="14" t="n"/>
      <c r="M283" s="14" t="n"/>
      <c r="N283" s="15" t="n"/>
      <c r="O283" s="115" t="n"/>
      <c r="P283" s="52" t="inlineStr">
        <is>
          <t>AVISOS</t>
        </is>
      </c>
      <c r="Q283" s="129">
        <f>DADOS_AM!$GK$34</f>
        <v/>
      </c>
      <c r="R283" s="14" t="n"/>
      <c r="S283" s="14" t="n"/>
      <c r="T283" s="15" t="n"/>
      <c r="U283" s="115" t="n"/>
    </row>
    <row r="284" hidden="1" outlineLevel="3">
      <c r="A284" s="8" t="n"/>
      <c r="B284" s="22" t="n"/>
      <c r="C284" s="115" t="n"/>
      <c r="D284" s="121" t="n"/>
      <c r="E284" s="18" t="n"/>
      <c r="F284" s="19" t="n"/>
      <c r="G284" s="19" t="n"/>
      <c r="H284" s="20" t="n"/>
      <c r="I284" s="115" t="n"/>
      <c r="J284" s="121" t="n"/>
      <c r="K284" s="18" t="n"/>
      <c r="L284" s="19" t="n"/>
      <c r="M284" s="19" t="n"/>
      <c r="N284" s="20" t="n"/>
      <c r="O284" s="115" t="n"/>
      <c r="P284" s="121" t="n"/>
      <c r="Q284" s="18" t="n"/>
      <c r="R284" s="19" t="n"/>
      <c r="S284" s="19" t="n"/>
      <c r="T284" s="20" t="n"/>
      <c r="U284" s="115" t="n"/>
    </row>
    <row r="285" hidden="1" outlineLevel="2">
      <c r="A285" s="8" t="n"/>
      <c r="B285" s="22" t="n"/>
      <c r="C285" s="115" t="n"/>
      <c r="D285" s="115" t="n"/>
      <c r="E285" s="115" t="n"/>
      <c r="F285" s="115" t="n"/>
      <c r="G285" s="115" t="n"/>
      <c r="H285" s="115" t="n"/>
      <c r="I285" s="115" t="n"/>
      <c r="J285" s="115" t="n"/>
      <c r="K285" s="115" t="n"/>
      <c r="L285" s="115" t="n"/>
      <c r="M285" s="115" t="n"/>
      <c r="N285" s="115" t="n"/>
      <c r="O285" s="115" t="n"/>
      <c r="P285" s="115" t="n"/>
      <c r="Q285" s="115" t="n"/>
      <c r="R285" s="115" t="n"/>
      <c r="S285" s="115" t="n"/>
      <c r="T285" s="115" t="n"/>
      <c r="U285" s="115" t="n"/>
    </row>
    <row r="286" hidden="1" outlineLevel="2">
      <c r="A286" s="8" t="n"/>
      <c r="B286" s="22" t="n"/>
      <c r="C286" s="115" t="n"/>
      <c r="D286" s="123" t="n">
        <v>1</v>
      </c>
      <c r="E286" s="124" t="n"/>
      <c r="F286" s="12" t="n"/>
      <c r="G286" s="125">
        <f>DADOS_AM!$GJ$35</f>
        <v/>
      </c>
      <c r="H286" s="12" t="n"/>
      <c r="I286" s="115" t="n"/>
      <c r="J286" s="123" t="n">
        <v>1</v>
      </c>
      <c r="K286" s="124" t="n"/>
      <c r="L286" s="12" t="n"/>
      <c r="M286" s="125">
        <f>DADOS_AM!$GJ$36</f>
        <v/>
      </c>
      <c r="N286" s="12" t="n"/>
      <c r="O286" s="115" t="n"/>
      <c r="P286" s="123" t="n">
        <v>1</v>
      </c>
      <c r="Q286" s="124" t="n"/>
      <c r="R286" s="12" t="n"/>
      <c r="S286" s="125">
        <f>DADOS_AM!$GJ$37</f>
        <v/>
      </c>
      <c r="T286" s="12" t="n"/>
      <c r="U286" s="115" t="n"/>
    </row>
    <row r="287" hidden="1" outlineLevel="3">
      <c r="A287" s="8" t="n"/>
      <c r="B287" s="22" t="n"/>
      <c r="C287" s="115" t="n"/>
      <c r="D287" s="52" t="inlineStr">
        <is>
          <t>COMO É</t>
        </is>
      </c>
      <c r="E287" s="11" t="n"/>
      <c r="F287" s="11" t="n"/>
      <c r="G287" s="11" t="n"/>
      <c r="H287" s="12" t="n"/>
      <c r="I287" s="115" t="n"/>
      <c r="J287" s="52" t="inlineStr">
        <is>
          <t>COMO É</t>
        </is>
      </c>
      <c r="K287" s="11" t="n"/>
      <c r="L287" s="11" t="n"/>
      <c r="M287" s="11" t="n"/>
      <c r="N287" s="12" t="n"/>
      <c r="O287" s="115" t="n"/>
      <c r="P287" s="52" t="inlineStr">
        <is>
          <t>COMO É</t>
        </is>
      </c>
      <c r="Q287" s="11" t="n"/>
      <c r="R287" s="11" t="n"/>
      <c r="S287" s="11" t="n"/>
      <c r="T287" s="12" t="n"/>
      <c r="U287" s="115" t="n"/>
    </row>
    <row r="288" hidden="1" outlineLevel="3">
      <c r="A288" s="8" t="n"/>
      <c r="B288" s="22" t="n"/>
      <c r="C288" s="115" t="n"/>
      <c r="D288" s="120" t="n"/>
      <c r="E288" s="14" t="n"/>
      <c r="F288" s="14" t="n"/>
      <c r="G288" s="14" t="n"/>
      <c r="H288" s="15" t="n"/>
      <c r="I288" s="115" t="n"/>
      <c r="J288" s="120" t="n"/>
      <c r="K288" s="14" t="n"/>
      <c r="L288" s="14" t="n"/>
      <c r="M288" s="14" t="n"/>
      <c r="N288" s="15" t="n"/>
      <c r="O288" s="115" t="n"/>
      <c r="P288" s="120" t="n"/>
      <c r="Q288" s="14" t="n"/>
      <c r="R288" s="14" t="n"/>
      <c r="S288" s="14" t="n"/>
      <c r="T288" s="15" t="n"/>
      <c r="U288" s="115" t="n"/>
    </row>
    <row r="289" hidden="1" outlineLevel="3">
      <c r="A289" s="8" t="n"/>
      <c r="B289" s="22" t="n"/>
      <c r="C289" s="115" t="n"/>
      <c r="D289" s="16" t="n"/>
      <c r="H289" s="17" t="n"/>
      <c r="I289" s="115" t="n"/>
      <c r="J289" s="16" t="n"/>
      <c r="N289" s="17" t="n"/>
      <c r="O289" s="115" t="n"/>
      <c r="P289" s="16" t="n"/>
      <c r="T289" s="17" t="n"/>
      <c r="U289" s="115" t="n"/>
    </row>
    <row r="290" hidden="1" outlineLevel="3">
      <c r="A290" s="8" t="n"/>
      <c r="B290" s="22" t="n"/>
      <c r="C290" s="115" t="n"/>
      <c r="D290" s="16" t="n"/>
      <c r="H290" s="17" t="n"/>
      <c r="I290" s="115" t="n"/>
      <c r="J290" s="16" t="n"/>
      <c r="N290" s="17" t="n"/>
      <c r="O290" s="115" t="n"/>
      <c r="P290" s="16" t="n"/>
      <c r="T290" s="17" t="n"/>
      <c r="U290" s="115" t="n"/>
    </row>
    <row r="291" hidden="1" outlineLevel="3">
      <c r="A291" s="8" t="n"/>
      <c r="B291" s="22" t="n"/>
      <c r="C291" s="115" t="n"/>
      <c r="D291" s="16" t="n"/>
      <c r="H291" s="17" t="n"/>
      <c r="I291" s="115" t="n"/>
      <c r="J291" s="16" t="n"/>
      <c r="N291" s="17" t="n"/>
      <c r="O291" s="115" t="n"/>
      <c r="P291" s="16" t="n"/>
      <c r="T291" s="17" t="n"/>
      <c r="U291" s="115" t="n"/>
    </row>
    <row r="292" hidden="1" outlineLevel="3">
      <c r="A292" s="8" t="n"/>
      <c r="B292" s="22" t="n"/>
      <c r="C292" s="115" t="n"/>
      <c r="D292" s="18" t="n"/>
      <c r="E292" s="19" t="n"/>
      <c r="F292" s="19" t="n"/>
      <c r="G292" s="19" t="n"/>
      <c r="H292" s="20" t="n"/>
      <c r="I292" s="115" t="n"/>
      <c r="J292" s="18" t="n"/>
      <c r="K292" s="19" t="n"/>
      <c r="L292" s="19" t="n"/>
      <c r="M292" s="19" t="n"/>
      <c r="N292" s="20" t="n"/>
      <c r="O292" s="115" t="n"/>
      <c r="P292" s="18" t="n"/>
      <c r="Q292" s="19" t="n"/>
      <c r="R292" s="19" t="n"/>
      <c r="S292" s="19" t="n"/>
      <c r="T292" s="20" t="n"/>
      <c r="U292" s="115" t="n"/>
    </row>
    <row r="293" hidden="1" outlineLevel="2">
      <c r="A293" s="8" t="n"/>
      <c r="B293" s="22" t="n"/>
      <c r="C293" s="115" t="n"/>
      <c r="D293" s="119" t="inlineStr">
        <is>
          <t>Projétil</t>
        </is>
      </c>
      <c r="E293" s="65">
        <f>DADOS_AM!$GO$35</f>
        <v/>
      </c>
      <c r="F293" s="65">
        <f>DADOS_AM!$GL$35</f>
        <v/>
      </c>
      <c r="G293" s="119">
        <f>DADOS_AM!$GN$35</f>
        <v/>
      </c>
      <c r="H293" s="12" t="n"/>
      <c r="I293" s="115" t="n"/>
      <c r="J293" s="119" t="inlineStr">
        <is>
          <t>Projétil</t>
        </is>
      </c>
      <c r="K293" s="65">
        <f>DADOS_AM!$GO$36</f>
        <v/>
      </c>
      <c r="L293" s="65">
        <f>DADOS_AM!$GL$36</f>
        <v/>
      </c>
      <c r="M293" s="119">
        <f>DADOS_AM!$GN$36</f>
        <v/>
      </c>
      <c r="N293" s="12" t="n"/>
      <c r="O293" s="115" t="n"/>
      <c r="P293" s="119" t="inlineStr">
        <is>
          <t>Projétil</t>
        </is>
      </c>
      <c r="Q293" s="65">
        <f>DADOS_AM!$GO$37</f>
        <v/>
      </c>
      <c r="R293" s="65">
        <f>DADOS_AM!$GL$37</f>
        <v/>
      </c>
      <c r="S293" s="119">
        <f>DADOS_AM!$GN$37</f>
        <v/>
      </c>
      <c r="T293" s="12" t="n"/>
      <c r="U293" s="115" t="n"/>
    </row>
    <row r="294" hidden="1" outlineLevel="2">
      <c r="A294" s="8" t="n"/>
      <c r="B294" s="22" t="n"/>
      <c r="C294" s="115" t="n"/>
      <c r="D294" s="119">
        <f>DADOS_AM!$GM$35</f>
        <v/>
      </c>
      <c r="E294" s="126">
        <f>DADOS_AM!$GT$35</f>
        <v/>
      </c>
      <c r="F294" s="11" t="n"/>
      <c r="G294" s="11" t="n"/>
      <c r="H294" s="12" t="n"/>
      <c r="I294" s="115" t="n"/>
      <c r="J294" s="119">
        <f>DADOS_AM!$GM$36</f>
        <v/>
      </c>
      <c r="K294" s="126">
        <f>DADOS_AM!$GT$36</f>
        <v/>
      </c>
      <c r="L294" s="11" t="n"/>
      <c r="M294" s="11" t="n"/>
      <c r="N294" s="12" t="n"/>
      <c r="O294" s="115" t="n"/>
      <c r="P294" s="119">
        <f>DADOS_AM!$GM$37</f>
        <v/>
      </c>
      <c r="Q294" s="126">
        <f>DADOS_AM!$GT$37</f>
        <v/>
      </c>
      <c r="R294" s="11" t="n"/>
      <c r="S294" s="11" t="n"/>
      <c r="T294" s="12" t="n"/>
      <c r="U294" s="115" t="n"/>
    </row>
    <row r="295" hidden="1" outlineLevel="3">
      <c r="A295" s="8" t="n"/>
      <c r="B295" s="22" t="n"/>
      <c r="C295" s="115" t="n"/>
      <c r="D295" s="52" t="inlineStr">
        <is>
          <t>MELHORIAS</t>
        </is>
      </c>
      <c r="E295" s="127" t="n"/>
      <c r="F295" s="12" t="n"/>
      <c r="G295" s="126">
        <f>DADOS_AM!$GW$35</f>
        <v/>
      </c>
      <c r="H295" s="12" t="n"/>
      <c r="I295" s="115" t="n"/>
      <c r="J295" s="52" t="inlineStr">
        <is>
          <t>MELHORIAS</t>
        </is>
      </c>
      <c r="K295" s="127" t="n"/>
      <c r="L295" s="12" t="n"/>
      <c r="M295" s="126">
        <f>DADOS_AM!$GW$36</f>
        <v/>
      </c>
      <c r="N295" s="12" t="n"/>
      <c r="O295" s="115" t="n"/>
      <c r="P295" s="52" t="inlineStr">
        <is>
          <t>MELHORIAS</t>
        </is>
      </c>
      <c r="Q295" s="127" t="n"/>
      <c r="R295" s="12" t="n"/>
      <c r="S295" s="126">
        <f>DADOS_AM!$GW$37</f>
        <v/>
      </c>
      <c r="T295" s="12" t="n"/>
      <c r="U295" s="115" t="n"/>
    </row>
    <row r="296" hidden="1" outlineLevel="3">
      <c r="A296" s="8" t="n"/>
      <c r="B296" s="22" t="n"/>
      <c r="C296" s="115" t="n"/>
      <c r="D296" s="128" t="n"/>
      <c r="E296" s="127" t="n"/>
      <c r="F296" s="12" t="n"/>
      <c r="G296" s="126">
        <f>DADOS_AM!$GX$35</f>
        <v/>
      </c>
      <c r="H296" s="12" t="n"/>
      <c r="I296" s="115" t="n"/>
      <c r="J296" s="128" t="n"/>
      <c r="K296" s="127" t="n"/>
      <c r="L296" s="12" t="n"/>
      <c r="M296" s="126">
        <f>DADOS_AM!$GX$36</f>
        <v/>
      </c>
      <c r="N296" s="12" t="n"/>
      <c r="O296" s="115" t="n"/>
      <c r="P296" s="128" t="n"/>
      <c r="Q296" s="127" t="n"/>
      <c r="R296" s="12" t="n"/>
      <c r="S296" s="126">
        <f>DADOS_AM!$GX$37</f>
        <v/>
      </c>
      <c r="T296" s="12" t="n"/>
      <c r="U296" s="115" t="n"/>
    </row>
    <row r="297" hidden="1" outlineLevel="3">
      <c r="A297" s="8" t="n"/>
      <c r="B297" s="22" t="n"/>
      <c r="C297" s="115" t="n"/>
      <c r="D297" s="128" t="n"/>
      <c r="E297" s="127" t="n"/>
      <c r="F297" s="12" t="n"/>
      <c r="G297" s="126">
        <f>DADOS_AM!$GY$35</f>
        <v/>
      </c>
      <c r="H297" s="12" t="n"/>
      <c r="I297" s="115" t="n"/>
      <c r="J297" s="128" t="n"/>
      <c r="K297" s="127" t="n"/>
      <c r="L297" s="12" t="n"/>
      <c r="M297" s="126">
        <f>DADOS_AM!$GY$36</f>
        <v/>
      </c>
      <c r="N297" s="12" t="n"/>
      <c r="O297" s="115" t="n"/>
      <c r="P297" s="128" t="n"/>
      <c r="Q297" s="127" t="n"/>
      <c r="R297" s="12" t="n"/>
      <c r="S297" s="126">
        <f>DADOS_AM!$GY$37</f>
        <v/>
      </c>
      <c r="T297" s="12" t="n"/>
      <c r="U297" s="115" t="n"/>
    </row>
    <row r="298" hidden="1" outlineLevel="3">
      <c r="A298" s="8" t="n"/>
      <c r="B298" s="22" t="n"/>
      <c r="C298" s="115" t="n"/>
      <c r="D298" s="121" t="n"/>
      <c r="E298" s="127" t="n"/>
      <c r="F298" s="12" t="n"/>
      <c r="G298" s="126">
        <f>DADOS_AM!$GZ$35</f>
        <v/>
      </c>
      <c r="H298" s="12" t="n"/>
      <c r="I298" s="115" t="n"/>
      <c r="J298" s="121" t="n"/>
      <c r="K298" s="127" t="n"/>
      <c r="L298" s="12" t="n"/>
      <c r="M298" s="126">
        <f>DADOS_AM!$GZ$36</f>
        <v/>
      </c>
      <c r="N298" s="12" t="n"/>
      <c r="O298" s="115" t="n"/>
      <c r="P298" s="121" t="n"/>
      <c r="Q298" s="127" t="n"/>
      <c r="R298" s="12" t="n"/>
      <c r="S298" s="126">
        <f>DADOS_AM!$GZ$37</f>
        <v/>
      </c>
      <c r="T298" s="12" t="n"/>
      <c r="U298" s="115" t="n"/>
    </row>
    <row r="299" hidden="1" outlineLevel="3">
      <c r="A299" s="8" t="n"/>
      <c r="B299" s="22" t="n"/>
      <c r="C299" s="115" t="n"/>
      <c r="D299" s="52" t="inlineStr">
        <is>
          <t>RESTRIÇÕES</t>
        </is>
      </c>
      <c r="E299" s="127" t="n"/>
      <c r="F299" s="12" t="n"/>
      <c r="G299" s="126">
        <f>DADOS_AM!$HA$35</f>
        <v/>
      </c>
      <c r="H299" s="12" t="n"/>
      <c r="I299" s="115" t="n"/>
      <c r="J299" s="52" t="inlineStr">
        <is>
          <t>RESTRIÇÕES</t>
        </is>
      </c>
      <c r="K299" s="127" t="n"/>
      <c r="L299" s="12" t="n"/>
      <c r="M299" s="126">
        <f>DADOS_AM!$HA$36</f>
        <v/>
      </c>
      <c r="N299" s="12" t="n"/>
      <c r="O299" s="115" t="n"/>
      <c r="P299" s="52" t="inlineStr">
        <is>
          <t>RESTRIÇÕES</t>
        </is>
      </c>
      <c r="Q299" s="127" t="n"/>
      <c r="R299" s="12" t="n"/>
      <c r="S299" s="126">
        <f>DADOS_AM!$HA$37</f>
        <v/>
      </c>
      <c r="T299" s="12" t="n"/>
      <c r="U299" s="115" t="n"/>
    </row>
    <row r="300" hidden="1" outlineLevel="3">
      <c r="A300" s="8" t="n"/>
      <c r="B300" s="22" t="n"/>
      <c r="C300" s="115" t="n"/>
      <c r="D300" s="121" t="n"/>
      <c r="E300" s="127" t="n"/>
      <c r="F300" s="12" t="n"/>
      <c r="G300" s="126">
        <f>DADOS_AM!$HB$35</f>
        <v/>
      </c>
      <c r="H300" s="12" t="n"/>
      <c r="I300" s="115" t="n"/>
      <c r="J300" s="121" t="n"/>
      <c r="K300" s="127" t="n"/>
      <c r="L300" s="12" t="n"/>
      <c r="M300" s="126">
        <f>DADOS_AM!$HB$36</f>
        <v/>
      </c>
      <c r="N300" s="12" t="n"/>
      <c r="O300" s="115" t="n"/>
      <c r="P300" s="121" t="n"/>
      <c r="Q300" s="127" t="n"/>
      <c r="R300" s="12" t="n"/>
      <c r="S300" s="126">
        <f>DADOS_AM!$HB$37</f>
        <v/>
      </c>
      <c r="T300" s="12" t="n"/>
      <c r="U300" s="115" t="n"/>
    </row>
    <row r="301" hidden="1" outlineLevel="3">
      <c r="A301" s="8" t="n"/>
      <c r="B301" s="22" t="n"/>
      <c r="C301" s="115" t="n"/>
      <c r="D301" s="52" t="inlineStr">
        <is>
          <t>CONTA</t>
        </is>
      </c>
      <c r="E301" s="129">
        <f>DADOS_AM!$GU$35</f>
        <v/>
      </c>
      <c r="F301" s="11" t="n"/>
      <c r="G301" s="11" t="n"/>
      <c r="H301" s="12" t="n"/>
      <c r="I301" s="115" t="n"/>
      <c r="J301" s="52" t="inlineStr">
        <is>
          <t>CONTA</t>
        </is>
      </c>
      <c r="K301" s="129">
        <f>DADOS_AM!$GU$36</f>
        <v/>
      </c>
      <c r="L301" s="11" t="n"/>
      <c r="M301" s="11" t="n"/>
      <c r="N301" s="12" t="n"/>
      <c r="O301" s="115" t="n"/>
      <c r="P301" s="52" t="inlineStr">
        <is>
          <t>CONTA</t>
        </is>
      </c>
      <c r="Q301" s="129">
        <f>DADOS_AM!$GU$37</f>
        <v/>
      </c>
      <c r="R301" s="11" t="n"/>
      <c r="S301" s="11" t="n"/>
      <c r="T301" s="12" t="n"/>
      <c r="U301" s="115" t="n"/>
    </row>
    <row r="302" hidden="1" outlineLevel="3">
      <c r="A302" s="8" t="n"/>
      <c r="B302" s="22" t="n"/>
      <c r="C302" s="115" t="n"/>
      <c r="D302" s="52" t="inlineStr">
        <is>
          <t>AMPLIAR</t>
        </is>
      </c>
      <c r="E302" s="129">
        <f>DADOS_AM!$GV$35</f>
        <v/>
      </c>
      <c r="F302" s="14" t="n"/>
      <c r="G302" s="14" t="n"/>
      <c r="H302" s="15" t="n"/>
      <c r="I302" s="115" t="n"/>
      <c r="J302" s="52" t="inlineStr">
        <is>
          <t>AMPLIAR</t>
        </is>
      </c>
      <c r="K302" s="129">
        <f>DADOS_AM!$GV$36</f>
        <v/>
      </c>
      <c r="L302" s="14" t="n"/>
      <c r="M302" s="14" t="n"/>
      <c r="N302" s="15" t="n"/>
      <c r="O302" s="115" t="n"/>
      <c r="P302" s="52" t="inlineStr">
        <is>
          <t>AMPLIAR</t>
        </is>
      </c>
      <c r="Q302" s="129">
        <f>DADOS_AM!$GV$37</f>
        <v/>
      </c>
      <c r="R302" s="14" t="n"/>
      <c r="S302" s="14" t="n"/>
      <c r="T302" s="15" t="n"/>
      <c r="U302" s="115" t="n"/>
    </row>
    <row r="303" hidden="1" outlineLevel="3">
      <c r="A303" s="8" t="n"/>
      <c r="B303" s="22" t="n"/>
      <c r="C303" s="115" t="n"/>
      <c r="D303" s="121" t="n"/>
      <c r="E303" s="18" t="n"/>
      <c r="F303" s="19" t="n"/>
      <c r="G303" s="19" t="n"/>
      <c r="H303" s="20" t="n"/>
      <c r="I303" s="115" t="n"/>
      <c r="J303" s="121" t="n"/>
      <c r="K303" s="18" t="n"/>
      <c r="L303" s="19" t="n"/>
      <c r="M303" s="19" t="n"/>
      <c r="N303" s="20" t="n"/>
      <c r="O303" s="115" t="n"/>
      <c r="P303" s="121" t="n"/>
      <c r="Q303" s="18" t="n"/>
      <c r="R303" s="19" t="n"/>
      <c r="S303" s="19" t="n"/>
      <c r="T303" s="20" t="n"/>
      <c r="U303" s="115" t="n"/>
    </row>
    <row r="304" hidden="1" outlineLevel="3">
      <c r="A304" s="8" t="n"/>
      <c r="B304" s="22" t="n"/>
      <c r="C304" s="115" t="n"/>
      <c r="D304" s="52" t="inlineStr">
        <is>
          <t>AVISOS</t>
        </is>
      </c>
      <c r="E304" s="129">
        <f>DADOS_AM!$GK$35</f>
        <v/>
      </c>
      <c r="F304" s="14" t="n"/>
      <c r="G304" s="14" t="n"/>
      <c r="H304" s="15" t="n"/>
      <c r="I304" s="115" t="n"/>
      <c r="J304" s="52" t="inlineStr">
        <is>
          <t>AVISOS</t>
        </is>
      </c>
      <c r="K304" s="129">
        <f>DADOS_AM!$GK$36</f>
        <v/>
      </c>
      <c r="L304" s="14" t="n"/>
      <c r="M304" s="14" t="n"/>
      <c r="N304" s="15" t="n"/>
      <c r="O304" s="115" t="n"/>
      <c r="P304" s="52" t="inlineStr">
        <is>
          <t>AVISOS</t>
        </is>
      </c>
      <c r="Q304" s="129">
        <f>DADOS_AM!$GK$37</f>
        <v/>
      </c>
      <c r="R304" s="14" t="n"/>
      <c r="S304" s="14" t="n"/>
      <c r="T304" s="15" t="n"/>
      <c r="U304" s="115" t="n"/>
    </row>
    <row r="305" hidden="1" outlineLevel="3">
      <c r="A305" s="8" t="n"/>
      <c r="B305" s="22" t="n"/>
      <c r="C305" s="115" t="n"/>
      <c r="D305" s="121" t="n"/>
      <c r="E305" s="18" t="n"/>
      <c r="F305" s="19" t="n"/>
      <c r="G305" s="19" t="n"/>
      <c r="H305" s="20" t="n"/>
      <c r="I305" s="115" t="n"/>
      <c r="J305" s="121" t="n"/>
      <c r="K305" s="18" t="n"/>
      <c r="L305" s="19" t="n"/>
      <c r="M305" s="19" t="n"/>
      <c r="N305" s="20" t="n"/>
      <c r="O305" s="115" t="n"/>
      <c r="P305" s="121" t="n"/>
      <c r="Q305" s="18" t="n"/>
      <c r="R305" s="19" t="n"/>
      <c r="S305" s="19" t="n"/>
      <c r="T305" s="20" t="n"/>
      <c r="U305" s="115" t="n"/>
    </row>
    <row r="306">
      <c r="A306" s="8" t="n"/>
      <c r="B306" s="22" t="n"/>
      <c r="C306" s="115" t="n"/>
      <c r="D306" s="115" t="n"/>
      <c r="E306" s="115" t="n"/>
      <c r="F306" s="115" t="n"/>
      <c r="G306" s="115" t="n"/>
      <c r="H306" s="115" t="n"/>
      <c r="I306" s="115" t="n"/>
      <c r="J306" s="115" t="n"/>
      <c r="K306" s="115" t="n"/>
      <c r="L306" s="115" t="n"/>
      <c r="M306" s="115" t="n"/>
      <c r="N306" s="115" t="n"/>
      <c r="O306" s="115" t="n"/>
      <c r="P306" s="115" t="n"/>
      <c r="Q306" s="115" t="n"/>
      <c r="R306" s="115" t="n"/>
      <c r="S306" s="115" t="n"/>
      <c r="T306" s="115" t="n"/>
      <c r="U306" s="115" t="n"/>
    </row>
    <row r="307">
      <c r="A307" s="8" t="n"/>
      <c r="B307" s="22" t="n"/>
      <c r="C307" s="115" t="n"/>
      <c r="D307" s="118" t="inlineStr">
        <is>
          <t>CLASSE 0</t>
        </is>
      </c>
      <c r="E307" s="14" t="n"/>
      <c r="F307" s="14" t="n"/>
      <c r="G307" s="14" t="n"/>
      <c r="H307" s="14" t="n"/>
      <c r="I307" s="14" t="n"/>
      <c r="J307" s="14" t="n"/>
      <c r="K307" s="14" t="n"/>
      <c r="L307" s="14" t="n"/>
      <c r="M307" s="14" t="n"/>
      <c r="N307" s="14" t="n"/>
      <c r="O307" s="14" t="n"/>
      <c r="P307" s="14" t="n"/>
      <c r="Q307" s="14" t="n"/>
      <c r="R307" s="14" t="n"/>
      <c r="S307" s="14" t="n"/>
      <c r="T307" s="15" t="n"/>
      <c r="U307" s="115" t="n"/>
    </row>
    <row r="308">
      <c r="A308" s="8" t="n"/>
      <c r="B308" s="22" t="n"/>
      <c r="C308" s="115" t="n"/>
      <c r="D308" s="18" t="n"/>
      <c r="E308" s="19" t="n"/>
      <c r="F308" s="19" t="n"/>
      <c r="G308" s="19" t="n"/>
      <c r="H308" s="19" t="n"/>
      <c r="I308" s="19" t="n"/>
      <c r="J308" s="19" t="n"/>
      <c r="K308" s="19" t="n"/>
      <c r="L308" s="19" t="n"/>
      <c r="M308" s="19" t="n"/>
      <c r="N308" s="19" t="n"/>
      <c r="O308" s="19" t="n"/>
      <c r="P308" s="19" t="n"/>
      <c r="Q308" s="19" t="n"/>
      <c r="R308" s="19" t="n"/>
      <c r="S308" s="19" t="n"/>
      <c r="T308" s="20" t="n"/>
      <c r="U308" s="115" t="n"/>
    </row>
    <row r="309" outlineLevel="1">
      <c r="A309" s="8" t="n"/>
      <c r="B309" s="22" t="n"/>
      <c r="C309" s="115" t="n"/>
      <c r="D309" s="52" t="inlineStr">
        <is>
          <t>NOME</t>
        </is>
      </c>
      <c r="E309" s="12" t="n"/>
      <c r="F309" s="52" t="inlineStr">
        <is>
          <t>FORMA</t>
        </is>
      </c>
      <c r="G309" s="11" t="n"/>
      <c r="H309" s="12" t="n"/>
      <c r="I309" s="115" t="n"/>
      <c r="J309" s="52" t="inlineStr">
        <is>
          <t>MELHORIA LEVE</t>
        </is>
      </c>
      <c r="K309" s="12" t="n"/>
      <c r="L309" s="52" t="inlineStr">
        <is>
          <t>RESTRIÇÃO LEVE</t>
        </is>
      </c>
      <c r="M309" s="11" t="n"/>
      <c r="N309" s="12" t="n"/>
      <c r="O309" s="115" t="n"/>
      <c r="P309" s="52" t="inlineStr">
        <is>
          <t>DANO</t>
        </is>
      </c>
      <c r="Q309" s="12" t="n"/>
      <c r="R309" s="52" t="inlineStr">
        <is>
          <t>ALCANCE</t>
        </is>
      </c>
      <c r="S309" s="11" t="n"/>
      <c r="T309" s="12" t="n"/>
      <c r="U309" s="115" t="n"/>
    </row>
    <row r="310" outlineLevel="1">
      <c r="A310" s="8" t="n"/>
      <c r="B310" s="22" t="n"/>
      <c r="C310" s="115" t="n"/>
      <c r="D310" s="127" t="n"/>
      <c r="E310" s="12" t="n"/>
      <c r="F310" s="119" t="inlineStr">
        <is>
          <t>Projétil</t>
        </is>
      </c>
      <c r="G310" s="11" t="n"/>
      <c r="H310" s="12" t="n"/>
      <c r="I310" s="115" t="n"/>
      <c r="J310" s="127" t="n"/>
      <c r="K310" s="12" t="n"/>
      <c r="L310" s="127" t="n"/>
      <c r="M310" s="11" t="n"/>
      <c r="N310" s="12" t="n"/>
      <c r="O310" s="115" t="n"/>
      <c r="P310" s="65">
        <f>DADOS_AM!$IB$2</f>
        <v/>
      </c>
      <c r="Q310" s="12" t="n"/>
      <c r="R310" s="126">
        <f>DADOS_AM!$IC$2</f>
        <v/>
      </c>
      <c r="S310" s="11" t="n"/>
      <c r="T310" s="12" t="n"/>
      <c r="U310" s="115" t="n"/>
    </row>
    <row r="311" outlineLevel="1">
      <c r="A311" s="8" t="n"/>
      <c r="B311" s="22" t="n"/>
      <c r="C311" s="115" t="n"/>
      <c r="D311" s="127" t="n"/>
      <c r="E311" s="12" t="n"/>
      <c r="F311" s="119" t="inlineStr">
        <is>
          <t>Projétil</t>
        </is>
      </c>
      <c r="G311" s="11" t="n"/>
      <c r="H311" s="12" t="n"/>
      <c r="I311" s="115" t="n"/>
      <c r="J311" s="127" t="n"/>
      <c r="K311" s="12" t="n"/>
      <c r="L311" s="127" t="n"/>
      <c r="M311" s="11" t="n"/>
      <c r="N311" s="12" t="n"/>
      <c r="O311" s="115" t="n"/>
      <c r="P311" s="65">
        <f>DADOS_AM!$IB$3</f>
        <v/>
      </c>
      <c r="Q311" s="12" t="n"/>
      <c r="R311" s="126">
        <f>DADOS_AM!$IC$3</f>
        <v/>
      </c>
      <c r="S311" s="11" t="n"/>
      <c r="T311" s="12" t="n"/>
      <c r="U311" s="115" t="n"/>
    </row>
    <row r="312" outlineLevel="1">
      <c r="A312" s="8" t="n"/>
      <c r="B312" s="22" t="n"/>
      <c r="C312" s="115" t="n"/>
      <c r="D312" s="127" t="n"/>
      <c r="E312" s="12" t="n"/>
      <c r="F312" s="119" t="inlineStr">
        <is>
          <t>Projétil</t>
        </is>
      </c>
      <c r="G312" s="11" t="n"/>
      <c r="H312" s="12" t="n"/>
      <c r="I312" s="115" t="n"/>
      <c r="J312" s="127" t="n"/>
      <c r="K312" s="12" t="n"/>
      <c r="L312" s="127" t="n"/>
      <c r="M312" s="11" t="n"/>
      <c r="N312" s="12" t="n"/>
      <c r="O312" s="115" t="n"/>
      <c r="P312" s="65">
        <f>DADOS_AM!$IB$4</f>
        <v/>
      </c>
      <c r="Q312" s="12" t="n"/>
      <c r="R312" s="126">
        <f>DADOS_AM!$IC$4</f>
        <v/>
      </c>
      <c r="S312" s="11" t="n"/>
      <c r="T312" s="12" t="n"/>
      <c r="U312" s="115" t="n"/>
    </row>
    <row r="313" outlineLevel="1">
      <c r="A313" s="8" t="n"/>
      <c r="B313" s="22" t="n"/>
      <c r="C313" s="115" t="n"/>
      <c r="D313" s="127" t="n"/>
      <c r="E313" s="12" t="n"/>
      <c r="F313" s="119" t="inlineStr">
        <is>
          <t>Projétil</t>
        </is>
      </c>
      <c r="G313" s="11" t="n"/>
      <c r="H313" s="12" t="n"/>
      <c r="I313" s="115" t="n"/>
      <c r="J313" s="127" t="n"/>
      <c r="K313" s="12" t="n"/>
      <c r="L313" s="127" t="n"/>
      <c r="M313" s="11" t="n"/>
      <c r="N313" s="12" t="n"/>
      <c r="O313" s="115" t="n"/>
      <c r="P313" s="65">
        <f>DADOS_AM!$IB$5</f>
        <v/>
      </c>
      <c r="Q313" s="12" t="n"/>
      <c r="R313" s="126">
        <f>DADOS_AM!$IC$5</f>
        <v/>
      </c>
      <c r="S313" s="11" t="n"/>
      <c r="T313" s="12" t="n"/>
      <c r="U313" s="115" t="n"/>
    </row>
    <row r="314" outlineLevel="1">
      <c r="A314" s="8" t="n"/>
      <c r="B314" s="22" t="n"/>
      <c r="C314" s="115" t="n"/>
      <c r="D314" s="127" t="n"/>
      <c r="E314" s="12" t="n"/>
      <c r="F314" s="119" t="inlineStr">
        <is>
          <t>Projétil</t>
        </is>
      </c>
      <c r="G314" s="11" t="n"/>
      <c r="H314" s="12" t="n"/>
      <c r="I314" s="115" t="n"/>
      <c r="J314" s="127" t="n"/>
      <c r="K314" s="12" t="n"/>
      <c r="L314" s="127" t="n"/>
      <c r="M314" s="11" t="n"/>
      <c r="N314" s="12" t="n"/>
      <c r="O314" s="115" t="n"/>
      <c r="P314" s="65">
        <f>DADOS_AM!$IB$6</f>
        <v/>
      </c>
      <c r="Q314" s="12" t="n"/>
      <c r="R314" s="126">
        <f>DADOS_AM!$IC$6</f>
        <v/>
      </c>
      <c r="S314" s="11" t="n"/>
      <c r="T314" s="12" t="n"/>
      <c r="U314" s="115" t="n"/>
    </row>
    <row r="315">
      <c r="A315" s="8" t="n"/>
      <c r="B315" s="22" t="n"/>
      <c r="C315" s="115" t="n"/>
      <c r="D315" s="115" t="n"/>
      <c r="E315" s="115" t="n"/>
      <c r="F315" s="115" t="n"/>
      <c r="G315" s="115" t="n"/>
      <c r="H315" s="115" t="n"/>
      <c r="I315" s="115" t="n"/>
      <c r="J315" s="115" t="n"/>
      <c r="K315" s="115" t="n"/>
      <c r="L315" s="115" t="n"/>
      <c r="M315" s="115" t="n"/>
      <c r="N315" s="115" t="n"/>
      <c r="O315" s="115" t="n"/>
      <c r="P315" s="115" t="n"/>
      <c r="Q315" s="115" t="n"/>
      <c r="R315" s="115" t="n"/>
      <c r="S315" s="115" t="n"/>
      <c r="T315" s="115" t="n"/>
      <c r="U315" s="115" t="n"/>
    </row>
    <row r="316">
      <c r="A316" s="8" t="n"/>
      <c r="B316" s="22" t="n"/>
      <c r="C316" s="115" t="n"/>
      <c r="D316" s="118">
        <f>DADOS_AM!$IK$34</f>
        <v/>
      </c>
      <c r="E316" s="14" t="n"/>
      <c r="F316" s="14" t="n"/>
      <c r="G316" s="14" t="n"/>
      <c r="H316" s="14" t="n"/>
      <c r="I316" s="14" t="n"/>
      <c r="J316" s="14" t="n"/>
      <c r="K316" s="14" t="n"/>
      <c r="L316" s="14" t="n"/>
      <c r="M316" s="14" t="n"/>
      <c r="N316" s="14" t="n"/>
      <c r="O316" s="14" t="n"/>
      <c r="P316" s="14" t="n"/>
      <c r="Q316" s="14" t="n"/>
      <c r="R316" s="14" t="n"/>
      <c r="S316" s="14" t="n"/>
      <c r="T316" s="15" t="n"/>
      <c r="U316" s="115" t="n"/>
    </row>
    <row r="317">
      <c r="A317" s="8" t="n"/>
      <c r="B317" s="22" t="n"/>
      <c r="C317" s="115" t="n"/>
      <c r="D317" s="18" t="n"/>
      <c r="E317" s="19" t="n"/>
      <c r="F317" s="19" t="n"/>
      <c r="G317" s="19" t="n"/>
      <c r="H317" s="19" t="n"/>
      <c r="I317" s="19" t="n"/>
      <c r="J317" s="19" t="n"/>
      <c r="K317" s="19" t="n"/>
      <c r="L317" s="19" t="n"/>
      <c r="M317" s="19" t="n"/>
      <c r="N317" s="19" t="n"/>
      <c r="O317" s="19" t="n"/>
      <c r="P317" s="19" t="n"/>
      <c r="Q317" s="19" t="n"/>
      <c r="R317" s="19" t="n"/>
      <c r="S317" s="19" t="n"/>
      <c r="T317" s="20" t="n"/>
      <c r="U317" s="115" t="n"/>
    </row>
    <row r="318" hidden="1" outlineLevel="1">
      <c r="A318" s="8" t="n"/>
      <c r="B318" s="22" t="n"/>
      <c r="C318" s="115" t="n"/>
      <c r="D318" s="115" t="n"/>
      <c r="E318" s="115" t="n"/>
      <c r="F318" s="115" t="n"/>
      <c r="G318" s="115" t="n"/>
      <c r="H318" s="115" t="n"/>
      <c r="I318" s="115" t="n"/>
      <c r="J318" s="115" t="n"/>
      <c r="K318" s="115" t="n"/>
      <c r="L318" s="115" t="n"/>
      <c r="M318" s="115" t="n"/>
      <c r="N318" s="115" t="n"/>
      <c r="O318" s="115" t="n"/>
      <c r="P318" s="115" t="n"/>
      <c r="Q318" s="115" t="n"/>
      <c r="R318" s="115" t="n"/>
      <c r="S318" s="115" t="n"/>
      <c r="T318" s="115" t="n"/>
      <c r="U318" s="115" t="n"/>
    </row>
    <row r="319" hidden="1" outlineLevel="1">
      <c r="A319" s="8" t="n"/>
      <c r="B319" s="22" t="n"/>
      <c r="C319" s="115" t="n"/>
      <c r="D319" s="123" t="n">
        <v>3</v>
      </c>
      <c r="E319" s="124" t="n"/>
      <c r="F319" s="12" t="n"/>
      <c r="G319" s="125">
        <f>DADOS_AM!$GJ$38</f>
        <v/>
      </c>
      <c r="H319" s="12" t="n"/>
      <c r="I319" s="115" t="n"/>
      <c r="J319" s="123" t="n">
        <v>3</v>
      </c>
      <c r="K319" s="124" t="n"/>
      <c r="L319" s="12" t="n"/>
      <c r="M319" s="125">
        <f>DADOS_AM!$GJ$39</f>
        <v/>
      </c>
      <c r="N319" s="12" t="n"/>
      <c r="O319" s="115" t="n"/>
      <c r="P319" s="123" t="n">
        <v>3</v>
      </c>
      <c r="Q319" s="124" t="n"/>
      <c r="R319" s="12" t="n"/>
      <c r="S319" s="125">
        <f>DADOS_AM!$GJ$40</f>
        <v/>
      </c>
      <c r="T319" s="12" t="n"/>
      <c r="U319" s="115" t="n"/>
    </row>
    <row r="320" hidden="1" outlineLevel="2">
      <c r="A320" s="8" t="n"/>
      <c r="B320" s="22" t="n"/>
      <c r="C320" s="115" t="n"/>
      <c r="D320" s="52" t="inlineStr">
        <is>
          <t>COMO É</t>
        </is>
      </c>
      <c r="E320" s="11" t="n"/>
      <c r="F320" s="11" t="n"/>
      <c r="G320" s="11" t="n"/>
      <c r="H320" s="12" t="n"/>
      <c r="I320" s="115" t="n"/>
      <c r="J320" s="52" t="inlineStr">
        <is>
          <t>COMO É</t>
        </is>
      </c>
      <c r="K320" s="11" t="n"/>
      <c r="L320" s="11" t="n"/>
      <c r="M320" s="11" t="n"/>
      <c r="N320" s="12" t="n"/>
      <c r="O320" s="115" t="n"/>
      <c r="P320" s="52" t="inlineStr">
        <is>
          <t>COMO É</t>
        </is>
      </c>
      <c r="Q320" s="11" t="n"/>
      <c r="R320" s="11" t="n"/>
      <c r="S320" s="11" t="n"/>
      <c r="T320" s="12" t="n"/>
      <c r="U320" s="115" t="n"/>
    </row>
    <row r="321" hidden="1" outlineLevel="2">
      <c r="A321" s="8" t="n"/>
      <c r="B321" s="22" t="n"/>
      <c r="C321" s="115" t="n"/>
      <c r="D321" s="120" t="n"/>
      <c r="E321" s="14" t="n"/>
      <c r="F321" s="14" t="n"/>
      <c r="G321" s="14" t="n"/>
      <c r="H321" s="15" t="n"/>
      <c r="I321" s="115" t="n"/>
      <c r="J321" s="120" t="n"/>
      <c r="K321" s="14" t="n"/>
      <c r="L321" s="14" t="n"/>
      <c r="M321" s="14" t="n"/>
      <c r="N321" s="15" t="n"/>
      <c r="O321" s="115" t="n"/>
      <c r="P321" s="120" t="n"/>
      <c r="Q321" s="14" t="n"/>
      <c r="R321" s="14" t="n"/>
      <c r="S321" s="14" t="n"/>
      <c r="T321" s="15" t="n"/>
      <c r="U321" s="115" t="n"/>
    </row>
    <row r="322" hidden="1" outlineLevel="2">
      <c r="A322" s="8" t="n"/>
      <c r="B322" s="22" t="n"/>
      <c r="C322" s="115" t="n"/>
      <c r="D322" s="16" t="n"/>
      <c r="H322" s="17" t="n"/>
      <c r="I322" s="115" t="n"/>
      <c r="J322" s="16" t="n"/>
      <c r="N322" s="17" t="n"/>
      <c r="O322" s="115" t="n"/>
      <c r="P322" s="16" t="n"/>
      <c r="T322" s="17" t="n"/>
      <c r="U322" s="115" t="n"/>
    </row>
    <row r="323" hidden="1" outlineLevel="2">
      <c r="A323" s="8" t="n"/>
      <c r="B323" s="22" t="n"/>
      <c r="C323" s="115" t="n"/>
      <c r="D323" s="16" t="n"/>
      <c r="H323" s="17" t="n"/>
      <c r="I323" s="115" t="n"/>
      <c r="J323" s="16" t="n"/>
      <c r="N323" s="17" t="n"/>
      <c r="O323" s="115" t="n"/>
      <c r="P323" s="16" t="n"/>
      <c r="T323" s="17" t="n"/>
      <c r="U323" s="115" t="n"/>
    </row>
    <row r="324" hidden="1" outlineLevel="2">
      <c r="A324" s="8" t="n"/>
      <c r="B324" s="22" t="n"/>
      <c r="C324" s="115" t="n"/>
      <c r="D324" s="16" t="n"/>
      <c r="H324" s="17" t="n"/>
      <c r="I324" s="115" t="n"/>
      <c r="J324" s="16" t="n"/>
      <c r="N324" s="17" t="n"/>
      <c r="O324" s="115" t="n"/>
      <c r="P324" s="16" t="n"/>
      <c r="T324" s="17" t="n"/>
      <c r="U324" s="115" t="n"/>
    </row>
    <row r="325" hidden="1" outlineLevel="2">
      <c r="A325" s="8" t="n"/>
      <c r="B325" s="22" t="n"/>
      <c r="C325" s="115" t="n"/>
      <c r="D325" s="18" t="n"/>
      <c r="E325" s="19" t="n"/>
      <c r="F325" s="19" t="n"/>
      <c r="G325" s="19" t="n"/>
      <c r="H325" s="20" t="n"/>
      <c r="I325" s="115" t="n"/>
      <c r="J325" s="18" t="n"/>
      <c r="K325" s="19" t="n"/>
      <c r="L325" s="19" t="n"/>
      <c r="M325" s="19" t="n"/>
      <c r="N325" s="20" t="n"/>
      <c r="O325" s="115" t="n"/>
      <c r="P325" s="18" t="n"/>
      <c r="Q325" s="19" t="n"/>
      <c r="R325" s="19" t="n"/>
      <c r="S325" s="19" t="n"/>
      <c r="T325" s="20" t="n"/>
      <c r="U325" s="115" t="n"/>
    </row>
    <row r="326" hidden="1" outlineLevel="1">
      <c r="A326" s="8" t="n"/>
      <c r="B326" s="22" t="n"/>
      <c r="C326" s="115" t="n"/>
      <c r="D326" s="119" t="inlineStr">
        <is>
          <t>Projétil</t>
        </is>
      </c>
      <c r="E326" s="65">
        <f>DADOS_AM!$GO$38</f>
        <v/>
      </c>
      <c r="F326" s="65">
        <f>DADOS_AM!$GL$38</f>
        <v/>
      </c>
      <c r="G326" s="119">
        <f>DADOS_AM!$GN$38</f>
        <v/>
      </c>
      <c r="H326" s="12" t="n"/>
      <c r="I326" s="115" t="n"/>
      <c r="J326" s="119" t="inlineStr">
        <is>
          <t>Projétil</t>
        </is>
      </c>
      <c r="K326" s="65">
        <f>DADOS_AM!$GO$39</f>
        <v/>
      </c>
      <c r="L326" s="65">
        <f>DADOS_AM!$GL$39</f>
        <v/>
      </c>
      <c r="M326" s="119">
        <f>DADOS_AM!$GN$39</f>
        <v/>
      </c>
      <c r="N326" s="12" t="n"/>
      <c r="O326" s="115" t="n"/>
      <c r="P326" s="119" t="inlineStr">
        <is>
          <t>Projétil</t>
        </is>
      </c>
      <c r="Q326" s="65">
        <f>DADOS_AM!$GO$40</f>
        <v/>
      </c>
      <c r="R326" s="65">
        <f>DADOS_AM!$GL$40</f>
        <v/>
      </c>
      <c r="S326" s="119">
        <f>DADOS_AM!$GN$40</f>
        <v/>
      </c>
      <c r="T326" s="12" t="n"/>
      <c r="U326" s="115" t="n"/>
    </row>
    <row r="327" hidden="1" outlineLevel="1">
      <c r="A327" s="8" t="n"/>
      <c r="B327" s="22" t="n"/>
      <c r="C327" s="115" t="n"/>
      <c r="D327" s="119">
        <f>DADOS_AM!$GM$38</f>
        <v/>
      </c>
      <c r="E327" s="126">
        <f>DADOS_AM!$GT$38</f>
        <v/>
      </c>
      <c r="F327" s="11" t="n"/>
      <c r="G327" s="11" t="n"/>
      <c r="H327" s="12" t="n"/>
      <c r="I327" s="115" t="n"/>
      <c r="J327" s="119">
        <f>DADOS_AM!$GM$39</f>
        <v/>
      </c>
      <c r="K327" s="126">
        <f>DADOS_AM!$GT$39</f>
        <v/>
      </c>
      <c r="L327" s="11" t="n"/>
      <c r="M327" s="11" t="n"/>
      <c r="N327" s="12" t="n"/>
      <c r="O327" s="115" t="n"/>
      <c r="P327" s="119">
        <f>DADOS_AM!$GM$40</f>
        <v/>
      </c>
      <c r="Q327" s="126">
        <f>DADOS_AM!$GT$40</f>
        <v/>
      </c>
      <c r="R327" s="11" t="n"/>
      <c r="S327" s="11" t="n"/>
      <c r="T327" s="12" t="n"/>
      <c r="U327" s="115" t="n"/>
    </row>
    <row r="328" hidden="1" outlineLevel="2">
      <c r="A328" s="8" t="n"/>
      <c r="B328" s="22" t="n"/>
      <c r="C328" s="115" t="n"/>
      <c r="D328" s="52" t="inlineStr">
        <is>
          <t>MELHORIAS</t>
        </is>
      </c>
      <c r="E328" s="127" t="n"/>
      <c r="F328" s="12" t="n"/>
      <c r="G328" s="126">
        <f>DADOS_AM!$GW$38</f>
        <v/>
      </c>
      <c r="H328" s="12" t="n"/>
      <c r="I328" s="115" t="n"/>
      <c r="J328" s="52" t="inlineStr">
        <is>
          <t>MELHORIAS</t>
        </is>
      </c>
      <c r="K328" s="127" t="n"/>
      <c r="L328" s="12" t="n"/>
      <c r="M328" s="126">
        <f>DADOS_AM!$GW$39</f>
        <v/>
      </c>
      <c r="N328" s="12" t="n"/>
      <c r="O328" s="115" t="n"/>
      <c r="P328" s="52" t="inlineStr">
        <is>
          <t>MELHORIAS</t>
        </is>
      </c>
      <c r="Q328" s="127" t="n"/>
      <c r="R328" s="12" t="n"/>
      <c r="S328" s="126">
        <f>DADOS_AM!$GW$40</f>
        <v/>
      </c>
      <c r="T328" s="12" t="n"/>
      <c r="U328" s="115" t="n"/>
    </row>
    <row r="329" hidden="1" outlineLevel="2">
      <c r="A329" s="8" t="n"/>
      <c r="B329" s="22" t="n"/>
      <c r="C329" s="115" t="n"/>
      <c r="D329" s="128" t="n"/>
      <c r="E329" s="127" t="n"/>
      <c r="F329" s="12" t="n"/>
      <c r="G329" s="126">
        <f>DADOS_AM!$GX$38</f>
        <v/>
      </c>
      <c r="H329" s="12" t="n"/>
      <c r="I329" s="115" t="n"/>
      <c r="J329" s="128" t="n"/>
      <c r="K329" s="127" t="n"/>
      <c r="L329" s="12" t="n"/>
      <c r="M329" s="126">
        <f>DADOS_AM!$GX$39</f>
        <v/>
      </c>
      <c r="N329" s="12" t="n"/>
      <c r="O329" s="115" t="n"/>
      <c r="P329" s="128" t="n"/>
      <c r="Q329" s="127" t="n"/>
      <c r="R329" s="12" t="n"/>
      <c r="S329" s="126">
        <f>DADOS_AM!$GX$40</f>
        <v/>
      </c>
      <c r="T329" s="12" t="n"/>
      <c r="U329" s="115" t="n"/>
    </row>
    <row r="330" hidden="1" outlineLevel="2">
      <c r="A330" s="8" t="n"/>
      <c r="B330" s="22" t="n"/>
      <c r="C330" s="115" t="n"/>
      <c r="D330" s="128" t="n"/>
      <c r="E330" s="127" t="n"/>
      <c r="F330" s="12" t="n"/>
      <c r="G330" s="126">
        <f>DADOS_AM!$GY$38</f>
        <v/>
      </c>
      <c r="H330" s="12" t="n"/>
      <c r="I330" s="115" t="n"/>
      <c r="J330" s="128" t="n"/>
      <c r="K330" s="127" t="n"/>
      <c r="L330" s="12" t="n"/>
      <c r="M330" s="126">
        <f>DADOS_AM!$GY$39</f>
        <v/>
      </c>
      <c r="N330" s="12" t="n"/>
      <c r="O330" s="115" t="n"/>
      <c r="P330" s="128" t="n"/>
      <c r="Q330" s="127" t="n"/>
      <c r="R330" s="12" t="n"/>
      <c r="S330" s="126">
        <f>DADOS_AM!$GY$40</f>
        <v/>
      </c>
      <c r="T330" s="12" t="n"/>
      <c r="U330" s="115" t="n"/>
    </row>
    <row r="331" hidden="1" outlineLevel="2">
      <c r="A331" s="8" t="n"/>
      <c r="B331" s="22" t="n"/>
      <c r="C331" s="115" t="n"/>
      <c r="D331" s="121" t="n"/>
      <c r="E331" s="127" t="n"/>
      <c r="F331" s="12" t="n"/>
      <c r="G331" s="126">
        <f>DADOS_AM!$GZ$38</f>
        <v/>
      </c>
      <c r="H331" s="12" t="n"/>
      <c r="I331" s="115" t="n"/>
      <c r="J331" s="121" t="n"/>
      <c r="K331" s="127" t="n"/>
      <c r="L331" s="12" t="n"/>
      <c r="M331" s="126">
        <f>DADOS_AM!$GZ$39</f>
        <v/>
      </c>
      <c r="N331" s="12" t="n"/>
      <c r="O331" s="115" t="n"/>
      <c r="P331" s="121" t="n"/>
      <c r="Q331" s="127" t="n"/>
      <c r="R331" s="12" t="n"/>
      <c r="S331" s="126">
        <f>DADOS_AM!$GZ$40</f>
        <v/>
      </c>
      <c r="T331" s="12" t="n"/>
      <c r="U331" s="115" t="n"/>
    </row>
    <row r="332" hidden="1" outlineLevel="2">
      <c r="A332" s="8" t="n"/>
      <c r="B332" s="22" t="n"/>
      <c r="C332" s="115" t="n"/>
      <c r="D332" s="52" t="inlineStr">
        <is>
          <t>RESTRIÇÕES</t>
        </is>
      </c>
      <c r="E332" s="127" t="n"/>
      <c r="F332" s="12" t="n"/>
      <c r="G332" s="126">
        <f>DADOS_AM!$HA$38</f>
        <v/>
      </c>
      <c r="H332" s="12" t="n"/>
      <c r="I332" s="115" t="n"/>
      <c r="J332" s="52" t="inlineStr">
        <is>
          <t>RESTRIÇÕES</t>
        </is>
      </c>
      <c r="K332" s="127" t="n"/>
      <c r="L332" s="12" t="n"/>
      <c r="M332" s="126">
        <f>DADOS_AM!$HA$39</f>
        <v/>
      </c>
      <c r="N332" s="12" t="n"/>
      <c r="O332" s="115" t="n"/>
      <c r="P332" s="52" t="inlineStr">
        <is>
          <t>RESTRIÇÕES</t>
        </is>
      </c>
      <c r="Q332" s="127" t="n"/>
      <c r="R332" s="12" t="n"/>
      <c r="S332" s="126">
        <f>DADOS_AM!$HA$40</f>
        <v/>
      </c>
      <c r="T332" s="12" t="n"/>
      <c r="U332" s="115" t="n"/>
    </row>
    <row r="333" hidden="1" outlineLevel="2">
      <c r="A333" s="8" t="n"/>
      <c r="B333" s="22" t="n"/>
      <c r="C333" s="115" t="n"/>
      <c r="D333" s="121" t="n"/>
      <c r="E333" s="127" t="n"/>
      <c r="F333" s="12" t="n"/>
      <c r="G333" s="126">
        <f>DADOS_AM!$HB$38</f>
        <v/>
      </c>
      <c r="H333" s="12" t="n"/>
      <c r="I333" s="115" t="n"/>
      <c r="J333" s="121" t="n"/>
      <c r="K333" s="127" t="n"/>
      <c r="L333" s="12" t="n"/>
      <c r="M333" s="126">
        <f>DADOS_AM!$HB$39</f>
        <v/>
      </c>
      <c r="N333" s="12" t="n"/>
      <c r="O333" s="115" t="n"/>
      <c r="P333" s="121" t="n"/>
      <c r="Q333" s="127" t="n"/>
      <c r="R333" s="12" t="n"/>
      <c r="S333" s="126">
        <f>DADOS_AM!$HB$40</f>
        <v/>
      </c>
      <c r="T333" s="12" t="n"/>
      <c r="U333" s="115" t="n"/>
    </row>
    <row r="334" hidden="1" outlineLevel="2">
      <c r="A334" s="8" t="n"/>
      <c r="B334" s="22" t="n"/>
      <c r="C334" s="115" t="n"/>
      <c r="D334" s="52" t="inlineStr">
        <is>
          <t>CONTA</t>
        </is>
      </c>
      <c r="E334" s="129">
        <f>DADOS_AM!$GU$38</f>
        <v/>
      </c>
      <c r="F334" s="11" t="n"/>
      <c r="G334" s="11" t="n"/>
      <c r="H334" s="12" t="n"/>
      <c r="I334" s="115" t="n"/>
      <c r="J334" s="52" t="inlineStr">
        <is>
          <t>CONTA</t>
        </is>
      </c>
      <c r="K334" s="129">
        <f>DADOS_AM!$GU$39</f>
        <v/>
      </c>
      <c r="L334" s="11" t="n"/>
      <c r="M334" s="11" t="n"/>
      <c r="N334" s="12" t="n"/>
      <c r="O334" s="115" t="n"/>
      <c r="P334" s="52" t="inlineStr">
        <is>
          <t>CONTA</t>
        </is>
      </c>
      <c r="Q334" s="129">
        <f>DADOS_AM!$GU$40</f>
        <v/>
      </c>
      <c r="R334" s="11" t="n"/>
      <c r="S334" s="11" t="n"/>
      <c r="T334" s="12" t="n"/>
      <c r="U334" s="115" t="n"/>
    </row>
    <row r="335" hidden="1" outlineLevel="2">
      <c r="A335" s="8" t="n"/>
      <c r="B335" s="22" t="n"/>
      <c r="C335" s="115" t="n"/>
      <c r="D335" s="52" t="inlineStr">
        <is>
          <t>AMPLIAR</t>
        </is>
      </c>
      <c r="E335" s="129">
        <f>DADOS_AM!$GV$38</f>
        <v/>
      </c>
      <c r="F335" s="14" t="n"/>
      <c r="G335" s="14" t="n"/>
      <c r="H335" s="15" t="n"/>
      <c r="I335" s="115" t="n"/>
      <c r="J335" s="52" t="inlineStr">
        <is>
          <t>AMPLIAR</t>
        </is>
      </c>
      <c r="K335" s="129">
        <f>DADOS_AM!$GV$39</f>
        <v/>
      </c>
      <c r="L335" s="14" t="n"/>
      <c r="M335" s="14" t="n"/>
      <c r="N335" s="15" t="n"/>
      <c r="O335" s="115" t="n"/>
      <c r="P335" s="52" t="inlineStr">
        <is>
          <t>AMPLIAR</t>
        </is>
      </c>
      <c r="Q335" s="129">
        <f>DADOS_AM!$GV$40</f>
        <v/>
      </c>
      <c r="R335" s="14" t="n"/>
      <c r="S335" s="14" t="n"/>
      <c r="T335" s="15" t="n"/>
      <c r="U335" s="115" t="n"/>
    </row>
    <row r="336" hidden="1" outlineLevel="2">
      <c r="A336" s="8" t="n"/>
      <c r="B336" s="22" t="n"/>
      <c r="C336" s="115" t="n"/>
      <c r="D336" s="121" t="n"/>
      <c r="E336" s="18" t="n"/>
      <c r="F336" s="19" t="n"/>
      <c r="G336" s="19" t="n"/>
      <c r="H336" s="20" t="n"/>
      <c r="I336" s="115" t="n"/>
      <c r="J336" s="121" t="n"/>
      <c r="K336" s="18" t="n"/>
      <c r="L336" s="19" t="n"/>
      <c r="M336" s="19" t="n"/>
      <c r="N336" s="20" t="n"/>
      <c r="O336" s="115" t="n"/>
      <c r="P336" s="121" t="n"/>
      <c r="Q336" s="18" t="n"/>
      <c r="R336" s="19" t="n"/>
      <c r="S336" s="19" t="n"/>
      <c r="T336" s="20" t="n"/>
      <c r="U336" s="115" t="n"/>
    </row>
    <row r="337" hidden="1" outlineLevel="2">
      <c r="A337" s="8" t="n"/>
      <c r="B337" s="22" t="n"/>
      <c r="C337" s="115" t="n"/>
      <c r="D337" s="52" t="inlineStr">
        <is>
          <t>AVISOS</t>
        </is>
      </c>
      <c r="E337" s="129">
        <f>DADOS_AM!$GK$38</f>
        <v/>
      </c>
      <c r="F337" s="14" t="n"/>
      <c r="G337" s="14" t="n"/>
      <c r="H337" s="15" t="n"/>
      <c r="I337" s="115" t="n"/>
      <c r="J337" s="52" t="inlineStr">
        <is>
          <t>AVISOS</t>
        </is>
      </c>
      <c r="K337" s="129">
        <f>DADOS_AM!$GK$39</f>
        <v/>
      </c>
      <c r="L337" s="14" t="n"/>
      <c r="M337" s="14" t="n"/>
      <c r="N337" s="15" t="n"/>
      <c r="O337" s="115" t="n"/>
      <c r="P337" s="52" t="inlineStr">
        <is>
          <t>AVISOS</t>
        </is>
      </c>
      <c r="Q337" s="129">
        <f>DADOS_AM!$GK$40</f>
        <v/>
      </c>
      <c r="R337" s="14" t="n"/>
      <c r="S337" s="14" t="n"/>
      <c r="T337" s="15" t="n"/>
      <c r="U337" s="115" t="n"/>
    </row>
    <row r="338" hidden="1" outlineLevel="2">
      <c r="A338" s="8" t="n"/>
      <c r="B338" s="22" t="n"/>
      <c r="C338" s="115" t="n"/>
      <c r="D338" s="121" t="n"/>
      <c r="E338" s="18" t="n"/>
      <c r="F338" s="19" t="n"/>
      <c r="G338" s="19" t="n"/>
      <c r="H338" s="20" t="n"/>
      <c r="I338" s="115" t="n"/>
      <c r="J338" s="121" t="n"/>
      <c r="K338" s="18" t="n"/>
      <c r="L338" s="19" t="n"/>
      <c r="M338" s="19" t="n"/>
      <c r="N338" s="20" t="n"/>
      <c r="O338" s="115" t="n"/>
      <c r="P338" s="121" t="n"/>
      <c r="Q338" s="18" t="n"/>
      <c r="R338" s="19" t="n"/>
      <c r="S338" s="19" t="n"/>
      <c r="T338" s="20" t="n"/>
      <c r="U338" s="115" t="n"/>
    </row>
    <row r="339">
      <c r="A339" s="8" t="n"/>
      <c r="B339" s="22" t="n"/>
      <c r="C339" s="115" t="n"/>
      <c r="D339" s="115" t="n"/>
      <c r="E339" s="115" t="n"/>
      <c r="F339" s="115" t="n"/>
      <c r="G339" s="115" t="n"/>
      <c r="H339" s="115" t="n"/>
      <c r="I339" s="115" t="n"/>
      <c r="J339" s="115" t="n"/>
      <c r="K339" s="115" t="n"/>
      <c r="L339" s="115" t="n"/>
      <c r="M339" s="115" t="n"/>
      <c r="N339" s="115" t="n"/>
      <c r="O339" s="115" t="n"/>
      <c r="P339" s="115" t="n"/>
      <c r="Q339" s="115" t="n"/>
      <c r="R339" s="115" t="n"/>
      <c r="S339" s="115" t="n"/>
      <c r="T339" s="115" t="n"/>
      <c r="U339" s="115" t="n"/>
    </row>
    <row r="340">
      <c r="A340" s="8" t="n"/>
      <c r="B340" s="22" t="n"/>
      <c r="C340" s="115" t="n"/>
      <c r="D340" s="118">
        <f>DADOS_AM!$IK$35</f>
        <v/>
      </c>
      <c r="E340" s="14" t="n"/>
      <c r="F340" s="14" t="n"/>
      <c r="G340" s="14" t="n"/>
      <c r="H340" s="14" t="n"/>
      <c r="I340" s="14" t="n"/>
      <c r="J340" s="14" t="n"/>
      <c r="K340" s="14" t="n"/>
      <c r="L340" s="14" t="n"/>
      <c r="M340" s="14" t="n"/>
      <c r="N340" s="14" t="n"/>
      <c r="O340" s="14" t="n"/>
      <c r="P340" s="14" t="n"/>
      <c r="Q340" s="14" t="n"/>
      <c r="R340" s="14" t="n"/>
      <c r="S340" s="14" t="n"/>
      <c r="T340" s="15" t="n"/>
      <c r="U340" s="115" t="n"/>
    </row>
    <row r="341">
      <c r="A341" s="8" t="n"/>
      <c r="B341" s="22" t="n"/>
      <c r="C341" s="115" t="n"/>
      <c r="D341" s="18" t="n"/>
      <c r="E341" s="19" t="n"/>
      <c r="F341" s="19" t="n"/>
      <c r="G341" s="19" t="n"/>
      <c r="H341" s="19" t="n"/>
      <c r="I341" s="19" t="n"/>
      <c r="J341" s="19" t="n"/>
      <c r="K341" s="19" t="n"/>
      <c r="L341" s="19" t="n"/>
      <c r="M341" s="19" t="n"/>
      <c r="N341" s="19" t="n"/>
      <c r="O341" s="19" t="n"/>
      <c r="P341" s="19" t="n"/>
      <c r="Q341" s="19" t="n"/>
      <c r="R341" s="19" t="n"/>
      <c r="S341" s="19" t="n"/>
      <c r="T341" s="20" t="n"/>
      <c r="U341" s="115" t="n"/>
    </row>
    <row r="342" hidden="1" outlineLevel="1">
      <c r="A342" s="8" t="n"/>
      <c r="B342" s="22" t="n"/>
      <c r="C342" s="115" t="n"/>
      <c r="D342" s="52" t="inlineStr">
        <is>
          <t>NOME</t>
        </is>
      </c>
      <c r="E342" s="11" t="n"/>
      <c r="F342" s="11" t="n"/>
      <c r="G342" s="11" t="n"/>
      <c r="H342" s="12" t="n"/>
      <c r="I342" s="115" t="n"/>
      <c r="J342" s="52" t="inlineStr">
        <is>
          <t>FORMA</t>
        </is>
      </c>
      <c r="K342" s="12" t="n"/>
      <c r="L342" s="52" t="inlineStr">
        <is>
          <t>DANO</t>
        </is>
      </c>
      <c r="M342" s="11" t="n"/>
      <c r="N342" s="12" t="n"/>
      <c r="O342" s="115" t="n"/>
      <c r="P342" s="52" t="inlineStr">
        <is>
          <t>PE</t>
        </is>
      </c>
      <c r="Q342" s="12" t="n"/>
      <c r="R342" s="52" t="inlineStr">
        <is>
          <t>MONTAGEM</t>
        </is>
      </c>
      <c r="S342" s="11" t="n"/>
      <c r="T342" s="12" t="n"/>
      <c r="U342" s="115" t="n"/>
    </row>
    <row r="343" hidden="1" outlineLevel="1">
      <c r="A343" s="8" t="n"/>
      <c r="B343" s="22" t="n"/>
      <c r="C343" s="115" t="n"/>
      <c r="D343" s="80" t="n"/>
      <c r="E343" s="14" t="n"/>
      <c r="F343" s="14" t="n"/>
      <c r="G343" s="14" t="n"/>
      <c r="H343" s="15" t="n"/>
      <c r="I343" s="115" t="n"/>
      <c r="J343" s="119" t="inlineStr">
        <is>
          <t>Projétil</t>
        </is>
      </c>
      <c r="K343" s="15" t="n"/>
      <c r="L343" s="89">
        <f>DADOS_AM!$IK$36</f>
        <v/>
      </c>
      <c r="M343" s="14" t="n"/>
      <c r="N343" s="15" t="n"/>
      <c r="O343" s="115" t="n"/>
      <c r="P343" s="89">
        <f>DADOS_AM!$IK$37</f>
        <v/>
      </c>
      <c r="Q343" s="15" t="n"/>
      <c r="R343" s="89">
        <f>DADOS_AM!$IK$38</f>
        <v/>
      </c>
      <c r="S343" s="14" t="n"/>
      <c r="T343" s="15" t="n"/>
      <c r="U343" s="115" t="n"/>
    </row>
    <row r="344" hidden="1" outlineLevel="1">
      <c r="A344" s="8" t="n"/>
      <c r="B344" s="22" t="n"/>
      <c r="C344" s="115" t="n"/>
      <c r="D344" s="18" t="n"/>
      <c r="E344" s="19" t="n"/>
      <c r="F344" s="19" t="n"/>
      <c r="G344" s="19" t="n"/>
      <c r="H344" s="20" t="n"/>
      <c r="I344" s="115" t="n"/>
      <c r="J344" s="18" t="n"/>
      <c r="K344" s="20" t="n"/>
      <c r="L344" s="18" t="n"/>
      <c r="M344" s="19" t="n"/>
      <c r="N344" s="20" t="n"/>
      <c r="O344" s="115" t="n"/>
      <c r="P344" s="18" t="n"/>
      <c r="Q344" s="20" t="n"/>
      <c r="R344" s="18" t="n"/>
      <c r="S344" s="19" t="n"/>
      <c r="T344" s="20" t="n"/>
      <c r="U344" s="115" t="n"/>
    </row>
    <row r="345" hidden="1" outlineLevel="1">
      <c r="A345" s="8" t="n"/>
      <c r="B345" s="22" t="n"/>
      <c r="C345" s="115" t="n"/>
      <c r="D345" s="115" t="n"/>
      <c r="E345" s="115" t="n"/>
      <c r="F345" s="115" t="n"/>
      <c r="G345" s="115" t="n"/>
      <c r="H345" s="115" t="n"/>
      <c r="I345" s="115" t="n"/>
      <c r="J345" s="115" t="n"/>
      <c r="K345" s="115" t="n"/>
      <c r="L345" s="115" t="n"/>
      <c r="M345" s="115" t="n"/>
      <c r="N345" s="115" t="n"/>
      <c r="O345" s="115" t="n"/>
      <c r="P345" s="115" t="n"/>
      <c r="Q345" s="115" t="n"/>
      <c r="R345" s="115" t="n"/>
      <c r="S345" s="115" t="n"/>
      <c r="T345" s="115" t="n"/>
      <c r="U345" s="115" t="n"/>
    </row>
    <row r="346" hidden="1" outlineLevel="1">
      <c r="A346" s="8" t="n"/>
      <c r="B346" s="22" t="n"/>
      <c r="C346" s="115" t="n"/>
      <c r="D346" s="52" t="inlineStr">
        <is>
          <t>MELHORIAS · NOS PREÇOS DA MAIOR CLASSE</t>
        </is>
      </c>
      <c r="E346" s="11" t="n"/>
      <c r="F346" s="11" t="n"/>
      <c r="G346" s="11" t="n"/>
      <c r="H346" s="12" t="n"/>
      <c r="I346" s="115" t="n"/>
      <c r="J346" s="127" t="n"/>
      <c r="K346" s="12" t="n"/>
      <c r="L346" s="127" t="n"/>
      <c r="M346" s="11" t="n"/>
      <c r="N346" s="12" t="n"/>
      <c r="O346" s="115" t="n"/>
      <c r="P346" s="127" t="n"/>
      <c r="Q346" s="12" t="n"/>
      <c r="R346" s="127" t="n"/>
      <c r="S346" s="11" t="n"/>
      <c r="T346" s="12" t="n"/>
      <c r="U346" s="115" t="n"/>
    </row>
    <row r="347" hidden="1" outlineLevel="1">
      <c r="A347" s="8" t="n"/>
      <c r="B347" s="22" t="n"/>
      <c r="C347" s="115" t="n"/>
      <c r="D347" s="115" t="n"/>
      <c r="E347" s="115" t="n"/>
      <c r="F347" s="115" t="n"/>
      <c r="G347" s="115" t="n"/>
      <c r="H347" s="115" t="n"/>
      <c r="I347" s="115" t="n"/>
      <c r="J347" s="115" t="n"/>
      <c r="K347" s="115" t="n"/>
      <c r="L347" s="115" t="n"/>
      <c r="M347" s="115" t="n"/>
      <c r="N347" s="115" t="n"/>
      <c r="O347" s="115" t="n"/>
      <c r="P347" s="115" t="n"/>
      <c r="Q347" s="115" t="n"/>
      <c r="R347" s="115" t="n"/>
      <c r="S347" s="115" t="n"/>
      <c r="T347" s="115" t="n"/>
      <c r="U347" s="115" t="n"/>
    </row>
    <row r="348" hidden="1" outlineLevel="1">
      <c r="A348" s="8" t="n"/>
      <c r="B348" s="22" t="n"/>
      <c r="C348" s="115" t="n"/>
      <c r="D348" s="52" t="inlineStr">
        <is>
          <t>COMO É</t>
        </is>
      </c>
      <c r="E348" s="11" t="n"/>
      <c r="F348" s="11" t="n"/>
      <c r="G348" s="11" t="n"/>
      <c r="H348" s="11" t="n"/>
      <c r="I348" s="11" t="n"/>
      <c r="J348" s="11" t="n"/>
      <c r="K348" s="11" t="n"/>
      <c r="L348" s="11" t="n"/>
      <c r="M348" s="11" t="n"/>
      <c r="N348" s="11" t="n"/>
      <c r="O348" s="11" t="n"/>
      <c r="P348" s="11" t="n"/>
      <c r="Q348" s="11" t="n"/>
      <c r="R348" s="11" t="n"/>
      <c r="S348" s="11" t="n"/>
      <c r="T348" s="12" t="n"/>
      <c r="U348" s="115" t="n"/>
    </row>
    <row r="349" hidden="1" outlineLevel="1">
      <c r="A349" s="8" t="n"/>
      <c r="B349" s="22" t="n"/>
      <c r="C349" s="115" t="n"/>
      <c r="D349" s="120" t="n"/>
      <c r="E349" s="14" t="n"/>
      <c r="F349" s="14" t="n"/>
      <c r="G349" s="14" t="n"/>
      <c r="H349" s="14" t="n"/>
      <c r="I349" s="14" t="n"/>
      <c r="J349" s="14" t="n"/>
      <c r="K349" s="14" t="n"/>
      <c r="L349" s="14" t="n"/>
      <c r="M349" s="14" t="n"/>
      <c r="N349" s="14" t="n"/>
      <c r="O349" s="14" t="n"/>
      <c r="P349" s="14" t="n"/>
      <c r="Q349" s="14" t="n"/>
      <c r="R349" s="14" t="n"/>
      <c r="S349" s="14" t="n"/>
      <c r="T349" s="15" t="n"/>
      <c r="U349" s="115" t="n"/>
    </row>
    <row r="350" hidden="1" outlineLevel="1">
      <c r="A350" s="8" t="n"/>
      <c r="B350" s="22" t="n"/>
      <c r="C350" s="115" t="n"/>
      <c r="D350" s="16" t="n"/>
      <c r="T350" s="17" t="n"/>
      <c r="U350" s="115" t="n"/>
    </row>
    <row r="351" hidden="1" outlineLevel="1">
      <c r="A351" s="8" t="n"/>
      <c r="B351" s="22" t="n"/>
      <c r="C351" s="115" t="n"/>
      <c r="D351" s="16" t="n"/>
      <c r="T351" s="17" t="n"/>
      <c r="U351" s="115" t="n"/>
    </row>
    <row r="352" hidden="1" outlineLevel="1">
      <c r="A352" s="8" t="n"/>
      <c r="B352" s="22" t="n"/>
      <c r="C352" s="115" t="n"/>
      <c r="D352" s="18" t="n"/>
      <c r="E352" s="19" t="n"/>
      <c r="F352" s="19" t="n"/>
      <c r="G352" s="19" t="n"/>
      <c r="H352" s="19" t="n"/>
      <c r="I352" s="19" t="n"/>
      <c r="J352" s="19" t="n"/>
      <c r="K352" s="19" t="n"/>
      <c r="L352" s="19" t="n"/>
      <c r="M352" s="19" t="n"/>
      <c r="N352" s="19" t="n"/>
      <c r="O352" s="19" t="n"/>
      <c r="P352" s="19" t="n"/>
      <c r="Q352" s="19" t="n"/>
      <c r="R352" s="19" t="n"/>
      <c r="S352" s="19" t="n"/>
      <c r="T352" s="20" t="n"/>
      <c r="U352" s="115" t="n"/>
    </row>
    <row r="353">
      <c r="A353" s="8" t="n"/>
      <c r="B353" s="22" t="n"/>
      <c r="C353" s="115" t="n"/>
      <c r="D353" s="115" t="n"/>
      <c r="E353" s="115" t="n"/>
      <c r="F353" s="115" t="n"/>
      <c r="G353" s="115" t="n"/>
      <c r="H353" s="115" t="n"/>
      <c r="I353" s="115" t="n"/>
      <c r="J353" s="115" t="n"/>
      <c r="K353" s="115" t="n"/>
      <c r="L353" s="115" t="n"/>
      <c r="M353" s="115" t="n"/>
      <c r="N353" s="115" t="n"/>
      <c r="O353" s="115" t="n"/>
      <c r="P353" s="115" t="n"/>
      <c r="Q353" s="115" t="n"/>
      <c r="R353" s="115" t="n"/>
      <c r="S353" s="115" t="n"/>
      <c r="T353" s="115" t="n"/>
      <c r="U353" s="115" t="n"/>
    </row>
    <row r="354">
      <c r="A354" s="8" t="n"/>
      <c r="B354" s="22" t="n"/>
      <c r="C354" s="115" t="n"/>
      <c r="D354" s="118">
        <f>DADOS_AM!$IK$39</f>
        <v/>
      </c>
      <c r="E354" s="14" t="n"/>
      <c r="F354" s="14" t="n"/>
      <c r="G354" s="14" t="n"/>
      <c r="H354" s="14" t="n"/>
      <c r="I354" s="14" t="n"/>
      <c r="J354" s="14" t="n"/>
      <c r="K354" s="14" t="n"/>
      <c r="L354" s="14" t="n"/>
      <c r="M354" s="14" t="n"/>
      <c r="N354" s="14" t="n"/>
      <c r="O354" s="14" t="n"/>
      <c r="P354" s="14" t="n"/>
      <c r="Q354" s="14" t="n"/>
      <c r="R354" s="14" t="n"/>
      <c r="S354" s="14" t="n"/>
      <c r="T354" s="15" t="n"/>
      <c r="U354" s="115" t="n"/>
    </row>
    <row r="355">
      <c r="A355" s="8" t="n"/>
      <c r="B355" s="22" t="n"/>
      <c r="C355" s="115" t="n"/>
      <c r="D355" s="18" t="n"/>
      <c r="E355" s="19" t="n"/>
      <c r="F355" s="19" t="n"/>
      <c r="G355" s="19" t="n"/>
      <c r="H355" s="19" t="n"/>
      <c r="I355" s="19" t="n"/>
      <c r="J355" s="19" t="n"/>
      <c r="K355" s="19" t="n"/>
      <c r="L355" s="19" t="n"/>
      <c r="M355" s="19" t="n"/>
      <c r="N355" s="19" t="n"/>
      <c r="O355" s="19" t="n"/>
      <c r="P355" s="19" t="n"/>
      <c r="Q355" s="19" t="n"/>
      <c r="R355" s="19" t="n"/>
      <c r="S355" s="19" t="n"/>
      <c r="T355" s="20" t="n"/>
      <c r="U355" s="115" t="n"/>
    </row>
    <row r="356" hidden="1" outlineLevel="1">
      <c r="A356" s="8" t="n"/>
      <c r="B356" s="22" t="n"/>
      <c r="C356" s="115" t="n"/>
      <c r="D356" s="52" t="inlineStr">
        <is>
          <t>DEGRAU</t>
        </is>
      </c>
      <c r="E356" s="12" t="n"/>
      <c r="F356" s="52" t="inlineStr">
        <is>
          <t>CUSTA</t>
        </is>
      </c>
      <c r="G356" s="11" t="n"/>
      <c r="H356" s="12" t="n"/>
      <c r="I356" s="115" t="n"/>
      <c r="J356" s="52" t="inlineStr">
        <is>
          <t>REQUISITO</t>
        </is>
      </c>
      <c r="K356" s="11" t="n"/>
      <c r="L356" s="11" t="n"/>
      <c r="M356" s="11" t="n"/>
      <c r="N356" s="12" t="n"/>
      <c r="O356" s="115" t="n"/>
      <c r="P356" s="52" t="inlineStr">
        <is>
          <t>REFINO</t>
        </is>
      </c>
      <c r="Q356" s="12" t="n"/>
      <c r="R356" s="52" t="inlineStr">
        <is>
          <t>NA CORRIDA</t>
        </is>
      </c>
      <c r="S356" s="11" t="n"/>
      <c r="T356" s="12" t="n"/>
      <c r="U356" s="115" t="n"/>
    </row>
    <row r="357" hidden="1" outlineLevel="1">
      <c r="A357" s="8" t="n"/>
      <c r="B357" s="22" t="n"/>
      <c r="C357" s="115" t="n"/>
      <c r="D357" s="119" t="n"/>
      <c r="E357" s="15" t="n"/>
      <c r="F357" s="119">
        <f>DADOS_AM!$IK$40</f>
        <v/>
      </c>
      <c r="G357" s="14" t="n"/>
      <c r="H357" s="15" t="n"/>
      <c r="I357" s="115" t="n"/>
      <c r="J357" s="119">
        <f>DADOS_AM!$IK$41</f>
        <v/>
      </c>
      <c r="K357" s="14" t="n"/>
      <c r="L357" s="14" t="n"/>
      <c r="M357" s="14" t="n"/>
      <c r="N357" s="15" t="n"/>
      <c r="O357" s="115" t="n"/>
      <c r="P357" s="89">
        <f>DADOS_AM!$IK$42</f>
        <v/>
      </c>
      <c r="Q357" s="15" t="n"/>
      <c r="R357" s="119">
        <f>DADOS_AM!$IK$43</f>
        <v/>
      </c>
      <c r="S357" s="14" t="n"/>
      <c r="T357" s="15" t="n"/>
      <c r="U357" s="115" t="n"/>
    </row>
    <row r="358" hidden="1" outlineLevel="1">
      <c r="A358" s="8" t="n"/>
      <c r="B358" s="22" t="n"/>
      <c r="C358" s="115" t="n"/>
      <c r="D358" s="18" t="n"/>
      <c r="E358" s="20" t="n"/>
      <c r="F358" s="18" t="n"/>
      <c r="G358" s="19" t="n"/>
      <c r="H358" s="20" t="n"/>
      <c r="I358" s="115" t="n"/>
      <c r="J358" s="18" t="n"/>
      <c r="K358" s="19" t="n"/>
      <c r="L358" s="19" t="n"/>
      <c r="M358" s="19" t="n"/>
      <c r="N358" s="20" t="n"/>
      <c r="O358" s="115" t="n"/>
      <c r="P358" s="18" t="n"/>
      <c r="Q358" s="20" t="n"/>
      <c r="R358" s="18" t="n"/>
      <c r="S358" s="19" t="n"/>
      <c r="T358" s="20" t="n"/>
      <c r="U358" s="115" t="n"/>
    </row>
    <row r="359" hidden="1" outlineLevel="1">
      <c r="A359" s="8" t="n"/>
      <c r="B359" s="22" t="n"/>
      <c r="C359" s="115" t="n"/>
      <c r="D359" s="115" t="n"/>
      <c r="E359" s="115" t="n"/>
      <c r="F359" s="115" t="n"/>
      <c r="G359" s="115" t="n"/>
      <c r="H359" s="115" t="n"/>
      <c r="I359" s="115" t="n"/>
      <c r="J359" s="115" t="n"/>
      <c r="K359" s="115" t="n"/>
      <c r="L359" s="115" t="n"/>
      <c r="M359" s="115" t="n"/>
      <c r="N359" s="115" t="n"/>
      <c r="O359" s="115" t="n"/>
      <c r="P359" s="115" t="n"/>
      <c r="Q359" s="115" t="n"/>
      <c r="R359" s="115" t="n"/>
      <c r="S359" s="115" t="n"/>
      <c r="T359" s="115" t="n"/>
      <c r="U359" s="115" t="n"/>
    </row>
    <row r="360" hidden="1" outlineLevel="1">
      <c r="A360" s="8" t="n"/>
      <c r="B360" s="22" t="n"/>
      <c r="C360" s="115" t="n"/>
      <c r="D360" s="52" t="inlineStr">
        <is>
          <t>AO ABRIR</t>
        </is>
      </c>
      <c r="E360" s="12" t="n"/>
      <c r="F360" s="52" t="inlineStr">
        <is>
          <t>PE</t>
        </is>
      </c>
      <c r="G360" s="52" t="inlineStr">
        <is>
          <t>DURA</t>
        </is>
      </c>
      <c r="H360" s="12" t="n"/>
      <c r="I360" s="115" t="n"/>
      <c r="J360" s="52" t="inlineStr">
        <is>
          <t>RAIO</t>
        </is>
      </c>
      <c r="K360" s="52" t="inlineStr">
        <is>
          <t>FEITIÇO LÁ DENTRO</t>
        </is>
      </c>
      <c r="L360" s="52" t="inlineStr">
        <is>
          <t>BARREIRA</t>
        </is>
      </c>
      <c r="M360" s="52" t="inlineStr">
        <is>
          <t>O ACERTO</t>
        </is>
      </c>
      <c r="N360" s="12" t="n"/>
      <c r="O360" s="115" t="n"/>
      <c r="P360" s="52" t="inlineStr">
        <is>
          <t>NOME DO DOMÍNIO</t>
        </is>
      </c>
      <c r="Q360" s="11" t="n"/>
      <c r="R360" s="11" t="n"/>
      <c r="S360" s="11" t="n"/>
      <c r="T360" s="12" t="n"/>
      <c r="U360" s="115" t="n"/>
    </row>
    <row r="361" hidden="1" outlineLevel="1">
      <c r="A361" s="8" t="n"/>
      <c r="B361" s="22" t="n"/>
      <c r="C361" s="115" t="n"/>
      <c r="D361" s="127">
        <f>DADOS_AM!$IK$44</f>
        <v/>
      </c>
      <c r="E361" s="12" t="n"/>
      <c r="F361" s="119">
        <f>DADOS_AM!$IK$45</f>
        <v/>
      </c>
      <c r="G361" s="119">
        <f>DADOS_AM!$IK$46</f>
        <v/>
      </c>
      <c r="H361" s="12" t="n"/>
      <c r="I361" s="115" t="n"/>
      <c r="J361" s="119">
        <f>DADOS_AM!$IK$47</f>
        <v/>
      </c>
      <c r="K361" s="119">
        <f>DADOS_AM!$IK$48</f>
        <v/>
      </c>
      <c r="L361" s="119" t="inlineStr">
        <is>
          <t>Não fecha</t>
        </is>
      </c>
      <c r="M361" s="119" t="inlineStr">
        <is>
          <t>Rola</t>
        </is>
      </c>
      <c r="N361" s="12" t="n"/>
      <c r="O361" s="115" t="n"/>
      <c r="P361" s="80" t="n"/>
      <c r="Q361" s="14" t="n"/>
      <c r="R361" s="14" t="n"/>
      <c r="S361" s="14" t="n"/>
      <c r="T361" s="15" t="n"/>
      <c r="U361" s="115" t="n"/>
    </row>
    <row r="362" hidden="1" outlineLevel="1">
      <c r="A362" s="8" t="n"/>
      <c r="B362" s="22" t="n"/>
      <c r="C362" s="115" t="n"/>
      <c r="D362" s="127">
        <f>DADOS_AM!$IK$49</f>
        <v/>
      </c>
      <c r="E362" s="12" t="n"/>
      <c r="F362" s="119">
        <f>DADOS_AM!$IK$50</f>
        <v/>
      </c>
      <c r="G362" s="119">
        <f>DADOS_AM!$IK$51</f>
        <v/>
      </c>
      <c r="H362" s="12" t="n"/>
      <c r="I362" s="115" t="n"/>
      <c r="J362" s="119">
        <f>DADOS_AM!$IK$52</f>
        <v/>
      </c>
      <c r="K362" s="119">
        <f>DADOS_AM!$IK$53</f>
        <v/>
      </c>
      <c r="L362" s="119">
        <f>DADOS_AM!$IK$54</f>
        <v/>
      </c>
      <c r="M362" s="119" t="inlineStr">
        <is>
          <t>Acontece</t>
        </is>
      </c>
      <c r="N362" s="12" t="n"/>
      <c r="O362" s="115" t="n"/>
      <c r="P362" s="16" t="n"/>
      <c r="T362" s="17" t="n"/>
      <c r="U362" s="115" t="n"/>
    </row>
    <row r="363" hidden="1" outlineLevel="1">
      <c r="A363" s="8" t="n"/>
      <c r="B363" s="22" t="n"/>
      <c r="C363" s="115" t="n"/>
      <c r="D363" s="127">
        <f>DADOS_AM!$IK$55</f>
        <v/>
      </c>
      <c r="E363" s="12" t="n"/>
      <c r="F363" s="119">
        <f>DADOS_AM!$IK$56</f>
        <v/>
      </c>
      <c r="G363" s="119">
        <f>DADOS_AM!$IK$57</f>
        <v/>
      </c>
      <c r="H363" s="12" t="n"/>
      <c r="I363" s="115" t="n"/>
      <c r="J363" s="119" t="inlineStr">
        <is>
          <t>200 m</t>
        </is>
      </c>
      <c r="K363" s="119">
        <f>DADOS_AM!$IK$58</f>
        <v/>
      </c>
      <c r="L363" s="119" t="inlineStr">
        <is>
          <t>Não tem</t>
        </is>
      </c>
      <c r="M363" s="119" t="inlineStr">
        <is>
          <t>Acontece</t>
        </is>
      </c>
      <c r="N363" s="12" t="n"/>
      <c r="O363" s="115" t="n"/>
      <c r="P363" s="18" t="n"/>
      <c r="Q363" s="19" t="n"/>
      <c r="R363" s="19" t="n"/>
      <c r="S363" s="19" t="n"/>
      <c r="T363" s="20" t="n"/>
      <c r="U363" s="115" t="n"/>
    </row>
    <row r="364" hidden="1" outlineLevel="1">
      <c r="A364" s="8" t="n"/>
      <c r="B364" s="22" t="n"/>
      <c r="C364" s="115" t="n"/>
      <c r="D364" s="115" t="n"/>
      <c r="E364" s="115" t="n"/>
      <c r="F364" s="115" t="n"/>
      <c r="G364" s="115" t="n"/>
      <c r="H364" s="115" t="n"/>
      <c r="I364" s="115" t="n"/>
      <c r="J364" s="115" t="n"/>
      <c r="K364" s="115" t="n"/>
      <c r="L364" s="115" t="n"/>
      <c r="M364" s="115" t="n"/>
      <c r="N364" s="115" t="n"/>
      <c r="O364" s="115" t="n"/>
      <c r="P364" s="115" t="n"/>
      <c r="Q364" s="115" t="n"/>
      <c r="R364" s="115" t="n"/>
      <c r="S364" s="115" t="n"/>
      <c r="T364" s="115" t="n"/>
      <c r="U364" s="115" t="n"/>
    </row>
    <row r="365" hidden="1" outlineLevel="1">
      <c r="A365" s="8" t="n"/>
      <c r="B365" s="22" t="n"/>
      <c r="C365" s="115" t="n"/>
      <c r="D365" s="52" t="inlineStr">
        <is>
          <t>ACERTO</t>
        </is>
      </c>
      <c r="E365" s="11" t="n"/>
      <c r="F365" s="11" t="n"/>
      <c r="G365" s="11" t="n"/>
      <c r="H365" s="11" t="n"/>
      <c r="I365" s="11" t="n"/>
      <c r="J365" s="11" t="n"/>
      <c r="K365" s="12" t="n"/>
      <c r="L365" s="52" t="inlineStr">
        <is>
          <t>EFEITO</t>
        </is>
      </c>
      <c r="M365" s="11" t="n"/>
      <c r="N365" s="11" t="n"/>
      <c r="O365" s="11" t="n"/>
      <c r="P365" s="11" t="n"/>
      <c r="Q365" s="11" t="n"/>
      <c r="R365" s="11" t="n"/>
      <c r="S365" s="11" t="n"/>
      <c r="T365" s="12" t="n"/>
      <c r="U365" s="115" t="n"/>
    </row>
    <row r="366" hidden="1" outlineLevel="1">
      <c r="A366" s="8" t="n"/>
      <c r="B366" s="22" t="n"/>
      <c r="C366" s="115" t="n"/>
      <c r="D366" s="120" t="n"/>
      <c r="E366" s="14" t="n"/>
      <c r="F366" s="14" t="n"/>
      <c r="G366" s="14" t="n"/>
      <c r="H366" s="14" t="n"/>
      <c r="I366" s="14" t="n"/>
      <c r="J366" s="14" t="n"/>
      <c r="K366" s="15" t="n"/>
      <c r="L366" s="120" t="n"/>
      <c r="M366" s="14" t="n"/>
      <c r="N366" s="14" t="n"/>
      <c r="O366" s="14" t="n"/>
      <c r="P366" s="14" t="n"/>
      <c r="Q366" s="14" t="n"/>
      <c r="R366" s="14" t="n"/>
      <c r="S366" s="14" t="n"/>
      <c r="T366" s="15" t="n"/>
      <c r="U366" s="115" t="n"/>
    </row>
    <row r="367" hidden="1" outlineLevel="1">
      <c r="A367" s="8" t="n"/>
      <c r="B367" s="22" t="n"/>
      <c r="C367" s="115" t="n"/>
      <c r="D367" s="16" t="n"/>
      <c r="K367" s="17" t="n"/>
      <c r="L367" s="16" t="n"/>
      <c r="T367" s="17" t="n"/>
      <c r="U367" s="115" t="n"/>
    </row>
    <row r="368" hidden="1" outlineLevel="1">
      <c r="A368" s="8" t="n"/>
      <c r="B368" s="22" t="n"/>
      <c r="C368" s="115" t="n"/>
      <c r="D368" s="18" t="n"/>
      <c r="E368" s="19" t="n"/>
      <c r="F368" s="19" t="n"/>
      <c r="G368" s="19" t="n"/>
      <c r="H368" s="19" t="n"/>
      <c r="I368" s="19" t="n"/>
      <c r="J368" s="19" t="n"/>
      <c r="K368" s="20" t="n"/>
      <c r="L368" s="18" t="n"/>
      <c r="M368" s="19" t="n"/>
      <c r="N368" s="19" t="n"/>
      <c r="O368" s="19" t="n"/>
      <c r="P368" s="19" t="n"/>
      <c r="Q368" s="19" t="n"/>
      <c r="R368" s="19" t="n"/>
      <c r="S368" s="19" t="n"/>
      <c r="T368" s="20" t="n"/>
      <c r="U368" s="115" t="n"/>
    </row>
    <row r="369" hidden="1" outlineLevel="1">
      <c r="A369" s="8" t="n"/>
      <c r="B369" s="22" t="n"/>
      <c r="C369" s="115" t="n"/>
      <c r="D369" s="115" t="n"/>
      <c r="E369" s="115" t="n"/>
      <c r="F369" s="115" t="n"/>
      <c r="G369" s="115" t="n"/>
      <c r="H369" s="115" t="n"/>
      <c r="I369" s="115" t="n"/>
      <c r="J369" s="115" t="n"/>
      <c r="K369" s="115" t="n"/>
      <c r="L369" s="115" t="n"/>
      <c r="M369" s="115" t="n"/>
      <c r="N369" s="115" t="n"/>
      <c r="O369" s="115" t="n"/>
      <c r="P369" s="115" t="n"/>
      <c r="Q369" s="115" t="n"/>
      <c r="R369" s="115" t="n"/>
      <c r="S369" s="115" t="n"/>
      <c r="T369" s="115" t="n"/>
      <c r="U369" s="115" t="n"/>
    </row>
    <row r="370" hidden="1" outlineLevel="1">
      <c r="A370" s="8" t="n"/>
      <c r="B370" s="22" t="n"/>
      <c r="C370" s="115" t="n"/>
      <c r="D370" s="52" t="inlineStr">
        <is>
          <t>COMO É POR DENTRO</t>
        </is>
      </c>
      <c r="E370" s="11" t="n"/>
      <c r="F370" s="11" t="n"/>
      <c r="G370" s="11" t="n"/>
      <c r="H370" s="11" t="n"/>
      <c r="I370" s="11" t="n"/>
      <c r="J370" s="11" t="n"/>
      <c r="K370" s="11" t="n"/>
      <c r="L370" s="11" t="n"/>
      <c r="M370" s="11" t="n"/>
      <c r="N370" s="11" t="n"/>
      <c r="O370" s="11" t="n"/>
      <c r="P370" s="11" t="n"/>
      <c r="Q370" s="11" t="n"/>
      <c r="R370" s="11" t="n"/>
      <c r="S370" s="11" t="n"/>
      <c r="T370" s="12" t="n"/>
      <c r="U370" s="115" t="n"/>
    </row>
    <row r="371" hidden="1" outlineLevel="1">
      <c r="A371" s="8" t="n"/>
      <c r="B371" s="22" t="n"/>
      <c r="C371" s="115" t="n"/>
      <c r="D371" s="120" t="n"/>
      <c r="E371" s="14" t="n"/>
      <c r="F371" s="14" t="n"/>
      <c r="G371" s="14" t="n"/>
      <c r="H371" s="14" t="n"/>
      <c r="I371" s="14" t="n"/>
      <c r="J371" s="14" t="n"/>
      <c r="K371" s="14" t="n"/>
      <c r="L371" s="14" t="n"/>
      <c r="M371" s="14" t="n"/>
      <c r="N371" s="14" t="n"/>
      <c r="O371" s="14" t="n"/>
      <c r="P371" s="14" t="n"/>
      <c r="Q371" s="14" t="n"/>
      <c r="R371" s="14" t="n"/>
      <c r="S371" s="14" t="n"/>
      <c r="T371" s="15" t="n"/>
      <c r="U371" s="115" t="n"/>
    </row>
    <row r="372" hidden="1" outlineLevel="1">
      <c r="A372" s="8" t="n"/>
      <c r="B372" s="22" t="n"/>
      <c r="C372" s="115" t="n"/>
      <c r="D372" s="16" t="n"/>
      <c r="T372" s="17" t="n"/>
      <c r="U372" s="115" t="n"/>
    </row>
    <row r="373" hidden="1" outlineLevel="1">
      <c r="A373" s="8" t="n"/>
      <c r="B373" s="22" t="n"/>
      <c r="C373" s="115" t="n"/>
      <c r="D373" s="16" t="n"/>
      <c r="T373" s="17" t="n"/>
      <c r="U373" s="115" t="n"/>
    </row>
    <row r="374" hidden="1" outlineLevel="1">
      <c r="A374" s="8" t="n"/>
      <c r="B374" s="22" t="n"/>
      <c r="C374" s="115" t="n"/>
      <c r="D374" s="18" t="n"/>
      <c r="E374" s="19" t="n"/>
      <c r="F374" s="19" t="n"/>
      <c r="G374" s="19" t="n"/>
      <c r="H374" s="19" t="n"/>
      <c r="I374" s="19" t="n"/>
      <c r="J374" s="19" t="n"/>
      <c r="K374" s="19" t="n"/>
      <c r="L374" s="19" t="n"/>
      <c r="M374" s="19" t="n"/>
      <c r="N374" s="19" t="n"/>
      <c r="O374" s="19" t="n"/>
      <c r="P374" s="19" t="n"/>
      <c r="Q374" s="19" t="n"/>
      <c r="R374" s="19" t="n"/>
      <c r="S374" s="19" t="n"/>
      <c r="T374" s="20" t="n"/>
      <c r="U374" s="115" t="n"/>
    </row>
    <row r="375">
      <c r="A375" s="8" t="n"/>
      <c r="B375" s="22" t="n"/>
      <c r="C375" s="115" t="n"/>
      <c r="D375" s="115" t="n"/>
      <c r="E375" s="115" t="n"/>
      <c r="F375" s="115" t="n"/>
      <c r="G375" s="115" t="n"/>
      <c r="H375" s="115" t="n"/>
      <c r="I375" s="115" t="n"/>
      <c r="J375" s="115" t="n"/>
      <c r="K375" s="115" t="n"/>
      <c r="L375" s="115" t="n"/>
      <c r="M375" s="115" t="n"/>
      <c r="N375" s="115" t="n"/>
      <c r="O375" s="115" t="n"/>
      <c r="P375" s="115" t="n"/>
      <c r="Q375" s="115" t="n"/>
      <c r="R375" s="115" t="n"/>
      <c r="S375" s="115" t="n"/>
      <c r="T375" s="115" t="n"/>
      <c r="U375" s="115" t="n"/>
    </row>
    <row r="376">
      <c r="A376" s="8" t="n"/>
      <c r="B376" s="22" t="n"/>
      <c r="C376" s="115" t="n"/>
      <c r="D376" s="118" t="inlineStr">
        <is>
          <t>PASSIVAS</t>
        </is>
      </c>
      <c r="E376" s="14" t="n"/>
      <c r="F376" s="14" t="n"/>
      <c r="G376" s="14" t="n"/>
      <c r="H376" s="14" t="n"/>
      <c r="I376" s="14" t="n"/>
      <c r="J376" s="14" t="n"/>
      <c r="K376" s="14" t="n"/>
      <c r="L376" s="14" t="n"/>
      <c r="M376" s="14" t="n"/>
      <c r="N376" s="14" t="n"/>
      <c r="O376" s="14" t="n"/>
      <c r="P376" s="14" t="n"/>
      <c r="Q376" s="14" t="n"/>
      <c r="R376" s="14" t="n"/>
      <c r="S376" s="14" t="n"/>
      <c r="T376" s="15" t="n"/>
      <c r="U376" s="115" t="n"/>
    </row>
    <row r="377">
      <c r="A377" s="8" t="n"/>
      <c r="B377" s="22" t="n"/>
      <c r="C377" s="115" t="n"/>
      <c r="D377" s="18" t="n"/>
      <c r="E377" s="19" t="n"/>
      <c r="F377" s="19" t="n"/>
      <c r="G377" s="19" t="n"/>
      <c r="H377" s="19" t="n"/>
      <c r="I377" s="19" t="n"/>
      <c r="J377" s="19" t="n"/>
      <c r="K377" s="19" t="n"/>
      <c r="L377" s="19" t="n"/>
      <c r="M377" s="19" t="n"/>
      <c r="N377" s="19" t="n"/>
      <c r="O377" s="19" t="n"/>
      <c r="P377" s="19" t="n"/>
      <c r="Q377" s="19" t="n"/>
      <c r="R377" s="19" t="n"/>
      <c r="S377" s="19" t="n"/>
      <c r="T377" s="20" t="n"/>
      <c r="U377" s="115" t="n"/>
    </row>
    <row r="378" outlineLevel="1">
      <c r="A378" s="8" t="n"/>
      <c r="B378" s="22" t="n"/>
      <c r="C378" s="115" t="n"/>
      <c r="D378" s="115" t="n"/>
      <c r="E378" s="115" t="n"/>
      <c r="F378" s="115" t="n"/>
      <c r="G378" s="115" t="n"/>
      <c r="H378" s="115" t="n"/>
      <c r="I378" s="115" t="n"/>
      <c r="J378" s="115" t="n"/>
      <c r="K378" s="115" t="n"/>
      <c r="L378" s="115" t="n"/>
      <c r="M378" s="115" t="n"/>
      <c r="N378" s="115" t="n"/>
      <c r="O378" s="115" t="n"/>
      <c r="P378" s="115" t="n"/>
      <c r="Q378" s="115" t="n"/>
      <c r="R378" s="115" t="n"/>
      <c r="S378" s="115" t="n"/>
      <c r="T378" s="115" t="n"/>
      <c r="U378" s="115" t="n"/>
    </row>
    <row r="379" outlineLevel="1">
      <c r="A379" s="8" t="n"/>
      <c r="B379" s="22" t="n"/>
      <c r="C379" s="115" t="n"/>
      <c r="D379" s="131" t="n"/>
      <c r="E379" s="12" t="n"/>
      <c r="F379" s="126">
        <f>DADOS_AM!$HL$2</f>
        <v/>
      </c>
      <c r="G379" s="126">
        <f>DADOS_AM!$HM$2</f>
        <v/>
      </c>
      <c r="H379" s="12" t="n"/>
      <c r="I379" s="115" t="n"/>
      <c r="J379" s="131" t="n"/>
      <c r="K379" s="12" t="n"/>
      <c r="L379" s="126">
        <f>DADOS_AM!$HL$3</f>
        <v/>
      </c>
      <c r="M379" s="126">
        <f>DADOS_AM!$HM$3</f>
        <v/>
      </c>
      <c r="N379" s="12" t="n"/>
      <c r="O379" s="115" t="n"/>
      <c r="P379" s="131" t="n"/>
      <c r="Q379" s="12" t="n"/>
      <c r="R379" s="126">
        <f>DADOS_AM!$HL$4</f>
        <v/>
      </c>
      <c r="S379" s="126">
        <f>DADOS_AM!$HM$4</f>
        <v/>
      </c>
      <c r="T379" s="12" t="n"/>
      <c r="U379" s="115" t="n"/>
    </row>
    <row r="380" outlineLevel="2">
      <c r="A380" s="8" t="n"/>
      <c r="B380" s="22" t="n"/>
      <c r="C380" s="115" t="n"/>
      <c r="D380" s="52" t="inlineStr">
        <is>
          <t>O QUE FAZ</t>
        </is>
      </c>
      <c r="E380" s="11" t="n"/>
      <c r="F380" s="11" t="n"/>
      <c r="G380" s="11" t="n"/>
      <c r="H380" s="12" t="n"/>
      <c r="I380" s="115" t="n"/>
      <c r="J380" s="52" t="inlineStr">
        <is>
          <t>O QUE FAZ</t>
        </is>
      </c>
      <c r="K380" s="11" t="n"/>
      <c r="L380" s="11" t="n"/>
      <c r="M380" s="11" t="n"/>
      <c r="N380" s="12" t="n"/>
      <c r="O380" s="115" t="n"/>
      <c r="P380" s="52" t="inlineStr">
        <is>
          <t>O QUE FAZ</t>
        </is>
      </c>
      <c r="Q380" s="11" t="n"/>
      <c r="R380" s="11" t="n"/>
      <c r="S380" s="11" t="n"/>
      <c r="T380" s="12" t="n"/>
      <c r="U380" s="115" t="n"/>
    </row>
    <row r="381" outlineLevel="2">
      <c r="A381" s="8" t="n"/>
      <c r="B381" s="22" t="n"/>
      <c r="C381" s="115" t="n"/>
      <c r="D381" s="120">
        <f>DADOS_AM!$HK$2</f>
        <v/>
      </c>
      <c r="E381" s="14" t="n"/>
      <c r="F381" s="14" t="n"/>
      <c r="G381" s="14" t="n"/>
      <c r="H381" s="15" t="n"/>
      <c r="I381" s="115" t="n"/>
      <c r="J381" s="120">
        <f>DADOS_AM!$HK$3</f>
        <v/>
      </c>
      <c r="K381" s="14" t="n"/>
      <c r="L381" s="14" t="n"/>
      <c r="M381" s="14" t="n"/>
      <c r="N381" s="15" t="n"/>
      <c r="O381" s="115" t="n"/>
      <c r="P381" s="120">
        <f>DADOS_AM!$HK$4</f>
        <v/>
      </c>
      <c r="Q381" s="14" t="n"/>
      <c r="R381" s="14" t="n"/>
      <c r="S381" s="14" t="n"/>
      <c r="T381" s="15" t="n"/>
      <c r="U381" s="115" t="n"/>
    </row>
    <row r="382" outlineLevel="2">
      <c r="A382" s="8" t="n"/>
      <c r="B382" s="22" t="n"/>
      <c r="C382" s="115" t="n"/>
      <c r="D382" s="16" t="n"/>
      <c r="H382" s="17" t="n"/>
      <c r="I382" s="115" t="n"/>
      <c r="J382" s="16" t="n"/>
      <c r="N382" s="17" t="n"/>
      <c r="O382" s="115" t="n"/>
      <c r="P382" s="16" t="n"/>
      <c r="T382" s="17" t="n"/>
      <c r="U382" s="115" t="n"/>
    </row>
    <row r="383" outlineLevel="2">
      <c r="A383" s="8" t="n"/>
      <c r="B383" s="22" t="n"/>
      <c r="C383" s="115" t="n"/>
      <c r="D383" s="18" t="n"/>
      <c r="E383" s="19" t="n"/>
      <c r="F383" s="19" t="n"/>
      <c r="G383" s="19" t="n"/>
      <c r="H383" s="20" t="n"/>
      <c r="I383" s="115" t="n"/>
      <c r="J383" s="18" t="n"/>
      <c r="K383" s="19" t="n"/>
      <c r="L383" s="19" t="n"/>
      <c r="M383" s="19" t="n"/>
      <c r="N383" s="20" t="n"/>
      <c r="O383" s="115" t="n"/>
      <c r="P383" s="18" t="n"/>
      <c r="Q383" s="19" t="n"/>
      <c r="R383" s="19" t="n"/>
      <c r="S383" s="19" t="n"/>
      <c r="T383" s="20" t="n"/>
      <c r="U383" s="115" t="n"/>
    </row>
    <row r="384" outlineLevel="2">
      <c r="A384" s="8" t="n"/>
      <c r="B384" s="22" t="n"/>
      <c r="C384" s="115" t="n"/>
      <c r="D384" s="52" t="inlineStr">
        <is>
          <t>SEU TEXTO</t>
        </is>
      </c>
      <c r="E384" s="120" t="n"/>
      <c r="F384" s="14" t="n"/>
      <c r="G384" s="14" t="n"/>
      <c r="H384" s="15" t="n"/>
      <c r="I384" s="115" t="n"/>
      <c r="J384" s="52" t="inlineStr">
        <is>
          <t>SEU TEXTO</t>
        </is>
      </c>
      <c r="K384" s="120" t="n"/>
      <c r="L384" s="14" t="n"/>
      <c r="M384" s="14" t="n"/>
      <c r="N384" s="15" t="n"/>
      <c r="O384" s="115" t="n"/>
      <c r="P384" s="52" t="inlineStr">
        <is>
          <t>SEU TEXTO</t>
        </is>
      </c>
      <c r="Q384" s="120" t="n"/>
      <c r="R384" s="14" t="n"/>
      <c r="S384" s="14" t="n"/>
      <c r="T384" s="15" t="n"/>
      <c r="U384" s="115" t="n"/>
    </row>
    <row r="385" outlineLevel="2">
      <c r="A385" s="8" t="n"/>
      <c r="B385" s="22" t="n"/>
      <c r="C385" s="115" t="n"/>
      <c r="D385" s="121" t="n"/>
      <c r="E385" s="18" t="n"/>
      <c r="F385" s="19" t="n"/>
      <c r="G385" s="19" t="n"/>
      <c r="H385" s="20" t="n"/>
      <c r="I385" s="115" t="n"/>
      <c r="J385" s="121" t="n"/>
      <c r="K385" s="18" t="n"/>
      <c r="L385" s="19" t="n"/>
      <c r="M385" s="19" t="n"/>
      <c r="N385" s="20" t="n"/>
      <c r="O385" s="115" t="n"/>
      <c r="P385" s="121" t="n"/>
      <c r="Q385" s="18" t="n"/>
      <c r="R385" s="19" t="n"/>
      <c r="S385" s="19" t="n"/>
      <c r="T385" s="20" t="n"/>
      <c r="U385" s="115" t="n"/>
    </row>
    <row r="386" outlineLevel="1">
      <c r="A386" s="8" t="n"/>
      <c r="B386" s="22" t="n"/>
      <c r="C386" s="115" t="n"/>
      <c r="D386" s="115" t="n"/>
      <c r="E386" s="115" t="n"/>
      <c r="F386" s="115" t="n"/>
      <c r="G386" s="115" t="n"/>
      <c r="H386" s="115" t="n"/>
      <c r="I386" s="115" t="n"/>
      <c r="J386" s="115" t="n"/>
      <c r="K386" s="115" t="n"/>
      <c r="L386" s="115" t="n"/>
      <c r="M386" s="115" t="n"/>
      <c r="N386" s="115" t="n"/>
      <c r="O386" s="115" t="n"/>
      <c r="P386" s="115" t="n"/>
      <c r="Q386" s="115" t="n"/>
      <c r="R386" s="115" t="n"/>
      <c r="S386" s="115" t="n"/>
      <c r="T386" s="115" t="n"/>
      <c r="U386" s="115" t="n"/>
    </row>
    <row r="387" outlineLevel="1">
      <c r="A387" s="8" t="n"/>
      <c r="B387" s="22" t="n"/>
      <c r="C387" s="115" t="n"/>
      <c r="D387" s="131" t="n"/>
      <c r="E387" s="12" t="n"/>
      <c r="F387" s="126">
        <f>DADOS_AM!$HL$5</f>
        <v/>
      </c>
      <c r="G387" s="126">
        <f>DADOS_AM!$HM$5</f>
        <v/>
      </c>
      <c r="H387" s="12" t="n"/>
      <c r="I387" s="115" t="n"/>
      <c r="J387" s="131" t="n"/>
      <c r="K387" s="12" t="n"/>
      <c r="L387" s="126">
        <f>DADOS_AM!$HL$6</f>
        <v/>
      </c>
      <c r="M387" s="126">
        <f>DADOS_AM!$HM$6</f>
        <v/>
      </c>
      <c r="N387" s="12" t="n"/>
      <c r="O387" s="115" t="n"/>
      <c r="P387" s="115" t="n"/>
      <c r="Q387" s="115" t="n"/>
      <c r="R387" s="115" t="n"/>
      <c r="S387" s="115" t="n"/>
      <c r="T387" s="115" t="n"/>
      <c r="U387" s="115" t="n"/>
    </row>
    <row r="388" hidden="1" outlineLevel="2">
      <c r="A388" s="8" t="n"/>
      <c r="B388" s="22" t="n"/>
      <c r="C388" s="115" t="n"/>
      <c r="D388" s="52" t="inlineStr">
        <is>
          <t>O QUE FAZ</t>
        </is>
      </c>
      <c r="E388" s="11" t="n"/>
      <c r="F388" s="11" t="n"/>
      <c r="G388" s="11" t="n"/>
      <c r="H388" s="12" t="n"/>
      <c r="I388" s="115" t="n"/>
      <c r="J388" s="52" t="inlineStr">
        <is>
          <t>O QUE FAZ</t>
        </is>
      </c>
      <c r="K388" s="11" t="n"/>
      <c r="L388" s="11" t="n"/>
      <c r="M388" s="11" t="n"/>
      <c r="N388" s="12" t="n"/>
      <c r="O388" s="115" t="n"/>
      <c r="P388" s="115" t="n"/>
      <c r="Q388" s="115" t="n"/>
      <c r="R388" s="115" t="n"/>
      <c r="S388" s="115" t="n"/>
      <c r="T388" s="115" t="n"/>
      <c r="U388" s="115" t="n"/>
    </row>
    <row r="389" hidden="1" outlineLevel="2">
      <c r="A389" s="8" t="n"/>
      <c r="B389" s="22" t="n"/>
      <c r="C389" s="115" t="n"/>
      <c r="D389" s="120">
        <f>DADOS_AM!$HK$5</f>
        <v/>
      </c>
      <c r="E389" s="14" t="n"/>
      <c r="F389" s="14" t="n"/>
      <c r="G389" s="14" t="n"/>
      <c r="H389" s="15" t="n"/>
      <c r="I389" s="115" t="n"/>
      <c r="J389" s="120">
        <f>DADOS_AM!$HK$6</f>
        <v/>
      </c>
      <c r="K389" s="14" t="n"/>
      <c r="L389" s="14" t="n"/>
      <c r="M389" s="14" t="n"/>
      <c r="N389" s="15" t="n"/>
      <c r="O389" s="115" t="n"/>
      <c r="P389" s="115" t="n"/>
      <c r="Q389" s="115" t="n"/>
      <c r="R389" s="115" t="n"/>
      <c r="S389" s="115" t="n"/>
      <c r="T389" s="115" t="n"/>
      <c r="U389" s="115" t="n"/>
    </row>
    <row r="390" hidden="1" outlineLevel="2">
      <c r="A390" s="8" t="n"/>
      <c r="B390" s="22" t="n"/>
      <c r="C390" s="115" t="n"/>
      <c r="D390" s="16" t="n"/>
      <c r="H390" s="17" t="n"/>
      <c r="I390" s="115" t="n"/>
      <c r="J390" s="16" t="n"/>
      <c r="N390" s="17" t="n"/>
      <c r="O390" s="115" t="n"/>
      <c r="P390" s="115" t="n"/>
      <c r="Q390" s="115" t="n"/>
      <c r="R390" s="115" t="n"/>
      <c r="S390" s="115" t="n"/>
      <c r="T390" s="115" t="n"/>
      <c r="U390" s="115" t="n"/>
    </row>
    <row r="391" hidden="1" outlineLevel="2">
      <c r="A391" s="8" t="n"/>
      <c r="B391" s="22" t="n"/>
      <c r="C391" s="115" t="n"/>
      <c r="D391" s="18" t="n"/>
      <c r="E391" s="19" t="n"/>
      <c r="F391" s="19" t="n"/>
      <c r="G391" s="19" t="n"/>
      <c r="H391" s="20" t="n"/>
      <c r="I391" s="115" t="n"/>
      <c r="J391" s="18" t="n"/>
      <c r="K391" s="19" t="n"/>
      <c r="L391" s="19" t="n"/>
      <c r="M391" s="19" t="n"/>
      <c r="N391" s="20" t="n"/>
      <c r="O391" s="115" t="n"/>
      <c r="P391" s="115" t="n"/>
      <c r="Q391" s="115" t="n"/>
      <c r="R391" s="115" t="n"/>
      <c r="S391" s="115" t="n"/>
      <c r="T391" s="115" t="n"/>
      <c r="U391" s="115" t="n"/>
    </row>
    <row r="392" hidden="1" outlineLevel="2">
      <c r="A392" s="8" t="n"/>
      <c r="B392" s="22" t="n"/>
      <c r="C392" s="115" t="n"/>
      <c r="D392" s="52" t="inlineStr">
        <is>
          <t>SEU TEXTO</t>
        </is>
      </c>
      <c r="E392" s="120" t="n"/>
      <c r="F392" s="14" t="n"/>
      <c r="G392" s="14" t="n"/>
      <c r="H392" s="15" t="n"/>
      <c r="I392" s="115" t="n"/>
      <c r="J392" s="52" t="inlineStr">
        <is>
          <t>SEU TEXTO</t>
        </is>
      </c>
      <c r="K392" s="120" t="n"/>
      <c r="L392" s="14" t="n"/>
      <c r="M392" s="14" t="n"/>
      <c r="N392" s="15" t="n"/>
      <c r="O392" s="115" t="n"/>
      <c r="P392" s="115" t="n"/>
      <c r="Q392" s="115" t="n"/>
      <c r="R392" s="115" t="n"/>
      <c r="S392" s="115" t="n"/>
      <c r="T392" s="115" t="n"/>
      <c r="U392" s="115" t="n"/>
    </row>
    <row r="393" hidden="1" outlineLevel="2">
      <c r="A393" s="8" t="n"/>
      <c r="B393" s="22" t="n"/>
      <c r="C393" s="115" t="n"/>
      <c r="D393" s="121" t="n"/>
      <c r="E393" s="18" t="n"/>
      <c r="F393" s="19" t="n"/>
      <c r="G393" s="19" t="n"/>
      <c r="H393" s="20" t="n"/>
      <c r="I393" s="115" t="n"/>
      <c r="J393" s="121" t="n"/>
      <c r="K393" s="18" t="n"/>
      <c r="L393" s="19" t="n"/>
      <c r="M393" s="19" t="n"/>
      <c r="N393" s="20" t="n"/>
      <c r="O393" s="115" t="n"/>
      <c r="P393" s="115" t="n"/>
      <c r="Q393" s="115" t="n"/>
      <c r="R393" s="115" t="n"/>
      <c r="S393" s="115" t="n"/>
      <c r="T393" s="115" t="n"/>
      <c r="U393" s="115" t="n"/>
    </row>
    <row r="394" outlineLevel="1">
      <c r="A394" s="8" t="n"/>
      <c r="B394" s="22" t="n"/>
      <c r="C394" s="115" t="n"/>
      <c r="D394" s="115" t="n"/>
      <c r="E394" s="115" t="n"/>
      <c r="F394" s="115" t="n"/>
      <c r="G394" s="115" t="n"/>
      <c r="H394" s="115" t="n"/>
      <c r="I394" s="115" t="n"/>
      <c r="J394" s="115" t="n"/>
      <c r="K394" s="115" t="n"/>
      <c r="L394" s="115" t="n"/>
      <c r="M394" s="115" t="n"/>
      <c r="N394" s="115" t="n"/>
      <c r="O394" s="115" t="n"/>
      <c r="P394" s="115" t="n"/>
      <c r="Q394" s="115" t="n"/>
      <c r="R394" s="115" t="n"/>
      <c r="S394" s="115" t="n"/>
      <c r="T394" s="115" t="n"/>
      <c r="U394" s="115" t="n"/>
    </row>
    <row r="395" outlineLevel="1">
      <c r="A395" s="8" t="n"/>
      <c r="B395" s="22" t="n"/>
      <c r="C395" s="115" t="n"/>
      <c r="D395" s="130" t="inlineStr">
        <is>
          <t>PASSIVAS DO LEQUE · uma por escolha de Leque, sem custar espaço</t>
        </is>
      </c>
      <c r="E395" s="11" t="n"/>
      <c r="F395" s="11" t="n"/>
      <c r="G395" s="11" t="n"/>
      <c r="H395" s="11" t="n"/>
      <c r="I395" s="11" t="n"/>
      <c r="J395" s="11" t="n"/>
      <c r="K395" s="11" t="n"/>
      <c r="L395" s="11" t="n"/>
      <c r="M395" s="11" t="n"/>
      <c r="N395" s="11" t="n"/>
      <c r="O395" s="11" t="n"/>
      <c r="P395" s="11" t="n"/>
      <c r="Q395" s="11" t="n"/>
      <c r="R395" s="11" t="n"/>
      <c r="S395" s="11" t="n"/>
      <c r="T395" s="12" t="n"/>
      <c r="U395" s="115" t="n"/>
    </row>
    <row r="396" hidden="1" outlineLevel="2">
      <c r="A396" s="8" t="n"/>
      <c r="B396" s="22" t="n"/>
      <c r="C396" s="115" t="n"/>
      <c r="D396" s="115" t="n"/>
      <c r="E396" s="115" t="n"/>
      <c r="F396" s="115" t="n"/>
      <c r="G396" s="115" t="n"/>
      <c r="H396" s="115" t="n"/>
      <c r="I396" s="115" t="n"/>
      <c r="J396" s="115" t="n"/>
      <c r="K396" s="115" t="n"/>
      <c r="L396" s="115" t="n"/>
      <c r="M396" s="115" t="n"/>
      <c r="N396" s="115" t="n"/>
      <c r="O396" s="115" t="n"/>
      <c r="P396" s="115" t="n"/>
      <c r="Q396" s="115" t="n"/>
      <c r="R396" s="115" t="n"/>
      <c r="S396" s="115" t="n"/>
      <c r="T396" s="115" t="n"/>
      <c r="U396" s="115" t="n"/>
    </row>
    <row r="397" hidden="1" outlineLevel="2">
      <c r="A397" s="8" t="n"/>
      <c r="B397" s="22" t="n"/>
      <c r="C397" s="115" t="n"/>
      <c r="D397" s="131" t="n"/>
      <c r="E397" s="12" t="n"/>
      <c r="F397" s="126">
        <f>DADOS_AM!$HL$7</f>
        <v/>
      </c>
      <c r="G397" s="126">
        <f>DADOS_AM!$HM$7</f>
        <v/>
      </c>
      <c r="H397" s="12" t="n"/>
      <c r="I397" s="115" t="n"/>
      <c r="J397" s="131" t="n"/>
      <c r="K397" s="12" t="n"/>
      <c r="L397" s="126">
        <f>DADOS_AM!$HL$8</f>
        <v/>
      </c>
      <c r="M397" s="126">
        <f>DADOS_AM!$HM$8</f>
        <v/>
      </c>
      <c r="N397" s="12" t="n"/>
      <c r="O397" s="115" t="n"/>
      <c r="P397" s="131" t="n"/>
      <c r="Q397" s="12" t="n"/>
      <c r="R397" s="126">
        <f>DADOS_AM!$HL$9</f>
        <v/>
      </c>
      <c r="S397" s="126">
        <f>DADOS_AM!$HM$9</f>
        <v/>
      </c>
      <c r="T397" s="12" t="n"/>
      <c r="U397" s="115" t="n"/>
    </row>
    <row r="398" hidden="1" outlineLevel="3">
      <c r="A398" s="8" t="n"/>
      <c r="B398" s="22" t="n"/>
      <c r="C398" s="115" t="n"/>
      <c r="D398" s="52" t="inlineStr">
        <is>
          <t>O QUE FAZ</t>
        </is>
      </c>
      <c r="E398" s="11" t="n"/>
      <c r="F398" s="11" t="n"/>
      <c r="G398" s="11" t="n"/>
      <c r="H398" s="12" t="n"/>
      <c r="I398" s="115" t="n"/>
      <c r="J398" s="52" t="inlineStr">
        <is>
          <t>O QUE FAZ</t>
        </is>
      </c>
      <c r="K398" s="11" t="n"/>
      <c r="L398" s="11" t="n"/>
      <c r="M398" s="11" t="n"/>
      <c r="N398" s="12" t="n"/>
      <c r="O398" s="115" t="n"/>
      <c r="P398" s="52" t="inlineStr">
        <is>
          <t>O QUE FAZ</t>
        </is>
      </c>
      <c r="Q398" s="11" t="n"/>
      <c r="R398" s="11" t="n"/>
      <c r="S398" s="11" t="n"/>
      <c r="T398" s="12" t="n"/>
      <c r="U398" s="115" t="n"/>
    </row>
    <row r="399" hidden="1" outlineLevel="3">
      <c r="A399" s="8" t="n"/>
      <c r="B399" s="22" t="n"/>
      <c r="C399" s="115" t="n"/>
      <c r="D399" s="120">
        <f>DADOS_AM!$HK$7</f>
        <v/>
      </c>
      <c r="E399" s="14" t="n"/>
      <c r="F399" s="14" t="n"/>
      <c r="G399" s="14" t="n"/>
      <c r="H399" s="15" t="n"/>
      <c r="I399" s="115" t="n"/>
      <c r="J399" s="120">
        <f>DADOS_AM!$HK$8</f>
        <v/>
      </c>
      <c r="K399" s="14" t="n"/>
      <c r="L399" s="14" t="n"/>
      <c r="M399" s="14" t="n"/>
      <c r="N399" s="15" t="n"/>
      <c r="O399" s="115" t="n"/>
      <c r="P399" s="120">
        <f>DADOS_AM!$HK$9</f>
        <v/>
      </c>
      <c r="Q399" s="14" t="n"/>
      <c r="R399" s="14" t="n"/>
      <c r="S399" s="14" t="n"/>
      <c r="T399" s="15" t="n"/>
      <c r="U399" s="115" t="n"/>
    </row>
    <row r="400" hidden="1" outlineLevel="3">
      <c r="A400" s="8" t="n"/>
      <c r="B400" s="22" t="n"/>
      <c r="C400" s="115" t="n"/>
      <c r="D400" s="16" t="n"/>
      <c r="H400" s="17" t="n"/>
      <c r="I400" s="115" t="n"/>
      <c r="J400" s="16" t="n"/>
      <c r="N400" s="17" t="n"/>
      <c r="O400" s="115" t="n"/>
      <c r="P400" s="16" t="n"/>
      <c r="T400" s="17" t="n"/>
      <c r="U400" s="115" t="n"/>
    </row>
    <row r="401" hidden="1" outlineLevel="3">
      <c r="A401" s="8" t="n"/>
      <c r="B401" s="22" t="n"/>
      <c r="C401" s="115" t="n"/>
      <c r="D401" s="18" t="n"/>
      <c r="E401" s="19" t="n"/>
      <c r="F401" s="19" t="n"/>
      <c r="G401" s="19" t="n"/>
      <c r="H401" s="20" t="n"/>
      <c r="I401" s="115" t="n"/>
      <c r="J401" s="18" t="n"/>
      <c r="K401" s="19" t="n"/>
      <c r="L401" s="19" t="n"/>
      <c r="M401" s="19" t="n"/>
      <c r="N401" s="20" t="n"/>
      <c r="O401" s="115" t="n"/>
      <c r="P401" s="18" t="n"/>
      <c r="Q401" s="19" t="n"/>
      <c r="R401" s="19" t="n"/>
      <c r="S401" s="19" t="n"/>
      <c r="T401" s="20" t="n"/>
      <c r="U401" s="115" t="n"/>
    </row>
    <row r="402" hidden="1" outlineLevel="3">
      <c r="A402" s="8" t="n"/>
      <c r="B402" s="22" t="n"/>
      <c r="C402" s="115" t="n"/>
      <c r="D402" s="52" t="inlineStr">
        <is>
          <t>SEU TEXTO</t>
        </is>
      </c>
      <c r="E402" s="120" t="n"/>
      <c r="F402" s="14" t="n"/>
      <c r="G402" s="14" t="n"/>
      <c r="H402" s="15" t="n"/>
      <c r="I402" s="115" t="n"/>
      <c r="J402" s="52" t="inlineStr">
        <is>
          <t>SEU TEXTO</t>
        </is>
      </c>
      <c r="K402" s="120" t="n"/>
      <c r="L402" s="14" t="n"/>
      <c r="M402" s="14" t="n"/>
      <c r="N402" s="15" t="n"/>
      <c r="O402" s="115" t="n"/>
      <c r="P402" s="52" t="inlineStr">
        <is>
          <t>SEU TEXTO</t>
        </is>
      </c>
      <c r="Q402" s="120" t="n"/>
      <c r="R402" s="14" t="n"/>
      <c r="S402" s="14" t="n"/>
      <c r="T402" s="15" t="n"/>
      <c r="U402" s="115" t="n"/>
    </row>
    <row r="403" hidden="1" outlineLevel="3">
      <c r="A403" s="8" t="n"/>
      <c r="B403" s="22" t="n"/>
      <c r="C403" s="115" t="n"/>
      <c r="D403" s="121" t="n"/>
      <c r="E403" s="18" t="n"/>
      <c r="F403" s="19" t="n"/>
      <c r="G403" s="19" t="n"/>
      <c r="H403" s="20" t="n"/>
      <c r="I403" s="115" t="n"/>
      <c r="J403" s="121" t="n"/>
      <c r="K403" s="18" t="n"/>
      <c r="L403" s="19" t="n"/>
      <c r="M403" s="19" t="n"/>
      <c r="N403" s="20" t="n"/>
      <c r="O403" s="115" t="n"/>
      <c r="P403" s="121" t="n"/>
      <c r="Q403" s="18" t="n"/>
      <c r="R403" s="19" t="n"/>
      <c r="S403" s="19" t="n"/>
      <c r="T403" s="20" t="n"/>
      <c r="U403" s="115" t="n"/>
    </row>
    <row r="404" hidden="1" outlineLevel="2">
      <c r="A404" s="8" t="n"/>
      <c r="B404" s="22" t="n"/>
      <c r="C404" s="115" t="n"/>
      <c r="D404" s="115" t="n"/>
      <c r="E404" s="115" t="n"/>
      <c r="F404" s="115" t="n"/>
      <c r="G404" s="115" t="n"/>
      <c r="H404" s="115" t="n"/>
      <c r="I404" s="115" t="n"/>
      <c r="J404" s="115" t="n"/>
      <c r="K404" s="115" t="n"/>
      <c r="L404" s="115" t="n"/>
      <c r="M404" s="115" t="n"/>
      <c r="N404" s="115" t="n"/>
      <c r="O404" s="115" t="n"/>
      <c r="P404" s="115" t="n"/>
      <c r="Q404" s="115" t="n"/>
      <c r="R404" s="115" t="n"/>
      <c r="S404" s="115" t="n"/>
      <c r="T404" s="115" t="n"/>
      <c r="U404" s="115" t="n"/>
    </row>
    <row r="405" hidden="1" outlineLevel="2">
      <c r="A405" s="8" t="n"/>
      <c r="B405" s="22" t="n"/>
      <c r="C405" s="115" t="n"/>
      <c r="D405" s="131" t="n"/>
      <c r="E405" s="12" t="n"/>
      <c r="F405" s="126">
        <f>DADOS_AM!$HL$10</f>
        <v/>
      </c>
      <c r="G405" s="126">
        <f>DADOS_AM!$HM$10</f>
        <v/>
      </c>
      <c r="H405" s="12" t="n"/>
      <c r="I405" s="115" t="n"/>
      <c r="J405" s="131" t="n"/>
      <c r="K405" s="12" t="n"/>
      <c r="L405" s="126">
        <f>DADOS_AM!$HL$11</f>
        <v/>
      </c>
      <c r="M405" s="126">
        <f>DADOS_AM!$HM$11</f>
        <v/>
      </c>
      <c r="N405" s="12" t="n"/>
      <c r="O405" s="115" t="n"/>
      <c r="P405" s="131" t="n"/>
      <c r="Q405" s="12" t="n"/>
      <c r="R405" s="126">
        <f>DADOS_AM!$HL$12</f>
        <v/>
      </c>
      <c r="S405" s="126">
        <f>DADOS_AM!$HM$12</f>
        <v/>
      </c>
      <c r="T405" s="12" t="n"/>
      <c r="U405" s="115" t="n"/>
    </row>
    <row r="406" hidden="1" outlineLevel="3">
      <c r="A406" s="8" t="n"/>
      <c r="B406" s="22" t="n"/>
      <c r="C406" s="115" t="n"/>
      <c r="D406" s="52" t="inlineStr">
        <is>
          <t>O QUE FAZ</t>
        </is>
      </c>
      <c r="E406" s="11" t="n"/>
      <c r="F406" s="11" t="n"/>
      <c r="G406" s="11" t="n"/>
      <c r="H406" s="12" t="n"/>
      <c r="I406" s="115" t="n"/>
      <c r="J406" s="52" t="inlineStr">
        <is>
          <t>O QUE FAZ</t>
        </is>
      </c>
      <c r="K406" s="11" t="n"/>
      <c r="L406" s="11" t="n"/>
      <c r="M406" s="11" t="n"/>
      <c r="N406" s="12" t="n"/>
      <c r="O406" s="115" t="n"/>
      <c r="P406" s="52" t="inlineStr">
        <is>
          <t>O QUE FAZ</t>
        </is>
      </c>
      <c r="Q406" s="11" t="n"/>
      <c r="R406" s="11" t="n"/>
      <c r="S406" s="11" t="n"/>
      <c r="T406" s="12" t="n"/>
      <c r="U406" s="115" t="n"/>
    </row>
    <row r="407" hidden="1" outlineLevel="3">
      <c r="A407" s="8" t="n"/>
      <c r="B407" s="22" t="n"/>
      <c r="C407" s="115" t="n"/>
      <c r="D407" s="120">
        <f>DADOS_AM!$HK$10</f>
        <v/>
      </c>
      <c r="E407" s="14" t="n"/>
      <c r="F407" s="14" t="n"/>
      <c r="G407" s="14" t="n"/>
      <c r="H407" s="15" t="n"/>
      <c r="I407" s="115" t="n"/>
      <c r="J407" s="120">
        <f>DADOS_AM!$HK$11</f>
        <v/>
      </c>
      <c r="K407" s="14" t="n"/>
      <c r="L407" s="14" t="n"/>
      <c r="M407" s="14" t="n"/>
      <c r="N407" s="15" t="n"/>
      <c r="O407" s="115" t="n"/>
      <c r="P407" s="120">
        <f>DADOS_AM!$HK$12</f>
        <v/>
      </c>
      <c r="Q407" s="14" t="n"/>
      <c r="R407" s="14" t="n"/>
      <c r="S407" s="14" t="n"/>
      <c r="T407" s="15" t="n"/>
      <c r="U407" s="115" t="n"/>
    </row>
    <row r="408" hidden="1" outlineLevel="3">
      <c r="A408" s="8" t="n"/>
      <c r="B408" s="22" t="n"/>
      <c r="C408" s="115" t="n"/>
      <c r="D408" s="16" t="n"/>
      <c r="H408" s="17" t="n"/>
      <c r="I408" s="115" t="n"/>
      <c r="J408" s="16" t="n"/>
      <c r="N408" s="17" t="n"/>
      <c r="O408" s="115" t="n"/>
      <c r="P408" s="16" t="n"/>
      <c r="T408" s="17" t="n"/>
      <c r="U408" s="115" t="n"/>
    </row>
    <row r="409" hidden="1" outlineLevel="3">
      <c r="A409" s="8" t="n"/>
      <c r="B409" s="22" t="n"/>
      <c r="C409" s="115" t="n"/>
      <c r="D409" s="18" t="n"/>
      <c r="E409" s="19" t="n"/>
      <c r="F409" s="19" t="n"/>
      <c r="G409" s="19" t="n"/>
      <c r="H409" s="20" t="n"/>
      <c r="I409" s="115" t="n"/>
      <c r="J409" s="18" t="n"/>
      <c r="K409" s="19" t="n"/>
      <c r="L409" s="19" t="n"/>
      <c r="M409" s="19" t="n"/>
      <c r="N409" s="20" t="n"/>
      <c r="O409" s="115" t="n"/>
      <c r="P409" s="18" t="n"/>
      <c r="Q409" s="19" t="n"/>
      <c r="R409" s="19" t="n"/>
      <c r="S409" s="19" t="n"/>
      <c r="T409" s="20" t="n"/>
      <c r="U409" s="115" t="n"/>
    </row>
    <row r="410" hidden="1" outlineLevel="3">
      <c r="A410" s="8" t="n"/>
      <c r="B410" s="22" t="n"/>
      <c r="C410" s="115" t="n"/>
      <c r="D410" s="52" t="inlineStr">
        <is>
          <t>SEU TEXTO</t>
        </is>
      </c>
      <c r="E410" s="120" t="n"/>
      <c r="F410" s="14" t="n"/>
      <c r="G410" s="14" t="n"/>
      <c r="H410" s="15" t="n"/>
      <c r="I410" s="115" t="n"/>
      <c r="J410" s="52" t="inlineStr">
        <is>
          <t>SEU TEXTO</t>
        </is>
      </c>
      <c r="K410" s="120" t="n"/>
      <c r="L410" s="14" t="n"/>
      <c r="M410" s="14" t="n"/>
      <c r="N410" s="15" t="n"/>
      <c r="O410" s="115" t="n"/>
      <c r="P410" s="52" t="inlineStr">
        <is>
          <t>SEU TEXTO</t>
        </is>
      </c>
      <c r="Q410" s="120" t="n"/>
      <c r="R410" s="14" t="n"/>
      <c r="S410" s="14" t="n"/>
      <c r="T410" s="15" t="n"/>
      <c r="U410" s="115" t="n"/>
    </row>
    <row r="411" hidden="1" outlineLevel="3">
      <c r="A411" s="8" t="n"/>
      <c r="B411" s="22" t="n"/>
      <c r="C411" s="115" t="n"/>
      <c r="D411" s="121" t="n"/>
      <c r="E411" s="18" t="n"/>
      <c r="F411" s="19" t="n"/>
      <c r="G411" s="19" t="n"/>
      <c r="H411" s="20" t="n"/>
      <c r="I411" s="115" t="n"/>
      <c r="J411" s="121" t="n"/>
      <c r="K411" s="18" t="n"/>
      <c r="L411" s="19" t="n"/>
      <c r="M411" s="19" t="n"/>
      <c r="N411" s="20" t="n"/>
      <c r="O411" s="115" t="n"/>
      <c r="P411" s="121" t="n"/>
      <c r="Q411" s="18" t="n"/>
      <c r="R411" s="19" t="n"/>
      <c r="S411" s="19" t="n"/>
      <c r="T411" s="20" t="n"/>
      <c r="U411" s="115" t="n"/>
    </row>
    <row r="412" hidden="1" outlineLevel="2">
      <c r="A412" s="8" t="n"/>
      <c r="B412" s="22" t="n"/>
      <c r="C412" s="115" t="n"/>
      <c r="D412" s="115" t="n"/>
      <c r="E412" s="115" t="n"/>
      <c r="F412" s="115" t="n"/>
      <c r="G412" s="115" t="n"/>
      <c r="H412" s="115" t="n"/>
      <c r="I412" s="115" t="n"/>
      <c r="J412" s="115" t="n"/>
      <c r="K412" s="115" t="n"/>
      <c r="L412" s="115" t="n"/>
      <c r="M412" s="115" t="n"/>
      <c r="N412" s="115" t="n"/>
      <c r="O412" s="115" t="n"/>
      <c r="P412" s="115" t="n"/>
      <c r="Q412" s="115" t="n"/>
      <c r="R412" s="115" t="n"/>
      <c r="S412" s="115" t="n"/>
      <c r="T412" s="115" t="n"/>
      <c r="U412" s="115" t="n"/>
    </row>
    <row r="413" hidden="1" outlineLevel="2">
      <c r="A413" s="8" t="n"/>
      <c r="B413" s="22" t="n"/>
      <c r="C413" s="115" t="n"/>
      <c r="D413" s="131" t="n"/>
      <c r="E413" s="12" t="n"/>
      <c r="F413" s="126">
        <f>DADOS_AM!$HL$13</f>
        <v/>
      </c>
      <c r="G413" s="126">
        <f>DADOS_AM!$HM$13</f>
        <v/>
      </c>
      <c r="H413" s="12" t="n"/>
      <c r="I413" s="115" t="n"/>
      <c r="J413" s="115" t="n"/>
      <c r="K413" s="115" t="n"/>
      <c r="L413" s="115" t="n"/>
      <c r="M413" s="115" t="n"/>
      <c r="N413" s="115" t="n"/>
      <c r="O413" s="115" t="n"/>
      <c r="P413" s="115" t="n"/>
      <c r="Q413" s="115" t="n"/>
      <c r="R413" s="115" t="n"/>
      <c r="S413" s="115" t="n"/>
      <c r="T413" s="115" t="n"/>
      <c r="U413" s="115" t="n"/>
    </row>
    <row r="414" hidden="1" outlineLevel="3">
      <c r="A414" s="8" t="n"/>
      <c r="B414" s="22" t="n"/>
      <c r="C414" s="115" t="n"/>
      <c r="D414" s="52" t="inlineStr">
        <is>
          <t>O QUE FAZ</t>
        </is>
      </c>
      <c r="E414" s="11" t="n"/>
      <c r="F414" s="11" t="n"/>
      <c r="G414" s="11" t="n"/>
      <c r="H414" s="12" t="n"/>
      <c r="I414" s="115" t="n"/>
      <c r="J414" s="115" t="n"/>
      <c r="K414" s="115" t="n"/>
      <c r="L414" s="115" t="n"/>
      <c r="M414" s="115" t="n"/>
      <c r="N414" s="115" t="n"/>
      <c r="O414" s="115" t="n"/>
      <c r="P414" s="115" t="n"/>
      <c r="Q414" s="115" t="n"/>
      <c r="R414" s="115" t="n"/>
      <c r="S414" s="115" t="n"/>
      <c r="T414" s="115" t="n"/>
      <c r="U414" s="115" t="n"/>
    </row>
    <row r="415" hidden="1" outlineLevel="3">
      <c r="A415" s="8" t="n"/>
      <c r="B415" s="22" t="n"/>
      <c r="C415" s="115" t="n"/>
      <c r="D415" s="120">
        <f>DADOS_AM!$HK$13</f>
        <v/>
      </c>
      <c r="E415" s="14" t="n"/>
      <c r="F415" s="14" t="n"/>
      <c r="G415" s="14" t="n"/>
      <c r="H415" s="15" t="n"/>
      <c r="I415" s="115" t="n"/>
      <c r="J415" s="115" t="n"/>
      <c r="K415" s="115" t="n"/>
      <c r="L415" s="115" t="n"/>
      <c r="M415" s="115" t="n"/>
      <c r="N415" s="115" t="n"/>
      <c r="O415" s="115" t="n"/>
      <c r="P415" s="115" t="n"/>
      <c r="Q415" s="115" t="n"/>
      <c r="R415" s="115" t="n"/>
      <c r="S415" s="115" t="n"/>
      <c r="T415" s="115" t="n"/>
      <c r="U415" s="115" t="n"/>
    </row>
    <row r="416" hidden="1" outlineLevel="3">
      <c r="A416" s="8" t="n"/>
      <c r="B416" s="22" t="n"/>
      <c r="C416" s="115" t="n"/>
      <c r="D416" s="16" t="n"/>
      <c r="H416" s="17" t="n"/>
      <c r="I416" s="115" t="n"/>
      <c r="J416" s="115" t="n"/>
      <c r="K416" s="115" t="n"/>
      <c r="L416" s="115" t="n"/>
      <c r="M416" s="115" t="n"/>
      <c r="N416" s="115" t="n"/>
      <c r="O416" s="115" t="n"/>
      <c r="P416" s="115" t="n"/>
      <c r="Q416" s="115" t="n"/>
      <c r="R416" s="115" t="n"/>
      <c r="S416" s="115" t="n"/>
      <c r="T416" s="115" t="n"/>
      <c r="U416" s="115" t="n"/>
    </row>
    <row r="417" hidden="1" outlineLevel="3">
      <c r="A417" s="8" t="n"/>
      <c r="B417" s="22" t="n"/>
      <c r="C417" s="115" t="n"/>
      <c r="D417" s="18" t="n"/>
      <c r="E417" s="19" t="n"/>
      <c r="F417" s="19" t="n"/>
      <c r="G417" s="19" t="n"/>
      <c r="H417" s="20" t="n"/>
      <c r="I417" s="115" t="n"/>
      <c r="J417" s="115" t="n"/>
      <c r="K417" s="115" t="n"/>
      <c r="L417" s="115" t="n"/>
      <c r="M417" s="115" t="n"/>
      <c r="N417" s="115" t="n"/>
      <c r="O417" s="115" t="n"/>
      <c r="P417" s="115" t="n"/>
      <c r="Q417" s="115" t="n"/>
      <c r="R417" s="115" t="n"/>
      <c r="S417" s="115" t="n"/>
      <c r="T417" s="115" t="n"/>
      <c r="U417" s="115" t="n"/>
    </row>
    <row r="418" hidden="1" outlineLevel="3">
      <c r="A418" s="8" t="n"/>
      <c r="B418" s="22" t="n"/>
      <c r="C418" s="115" t="n"/>
      <c r="D418" s="52" t="inlineStr">
        <is>
          <t>SEU TEXTO</t>
        </is>
      </c>
      <c r="E418" s="120" t="n"/>
      <c r="F418" s="14" t="n"/>
      <c r="G418" s="14" t="n"/>
      <c r="H418" s="15" t="n"/>
      <c r="I418" s="115" t="n"/>
      <c r="J418" s="115" t="n"/>
      <c r="K418" s="115" t="n"/>
      <c r="L418" s="115" t="n"/>
      <c r="M418" s="115" t="n"/>
      <c r="N418" s="115" t="n"/>
      <c r="O418" s="115" t="n"/>
      <c r="P418" s="115" t="n"/>
      <c r="Q418" s="115" t="n"/>
      <c r="R418" s="115" t="n"/>
      <c r="S418" s="115" t="n"/>
      <c r="T418" s="115" t="n"/>
      <c r="U418" s="115" t="n"/>
    </row>
    <row r="419" hidden="1" outlineLevel="3">
      <c r="A419" s="8" t="n"/>
      <c r="B419" s="22" t="n"/>
      <c r="C419" s="115" t="n"/>
      <c r="D419" s="121" t="n"/>
      <c r="E419" s="18" t="n"/>
      <c r="F419" s="19" t="n"/>
      <c r="G419" s="19" t="n"/>
      <c r="H419" s="20" t="n"/>
      <c r="I419" s="115" t="n"/>
      <c r="J419" s="115" t="n"/>
      <c r="K419" s="115" t="n"/>
      <c r="L419" s="115" t="n"/>
      <c r="M419" s="115" t="n"/>
      <c r="N419" s="115" t="n"/>
      <c r="O419" s="115" t="n"/>
      <c r="P419" s="115" t="n"/>
      <c r="Q419" s="115" t="n"/>
      <c r="R419" s="115" t="n"/>
      <c r="S419" s="115" t="n"/>
      <c r="T419" s="115" t="n"/>
      <c r="U419" s="115" t="n"/>
    </row>
    <row r="420">
      <c r="A420" s="8" t="n"/>
      <c r="B420" s="22" t="n"/>
      <c r="C420" s="115" t="n"/>
      <c r="D420" s="115" t="n"/>
      <c r="E420" s="115" t="n"/>
      <c r="F420" s="115" t="n"/>
      <c r="G420" s="115" t="n"/>
      <c r="H420" s="115" t="n"/>
      <c r="I420" s="115" t="n"/>
      <c r="J420" s="115" t="n"/>
      <c r="K420" s="115" t="n"/>
      <c r="L420" s="115" t="n"/>
      <c r="M420" s="115" t="n"/>
      <c r="N420" s="115" t="n"/>
      <c r="O420" s="115" t="n"/>
      <c r="P420" s="115" t="n"/>
      <c r="Q420" s="115" t="n"/>
      <c r="R420" s="115" t="n"/>
      <c r="S420" s="115" t="n"/>
      <c r="T420" s="115" t="n"/>
      <c r="U420" s="115" t="n"/>
    </row>
    <row r="421">
      <c r="A421" s="8" t="n"/>
      <c r="B421" s="22" t="n"/>
      <c r="C421" s="115" t="n"/>
      <c r="D421" s="118">
        <f>DADOS_AM!$IK$59</f>
        <v/>
      </c>
      <c r="E421" s="14" t="n"/>
      <c r="F421" s="14" t="n"/>
      <c r="G421" s="14" t="n"/>
      <c r="H421" s="14" t="n"/>
      <c r="I421" s="14" t="n"/>
      <c r="J421" s="14" t="n"/>
      <c r="K421" s="14" t="n"/>
      <c r="L421" s="14" t="n"/>
      <c r="M421" s="14" t="n"/>
      <c r="N421" s="14" t="n"/>
      <c r="O421" s="14" t="n"/>
      <c r="P421" s="14" t="n"/>
      <c r="Q421" s="14" t="n"/>
      <c r="R421" s="14" t="n"/>
      <c r="S421" s="14" t="n"/>
      <c r="T421" s="15" t="n"/>
      <c r="U421" s="115" t="n"/>
    </row>
    <row r="422">
      <c r="A422" s="8" t="n"/>
      <c r="B422" s="22" t="n"/>
      <c r="C422" s="115" t="n"/>
      <c r="D422" s="18" t="n"/>
      <c r="E422" s="19" t="n"/>
      <c r="F422" s="19" t="n"/>
      <c r="G422" s="19" t="n"/>
      <c r="H422" s="19" t="n"/>
      <c r="I422" s="19" t="n"/>
      <c r="J422" s="19" t="n"/>
      <c r="K422" s="19" t="n"/>
      <c r="L422" s="19" t="n"/>
      <c r="M422" s="19" t="n"/>
      <c r="N422" s="19" t="n"/>
      <c r="O422" s="19" t="n"/>
      <c r="P422" s="19" t="n"/>
      <c r="Q422" s="19" t="n"/>
      <c r="R422" s="19" t="n"/>
      <c r="S422" s="19" t="n"/>
      <c r="T422" s="20" t="n"/>
      <c r="U422" s="115" t="n"/>
    </row>
    <row r="423" outlineLevel="1">
      <c r="A423" s="8" t="n"/>
      <c r="B423" s="22" t="n"/>
      <c r="C423" s="115" t="n"/>
      <c r="D423" s="52">
        <f>DADOS_AM!$IK$60</f>
        <v/>
      </c>
      <c r="E423" s="12" t="n"/>
      <c r="F423" s="52" t="inlineStr">
        <is>
          <t>COMPRADAS</t>
        </is>
      </c>
      <c r="G423" s="11" t="n"/>
      <c r="H423" s="12" t="n"/>
      <c r="I423" s="115" t="n"/>
      <c r="J423" s="52">
        <f>DADOS_AM!$IK$62</f>
        <v/>
      </c>
      <c r="K423" s="12" t="n"/>
      <c r="L423" s="52">
        <f>DADOS_AM!$IK$64</f>
        <v/>
      </c>
      <c r="M423" s="11" t="n"/>
      <c r="N423" s="12" t="n"/>
      <c r="O423" s="115" t="n"/>
      <c r="P423" s="52">
        <f>DADOS_AM!$IK$66</f>
        <v/>
      </c>
      <c r="Q423" s="11" t="n"/>
      <c r="R423" s="11" t="n"/>
      <c r="S423" s="11" t="n"/>
      <c r="T423" s="12" t="n"/>
      <c r="U423" s="115" t="n"/>
    </row>
    <row r="424" outlineLevel="1">
      <c r="A424" s="8" t="n"/>
      <c r="B424" s="22" t="n"/>
      <c r="C424" s="115" t="n"/>
      <c r="D424" s="89">
        <f>DADOS_AM!$HE$6</f>
        <v/>
      </c>
      <c r="E424" s="15" t="n"/>
      <c r="F424" s="89">
        <f>DADOS_AM!$IK$61</f>
        <v/>
      </c>
      <c r="G424" s="14" t="n"/>
      <c r="H424" s="15" t="n"/>
      <c r="I424" s="115" t="n"/>
      <c r="J424" s="80">
        <f>DADOS_AM!$IK$63</f>
        <v/>
      </c>
      <c r="K424" s="15" t="n"/>
      <c r="L424" s="80">
        <f>DADOS_AM!$IK$65</f>
        <v/>
      </c>
      <c r="M424" s="14" t="n"/>
      <c r="N424" s="15" t="n"/>
      <c r="O424" s="115" t="n"/>
      <c r="P424" s="80">
        <f>DADOS_AM!$IK$67</f>
        <v/>
      </c>
      <c r="Q424" s="14" t="n"/>
      <c r="R424" s="14" t="n"/>
      <c r="S424" s="14" t="n"/>
      <c r="T424" s="15" t="n"/>
      <c r="U424" s="115" t="n"/>
    </row>
    <row r="425" outlineLevel="1">
      <c r="A425" s="8" t="n"/>
      <c r="B425" s="22" t="n"/>
      <c r="C425" s="115" t="n"/>
      <c r="D425" s="18" t="n"/>
      <c r="E425" s="20" t="n"/>
      <c r="F425" s="18" t="n"/>
      <c r="G425" s="19" t="n"/>
      <c r="H425" s="20" t="n"/>
      <c r="I425" s="115" t="n"/>
      <c r="J425" s="18" t="n"/>
      <c r="K425" s="20" t="n"/>
      <c r="L425" s="18" t="n"/>
      <c r="M425" s="19" t="n"/>
      <c r="N425" s="20" t="n"/>
      <c r="O425" s="115" t="n"/>
      <c r="P425" s="18" t="n"/>
      <c r="Q425" s="19" t="n"/>
      <c r="R425" s="19" t="n"/>
      <c r="S425" s="19" t="n"/>
      <c r="T425" s="20" t="n"/>
      <c r="U425" s="115" t="n"/>
    </row>
    <row r="426" outlineLevel="1">
      <c r="A426" s="8" t="n"/>
      <c r="B426" s="22" t="n"/>
      <c r="C426" s="115" t="n"/>
      <c r="D426" s="115" t="n"/>
      <c r="E426" s="115" t="n"/>
      <c r="F426" s="115" t="n"/>
      <c r="G426" s="115" t="n"/>
      <c r="H426" s="115" t="n"/>
      <c r="I426" s="115" t="n"/>
      <c r="J426" s="115" t="n"/>
      <c r="K426" s="115" t="n"/>
      <c r="L426" s="115" t="n"/>
      <c r="M426" s="115" t="n"/>
      <c r="N426" s="115" t="n"/>
      <c r="O426" s="115" t="n"/>
      <c r="P426" s="115" t="n"/>
      <c r="Q426" s="115" t="n"/>
      <c r="R426" s="115" t="n"/>
      <c r="S426" s="115" t="n"/>
      <c r="T426" s="115" t="n"/>
      <c r="U426" s="115" t="n"/>
    </row>
    <row r="427" outlineLevel="1">
      <c r="A427" s="8" t="n"/>
      <c r="B427" s="22" t="n"/>
      <c r="C427" s="115" t="n"/>
      <c r="D427" s="52">
        <f>DADOS_AM!$IK$68</f>
        <v/>
      </c>
      <c r="E427" s="11" t="n"/>
      <c r="F427" s="11" t="n"/>
      <c r="G427" s="11" t="n"/>
      <c r="H427" s="12" t="n"/>
      <c r="I427" s="115" t="n"/>
      <c r="J427" s="52">
        <f>DADOS_AM!$IK$69</f>
        <v/>
      </c>
      <c r="K427" s="11" t="n"/>
      <c r="L427" s="11" t="n"/>
      <c r="M427" s="11" t="n"/>
      <c r="N427" s="12" t="n"/>
      <c r="O427" s="115" t="n"/>
      <c r="P427" s="52">
        <f>DADOS_AM!$IK$70</f>
        <v/>
      </c>
      <c r="Q427" s="11" t="n"/>
      <c r="R427" s="11" t="n"/>
      <c r="S427" s="11" t="n"/>
      <c r="T427" s="12" t="n"/>
      <c r="U427" s="115" t="n"/>
    </row>
    <row r="428" outlineLevel="1">
      <c r="A428" s="8" t="n"/>
      <c r="B428" s="22" t="n"/>
      <c r="C428" s="115" t="n"/>
      <c r="D428" s="119" t="n"/>
      <c r="E428" s="11" t="n"/>
      <c r="F428" s="11" t="n"/>
      <c r="G428" s="11" t="n"/>
      <c r="H428" s="12" t="n"/>
      <c r="I428" s="115" t="n"/>
      <c r="J428" s="119" t="n"/>
      <c r="K428" s="11" t="n"/>
      <c r="L428" s="11" t="n"/>
      <c r="M428" s="11" t="n"/>
      <c r="N428" s="12" t="n"/>
      <c r="O428" s="115" t="n"/>
      <c r="P428" s="119">
        <f>DADOS_AM!$IK$71</f>
        <v/>
      </c>
      <c r="Q428" s="11" t="n"/>
      <c r="R428" s="11" t="n"/>
      <c r="S428" s="11" t="n"/>
      <c r="T428" s="12" t="n"/>
      <c r="U428" s="115" t="n"/>
    </row>
    <row r="429" outlineLevel="1">
      <c r="A429" s="8" t="n"/>
      <c r="B429" s="22" t="n"/>
      <c r="C429" s="115" t="n"/>
      <c r="D429" s="115" t="n"/>
      <c r="E429" s="115" t="n"/>
      <c r="F429" s="115" t="n"/>
      <c r="G429" s="115" t="n"/>
      <c r="H429" s="115" t="n"/>
      <c r="I429" s="115" t="n"/>
      <c r="J429" s="115" t="n"/>
      <c r="K429" s="115" t="n"/>
      <c r="L429" s="115" t="n"/>
      <c r="M429" s="115" t="n"/>
      <c r="N429" s="115" t="n"/>
      <c r="O429" s="115" t="n"/>
      <c r="P429" s="115" t="n"/>
      <c r="Q429" s="115" t="n"/>
      <c r="R429" s="115" t="n"/>
      <c r="S429" s="115" t="n"/>
      <c r="T429" s="115" t="n"/>
      <c r="U429" s="115" t="n"/>
    </row>
    <row r="430" outlineLevel="1">
      <c r="A430" s="8" t="n"/>
      <c r="B430" s="22" t="n"/>
      <c r="C430" s="115" t="n"/>
      <c r="D430" s="131" t="n"/>
      <c r="E430" s="11" t="n"/>
      <c r="F430" s="12" t="n"/>
      <c r="G430" s="126">
        <f>DADOS_AM!$HR$2</f>
        <v/>
      </c>
      <c r="H430" s="12" t="n"/>
      <c r="I430" s="115" t="n"/>
      <c r="J430" s="131" t="n"/>
      <c r="K430" s="11" t="n"/>
      <c r="L430" s="12" t="n"/>
      <c r="M430" s="126">
        <f>DADOS_AM!$HR$3</f>
        <v/>
      </c>
      <c r="N430" s="12" t="n"/>
      <c r="O430" s="115" t="n"/>
      <c r="P430" s="131" t="n"/>
      <c r="Q430" s="11" t="n"/>
      <c r="R430" s="12" t="n"/>
      <c r="S430" s="126">
        <f>DADOS_AM!$HR$4</f>
        <v/>
      </c>
      <c r="T430" s="12" t="n"/>
      <c r="U430" s="115" t="n"/>
    </row>
    <row r="431" outlineLevel="1">
      <c r="A431" s="8" t="n"/>
      <c r="B431" s="22" t="n"/>
      <c r="C431" s="115" t="n"/>
      <c r="D431" s="132">
        <f>DADOS_AM!$HQ$2</f>
        <v/>
      </c>
      <c r="E431" s="14" t="n"/>
      <c r="F431" s="14" t="n"/>
      <c r="G431" s="14" t="n"/>
      <c r="H431" s="15" t="n"/>
      <c r="I431" s="115" t="n"/>
      <c r="J431" s="132">
        <f>DADOS_AM!$HQ$3</f>
        <v/>
      </c>
      <c r="K431" s="14" t="n"/>
      <c r="L431" s="14" t="n"/>
      <c r="M431" s="14" t="n"/>
      <c r="N431" s="15" t="n"/>
      <c r="O431" s="115" t="n"/>
      <c r="P431" s="132">
        <f>DADOS_AM!$HQ$4</f>
        <v/>
      </c>
      <c r="Q431" s="14" t="n"/>
      <c r="R431" s="14" t="n"/>
      <c r="S431" s="14" t="n"/>
      <c r="T431" s="15" t="n"/>
      <c r="U431" s="115" t="n"/>
    </row>
    <row r="432" outlineLevel="1">
      <c r="A432" s="8" t="n"/>
      <c r="B432" s="22" t="n"/>
      <c r="C432" s="115" t="n"/>
      <c r="D432" s="18" t="n"/>
      <c r="E432" s="19" t="n"/>
      <c r="F432" s="19" t="n"/>
      <c r="G432" s="19" t="n"/>
      <c r="H432" s="20" t="n"/>
      <c r="I432" s="115" t="n"/>
      <c r="J432" s="18" t="n"/>
      <c r="K432" s="19" t="n"/>
      <c r="L432" s="19" t="n"/>
      <c r="M432" s="19" t="n"/>
      <c r="N432" s="20" t="n"/>
      <c r="O432" s="115" t="n"/>
      <c r="P432" s="18" t="n"/>
      <c r="Q432" s="19" t="n"/>
      <c r="R432" s="19" t="n"/>
      <c r="S432" s="19" t="n"/>
      <c r="T432" s="20" t="n"/>
      <c r="U432" s="115" t="n"/>
    </row>
    <row r="433" outlineLevel="2">
      <c r="A433" s="8" t="n"/>
      <c r="B433" s="22" t="n"/>
      <c r="C433" s="115" t="n"/>
      <c r="D433" s="52" t="inlineStr">
        <is>
          <t>O QUE FAZ</t>
        </is>
      </c>
      <c r="E433" s="11" t="n"/>
      <c r="F433" s="11" t="n"/>
      <c r="G433" s="11" t="n"/>
      <c r="H433" s="12" t="n"/>
      <c r="I433" s="115" t="n"/>
      <c r="J433" s="52" t="inlineStr">
        <is>
          <t>O QUE FAZ</t>
        </is>
      </c>
      <c r="K433" s="11" t="n"/>
      <c r="L433" s="11" t="n"/>
      <c r="M433" s="11" t="n"/>
      <c r="N433" s="12" t="n"/>
      <c r="O433" s="115" t="n"/>
      <c r="P433" s="52" t="inlineStr">
        <is>
          <t>O QUE FAZ</t>
        </is>
      </c>
      <c r="Q433" s="11" t="n"/>
      <c r="R433" s="11" t="n"/>
      <c r="S433" s="11" t="n"/>
      <c r="T433" s="12" t="n"/>
      <c r="U433" s="115" t="n"/>
    </row>
    <row r="434" outlineLevel="2">
      <c r="A434" s="8" t="n"/>
      <c r="B434" s="22" t="n"/>
      <c r="C434" s="115" t="n"/>
      <c r="D434" s="133">
        <f>DADOS_AM!$HT$2</f>
        <v/>
      </c>
      <c r="E434" s="14" t="n"/>
      <c r="F434" s="14" t="n"/>
      <c r="G434" s="14" t="n"/>
      <c r="H434" s="15" t="n"/>
      <c r="I434" s="115" t="n"/>
      <c r="J434" s="133">
        <f>DADOS_AM!$HT$3</f>
        <v/>
      </c>
      <c r="K434" s="14" t="n"/>
      <c r="L434" s="14" t="n"/>
      <c r="M434" s="14" t="n"/>
      <c r="N434" s="15" t="n"/>
      <c r="O434" s="115" t="n"/>
      <c r="P434" s="133">
        <f>DADOS_AM!$HT$4</f>
        <v/>
      </c>
      <c r="Q434" s="14" t="n"/>
      <c r="R434" s="14" t="n"/>
      <c r="S434" s="14" t="n"/>
      <c r="T434" s="15" t="n"/>
      <c r="U434" s="115" t="n"/>
    </row>
    <row r="435" outlineLevel="2">
      <c r="A435" s="8" t="n"/>
      <c r="B435" s="22" t="n"/>
      <c r="C435" s="115" t="n"/>
      <c r="D435" s="16" t="n"/>
      <c r="H435" s="17" t="n"/>
      <c r="I435" s="115" t="n"/>
      <c r="J435" s="16" t="n"/>
      <c r="N435" s="17" t="n"/>
      <c r="O435" s="115" t="n"/>
      <c r="P435" s="16" t="n"/>
      <c r="T435" s="17" t="n"/>
      <c r="U435" s="115" t="n"/>
    </row>
    <row r="436" outlineLevel="2">
      <c r="A436" s="8" t="n"/>
      <c r="B436" s="22" t="n"/>
      <c r="C436" s="115" t="n"/>
      <c r="D436" s="16" t="n"/>
      <c r="H436" s="17" t="n"/>
      <c r="I436" s="115" t="n"/>
      <c r="J436" s="16" t="n"/>
      <c r="N436" s="17" t="n"/>
      <c r="O436" s="115" t="n"/>
      <c r="P436" s="16" t="n"/>
      <c r="T436" s="17" t="n"/>
      <c r="U436" s="115" t="n"/>
    </row>
    <row r="437" outlineLevel="2">
      <c r="A437" s="8" t="n"/>
      <c r="B437" s="22" t="n"/>
      <c r="C437" s="115" t="n"/>
      <c r="D437" s="16" t="n"/>
      <c r="H437" s="17" t="n"/>
      <c r="I437" s="115" t="n"/>
      <c r="J437" s="16" t="n"/>
      <c r="N437" s="17" t="n"/>
      <c r="O437" s="115" t="n"/>
      <c r="P437" s="16" t="n"/>
      <c r="T437" s="17" t="n"/>
      <c r="U437" s="115" t="n"/>
    </row>
    <row r="438" outlineLevel="2">
      <c r="A438" s="8" t="n"/>
      <c r="B438" s="22" t="n"/>
      <c r="C438" s="115" t="n"/>
      <c r="D438" s="16" t="n"/>
      <c r="H438" s="17" t="n"/>
      <c r="I438" s="115" t="n"/>
      <c r="J438" s="16" t="n"/>
      <c r="N438" s="17" t="n"/>
      <c r="O438" s="115" t="n"/>
      <c r="P438" s="16" t="n"/>
      <c r="T438" s="17" t="n"/>
      <c r="U438" s="115" t="n"/>
    </row>
    <row r="439" outlineLevel="2">
      <c r="A439" s="8" t="n"/>
      <c r="B439" s="22" t="n"/>
      <c r="C439" s="115" t="n"/>
      <c r="D439" s="16" t="n"/>
      <c r="H439" s="17" t="n"/>
      <c r="I439" s="115" t="n"/>
      <c r="J439" s="16" t="n"/>
      <c r="N439" s="17" t="n"/>
      <c r="O439" s="115" t="n"/>
      <c r="P439" s="16" t="n"/>
      <c r="T439" s="17" t="n"/>
      <c r="U439" s="115" t="n"/>
    </row>
    <row r="440" outlineLevel="2">
      <c r="A440" s="8" t="n"/>
      <c r="B440" s="22" t="n"/>
      <c r="C440" s="115" t="n"/>
      <c r="D440" s="16" t="n"/>
      <c r="H440" s="17" t="n"/>
      <c r="I440" s="115" t="n"/>
      <c r="J440" s="16" t="n"/>
      <c r="N440" s="17" t="n"/>
      <c r="O440" s="115" t="n"/>
      <c r="P440" s="16" t="n"/>
      <c r="T440" s="17" t="n"/>
      <c r="U440" s="115" t="n"/>
    </row>
    <row r="441" outlineLevel="2">
      <c r="A441" s="8" t="n"/>
      <c r="B441" s="22" t="n"/>
      <c r="C441" s="115" t="n"/>
      <c r="D441" s="16" t="n"/>
      <c r="H441" s="17" t="n"/>
      <c r="I441" s="115" t="n"/>
      <c r="J441" s="16" t="n"/>
      <c r="N441" s="17" t="n"/>
      <c r="O441" s="115" t="n"/>
      <c r="P441" s="16" t="n"/>
      <c r="T441" s="17" t="n"/>
      <c r="U441" s="115" t="n"/>
    </row>
    <row r="442" outlineLevel="2">
      <c r="A442" s="8" t="n"/>
      <c r="B442" s="22" t="n"/>
      <c r="C442" s="115" t="n"/>
      <c r="D442" s="16" t="n"/>
      <c r="H442" s="17" t="n"/>
      <c r="I442" s="115" t="n"/>
      <c r="J442" s="16" t="n"/>
      <c r="N442" s="17" t="n"/>
      <c r="O442" s="115" t="n"/>
      <c r="P442" s="16" t="n"/>
      <c r="T442" s="17" t="n"/>
      <c r="U442" s="115" t="n"/>
    </row>
    <row r="443" outlineLevel="2">
      <c r="A443" s="8" t="n"/>
      <c r="B443" s="22" t="n"/>
      <c r="C443" s="115" t="n"/>
      <c r="D443" s="16" t="n"/>
      <c r="H443" s="17" t="n"/>
      <c r="I443" s="115" t="n"/>
      <c r="J443" s="16" t="n"/>
      <c r="N443" s="17" t="n"/>
      <c r="O443" s="115" t="n"/>
      <c r="P443" s="16" t="n"/>
      <c r="T443" s="17" t="n"/>
      <c r="U443" s="115" t="n"/>
    </row>
    <row r="444" outlineLevel="2">
      <c r="A444" s="8" t="n"/>
      <c r="B444" s="22" t="n"/>
      <c r="C444" s="115" t="n"/>
      <c r="D444" s="16" t="n"/>
      <c r="H444" s="17" t="n"/>
      <c r="I444" s="115" t="n"/>
      <c r="J444" s="16" t="n"/>
      <c r="N444" s="17" t="n"/>
      <c r="O444" s="115" t="n"/>
      <c r="P444" s="16" t="n"/>
      <c r="T444" s="17" t="n"/>
      <c r="U444" s="115" t="n"/>
    </row>
    <row r="445" outlineLevel="2">
      <c r="A445" s="8" t="n"/>
      <c r="B445" s="22" t="n"/>
      <c r="C445" s="115" t="n"/>
      <c r="D445" s="18" t="n"/>
      <c r="E445" s="19" t="n"/>
      <c r="F445" s="19" t="n"/>
      <c r="G445" s="19" t="n"/>
      <c r="H445" s="20" t="n"/>
      <c r="I445" s="115" t="n"/>
      <c r="J445" s="18" t="n"/>
      <c r="K445" s="19" t="n"/>
      <c r="L445" s="19" t="n"/>
      <c r="M445" s="19" t="n"/>
      <c r="N445" s="20" t="n"/>
      <c r="O445" s="115" t="n"/>
      <c r="P445" s="18" t="n"/>
      <c r="Q445" s="19" t="n"/>
      <c r="R445" s="19" t="n"/>
      <c r="S445" s="19" t="n"/>
      <c r="T445" s="20" t="n"/>
      <c r="U445" s="115" t="n"/>
    </row>
    <row r="446" outlineLevel="2">
      <c r="A446" s="8" t="n"/>
      <c r="B446" s="22" t="n"/>
      <c r="C446" s="115" t="n"/>
      <c r="D446" s="52">
        <f>DADOS_AM!$IK$72</f>
        <v/>
      </c>
      <c r="E446" s="134">
        <f>DADOS_AM!$HS$2</f>
        <v/>
      </c>
      <c r="F446" s="11" t="n"/>
      <c r="G446" s="11" t="n"/>
      <c r="H446" s="12" t="n"/>
      <c r="I446" s="115" t="n"/>
      <c r="J446" s="52">
        <f>DADOS_AM!$IK$73</f>
        <v/>
      </c>
      <c r="K446" s="134">
        <f>DADOS_AM!$HS$3</f>
        <v/>
      </c>
      <c r="L446" s="11" t="n"/>
      <c r="M446" s="11" t="n"/>
      <c r="N446" s="12" t="n"/>
      <c r="O446" s="115" t="n"/>
      <c r="P446" s="52">
        <f>DADOS_AM!$IK$74</f>
        <v/>
      </c>
      <c r="Q446" s="134">
        <f>DADOS_AM!$HS$4</f>
        <v/>
      </c>
      <c r="R446" s="11" t="n"/>
      <c r="S446" s="11" t="n"/>
      <c r="T446" s="12" t="n"/>
      <c r="U446" s="115" t="n"/>
    </row>
    <row r="447" outlineLevel="2">
      <c r="A447" s="8" t="n"/>
      <c r="B447" s="22" t="n"/>
      <c r="C447" s="115" t="n"/>
      <c r="D447" s="52" t="inlineStr">
        <is>
          <t>SEU TEXTO</t>
        </is>
      </c>
      <c r="E447" s="120" t="n"/>
      <c r="F447" s="14" t="n"/>
      <c r="G447" s="14" t="n"/>
      <c r="H447" s="15" t="n"/>
      <c r="I447" s="115" t="n"/>
      <c r="J447" s="52" t="inlineStr">
        <is>
          <t>SEU TEXTO</t>
        </is>
      </c>
      <c r="K447" s="120" t="n"/>
      <c r="L447" s="14" t="n"/>
      <c r="M447" s="14" t="n"/>
      <c r="N447" s="15" t="n"/>
      <c r="O447" s="115" t="n"/>
      <c r="P447" s="52" t="inlineStr">
        <is>
          <t>SEU TEXTO</t>
        </is>
      </c>
      <c r="Q447" s="120" t="n"/>
      <c r="R447" s="14" t="n"/>
      <c r="S447" s="14" t="n"/>
      <c r="T447" s="15" t="n"/>
      <c r="U447" s="115" t="n"/>
    </row>
    <row r="448" outlineLevel="2">
      <c r="A448" s="8" t="n"/>
      <c r="B448" s="22" t="n"/>
      <c r="C448" s="115" t="n"/>
      <c r="D448" s="121" t="n"/>
      <c r="E448" s="18" t="n"/>
      <c r="F448" s="19" t="n"/>
      <c r="G448" s="19" t="n"/>
      <c r="H448" s="20" t="n"/>
      <c r="I448" s="115" t="n"/>
      <c r="J448" s="121" t="n"/>
      <c r="K448" s="18" t="n"/>
      <c r="L448" s="19" t="n"/>
      <c r="M448" s="19" t="n"/>
      <c r="N448" s="20" t="n"/>
      <c r="O448" s="115" t="n"/>
      <c r="P448" s="121" t="n"/>
      <c r="Q448" s="18" t="n"/>
      <c r="R448" s="19" t="n"/>
      <c r="S448" s="19" t="n"/>
      <c r="T448" s="20" t="n"/>
      <c r="U448" s="115" t="n"/>
    </row>
    <row r="449" outlineLevel="1">
      <c r="A449" s="8" t="n"/>
      <c r="B449" s="22" t="n"/>
      <c r="C449" s="115" t="n"/>
      <c r="D449" s="115" t="n"/>
      <c r="E449" s="115" t="n"/>
      <c r="F449" s="115" t="n"/>
      <c r="G449" s="115" t="n"/>
      <c r="H449" s="115" t="n"/>
      <c r="I449" s="115" t="n"/>
      <c r="J449" s="115" t="n"/>
      <c r="K449" s="115" t="n"/>
      <c r="L449" s="115" t="n"/>
      <c r="M449" s="115" t="n"/>
      <c r="N449" s="115" t="n"/>
      <c r="O449" s="115" t="n"/>
      <c r="P449" s="115" t="n"/>
      <c r="Q449" s="115" t="n"/>
      <c r="R449" s="115" t="n"/>
      <c r="S449" s="115" t="n"/>
      <c r="T449" s="115" t="n"/>
      <c r="U449" s="115" t="n"/>
    </row>
    <row r="450" outlineLevel="1">
      <c r="A450" s="8" t="n"/>
      <c r="B450" s="22" t="n"/>
      <c r="C450" s="115" t="n"/>
      <c r="D450" s="131" t="n"/>
      <c r="E450" s="11" t="n"/>
      <c r="F450" s="12" t="n"/>
      <c r="G450" s="126">
        <f>DADOS_AM!$HR$5</f>
        <v/>
      </c>
      <c r="H450" s="12" t="n"/>
      <c r="I450" s="115" t="n"/>
      <c r="J450" s="131" t="n"/>
      <c r="K450" s="11" t="n"/>
      <c r="L450" s="12" t="n"/>
      <c r="M450" s="126">
        <f>DADOS_AM!$HR$6</f>
        <v/>
      </c>
      <c r="N450" s="12" t="n"/>
      <c r="O450" s="115" t="n"/>
      <c r="P450" s="131" t="n"/>
      <c r="Q450" s="11" t="n"/>
      <c r="R450" s="12" t="n"/>
      <c r="S450" s="126">
        <f>DADOS_AM!$HR$7</f>
        <v/>
      </c>
      <c r="T450" s="12" t="n"/>
      <c r="U450" s="115" t="n"/>
    </row>
    <row r="451" outlineLevel="1">
      <c r="A451" s="8" t="n"/>
      <c r="B451" s="22" t="n"/>
      <c r="C451" s="115" t="n"/>
      <c r="D451" s="132">
        <f>DADOS_AM!$HQ$5</f>
        <v/>
      </c>
      <c r="E451" s="14" t="n"/>
      <c r="F451" s="14" t="n"/>
      <c r="G451" s="14" t="n"/>
      <c r="H451" s="15" t="n"/>
      <c r="I451" s="115" t="n"/>
      <c r="J451" s="132">
        <f>DADOS_AM!$HQ$6</f>
        <v/>
      </c>
      <c r="K451" s="14" t="n"/>
      <c r="L451" s="14" t="n"/>
      <c r="M451" s="14" t="n"/>
      <c r="N451" s="15" t="n"/>
      <c r="O451" s="115" t="n"/>
      <c r="P451" s="132">
        <f>DADOS_AM!$HQ$7</f>
        <v/>
      </c>
      <c r="Q451" s="14" t="n"/>
      <c r="R451" s="14" t="n"/>
      <c r="S451" s="14" t="n"/>
      <c r="T451" s="15" t="n"/>
      <c r="U451" s="115" t="n"/>
    </row>
    <row r="452" outlineLevel="1">
      <c r="A452" s="8" t="n"/>
      <c r="B452" s="22" t="n"/>
      <c r="C452" s="115" t="n"/>
      <c r="D452" s="18" t="n"/>
      <c r="E452" s="19" t="n"/>
      <c r="F452" s="19" t="n"/>
      <c r="G452" s="19" t="n"/>
      <c r="H452" s="20" t="n"/>
      <c r="I452" s="115" t="n"/>
      <c r="J452" s="18" t="n"/>
      <c r="K452" s="19" t="n"/>
      <c r="L452" s="19" t="n"/>
      <c r="M452" s="19" t="n"/>
      <c r="N452" s="20" t="n"/>
      <c r="O452" s="115" t="n"/>
      <c r="P452" s="18" t="n"/>
      <c r="Q452" s="19" t="n"/>
      <c r="R452" s="19" t="n"/>
      <c r="S452" s="19" t="n"/>
      <c r="T452" s="20" t="n"/>
      <c r="U452" s="115" t="n"/>
    </row>
    <row r="453" hidden="1" outlineLevel="2">
      <c r="A453" s="8" t="n"/>
      <c r="B453" s="22" t="n"/>
      <c r="C453" s="115" t="n"/>
      <c r="D453" s="52" t="inlineStr">
        <is>
          <t>O QUE FAZ</t>
        </is>
      </c>
      <c r="E453" s="11" t="n"/>
      <c r="F453" s="11" t="n"/>
      <c r="G453" s="11" t="n"/>
      <c r="H453" s="12" t="n"/>
      <c r="I453" s="115" t="n"/>
      <c r="J453" s="52" t="inlineStr">
        <is>
          <t>O QUE FAZ</t>
        </is>
      </c>
      <c r="K453" s="11" t="n"/>
      <c r="L453" s="11" t="n"/>
      <c r="M453" s="11" t="n"/>
      <c r="N453" s="12" t="n"/>
      <c r="O453" s="115" t="n"/>
      <c r="P453" s="52" t="inlineStr">
        <is>
          <t>O QUE FAZ</t>
        </is>
      </c>
      <c r="Q453" s="11" t="n"/>
      <c r="R453" s="11" t="n"/>
      <c r="S453" s="11" t="n"/>
      <c r="T453" s="12" t="n"/>
      <c r="U453" s="115" t="n"/>
    </row>
    <row r="454" hidden="1" outlineLevel="2">
      <c r="A454" s="8" t="n"/>
      <c r="B454" s="22" t="n"/>
      <c r="C454" s="115" t="n"/>
      <c r="D454" s="133">
        <f>DADOS_AM!$HT$5</f>
        <v/>
      </c>
      <c r="E454" s="14" t="n"/>
      <c r="F454" s="14" t="n"/>
      <c r="G454" s="14" t="n"/>
      <c r="H454" s="15" t="n"/>
      <c r="I454" s="115" t="n"/>
      <c r="J454" s="133">
        <f>DADOS_AM!$HT$6</f>
        <v/>
      </c>
      <c r="K454" s="14" t="n"/>
      <c r="L454" s="14" t="n"/>
      <c r="M454" s="14" t="n"/>
      <c r="N454" s="15" t="n"/>
      <c r="O454" s="115" t="n"/>
      <c r="P454" s="133">
        <f>DADOS_AM!$HT$7</f>
        <v/>
      </c>
      <c r="Q454" s="14" t="n"/>
      <c r="R454" s="14" t="n"/>
      <c r="S454" s="14" t="n"/>
      <c r="T454" s="15" t="n"/>
      <c r="U454" s="115" t="n"/>
    </row>
    <row r="455" hidden="1" outlineLevel="2">
      <c r="A455" s="8" t="n"/>
      <c r="B455" s="22" t="n"/>
      <c r="C455" s="115" t="n"/>
      <c r="D455" s="16" t="n"/>
      <c r="H455" s="17" t="n"/>
      <c r="I455" s="115" t="n"/>
      <c r="J455" s="16" t="n"/>
      <c r="N455" s="17" t="n"/>
      <c r="O455" s="115" t="n"/>
      <c r="P455" s="16" t="n"/>
      <c r="T455" s="17" t="n"/>
      <c r="U455" s="115" t="n"/>
    </row>
    <row r="456" hidden="1" outlineLevel="2">
      <c r="A456" s="8" t="n"/>
      <c r="B456" s="22" t="n"/>
      <c r="C456" s="115" t="n"/>
      <c r="D456" s="16" t="n"/>
      <c r="H456" s="17" t="n"/>
      <c r="I456" s="115" t="n"/>
      <c r="J456" s="16" t="n"/>
      <c r="N456" s="17" t="n"/>
      <c r="O456" s="115" t="n"/>
      <c r="P456" s="16" t="n"/>
      <c r="T456" s="17" t="n"/>
      <c r="U456" s="115" t="n"/>
    </row>
    <row r="457" hidden="1" outlineLevel="2">
      <c r="A457" s="8" t="n"/>
      <c r="B457" s="22" t="n"/>
      <c r="C457" s="115" t="n"/>
      <c r="D457" s="16" t="n"/>
      <c r="H457" s="17" t="n"/>
      <c r="I457" s="115" t="n"/>
      <c r="J457" s="16" t="n"/>
      <c r="N457" s="17" t="n"/>
      <c r="O457" s="115" t="n"/>
      <c r="P457" s="16" t="n"/>
      <c r="T457" s="17" t="n"/>
      <c r="U457" s="115" t="n"/>
    </row>
    <row r="458" hidden="1" outlineLevel="2">
      <c r="A458" s="8" t="n"/>
      <c r="B458" s="22" t="n"/>
      <c r="C458" s="115" t="n"/>
      <c r="D458" s="16" t="n"/>
      <c r="H458" s="17" t="n"/>
      <c r="I458" s="115" t="n"/>
      <c r="J458" s="16" t="n"/>
      <c r="N458" s="17" t="n"/>
      <c r="O458" s="115" t="n"/>
      <c r="P458" s="16" t="n"/>
      <c r="T458" s="17" t="n"/>
      <c r="U458" s="115" t="n"/>
    </row>
    <row r="459" hidden="1" outlineLevel="2">
      <c r="A459" s="8" t="n"/>
      <c r="B459" s="22" t="n"/>
      <c r="C459" s="115" t="n"/>
      <c r="D459" s="16" t="n"/>
      <c r="H459" s="17" t="n"/>
      <c r="I459" s="115" t="n"/>
      <c r="J459" s="16" t="n"/>
      <c r="N459" s="17" t="n"/>
      <c r="O459" s="115" t="n"/>
      <c r="P459" s="16" t="n"/>
      <c r="T459" s="17" t="n"/>
      <c r="U459" s="115" t="n"/>
    </row>
    <row r="460" hidden="1" outlineLevel="2">
      <c r="A460" s="8" t="n"/>
      <c r="B460" s="22" t="n"/>
      <c r="C460" s="115" t="n"/>
      <c r="D460" s="16" t="n"/>
      <c r="H460" s="17" t="n"/>
      <c r="I460" s="115" t="n"/>
      <c r="J460" s="16" t="n"/>
      <c r="N460" s="17" t="n"/>
      <c r="O460" s="115" t="n"/>
      <c r="P460" s="16" t="n"/>
      <c r="T460" s="17" t="n"/>
      <c r="U460" s="115" t="n"/>
    </row>
    <row r="461" hidden="1" outlineLevel="2">
      <c r="A461" s="8" t="n"/>
      <c r="B461" s="22" t="n"/>
      <c r="C461" s="115" t="n"/>
      <c r="D461" s="16" t="n"/>
      <c r="H461" s="17" t="n"/>
      <c r="I461" s="115" t="n"/>
      <c r="J461" s="16" t="n"/>
      <c r="N461" s="17" t="n"/>
      <c r="O461" s="115" t="n"/>
      <c r="P461" s="16" t="n"/>
      <c r="T461" s="17" t="n"/>
      <c r="U461" s="115" t="n"/>
    </row>
    <row r="462" hidden="1" outlineLevel="2">
      <c r="A462" s="8" t="n"/>
      <c r="B462" s="22" t="n"/>
      <c r="C462" s="115" t="n"/>
      <c r="D462" s="16" t="n"/>
      <c r="H462" s="17" t="n"/>
      <c r="I462" s="115" t="n"/>
      <c r="J462" s="16" t="n"/>
      <c r="N462" s="17" t="n"/>
      <c r="O462" s="115" t="n"/>
      <c r="P462" s="16" t="n"/>
      <c r="T462" s="17" t="n"/>
      <c r="U462" s="115" t="n"/>
    </row>
    <row r="463" hidden="1" outlineLevel="2">
      <c r="A463" s="8" t="n"/>
      <c r="B463" s="22" t="n"/>
      <c r="C463" s="115" t="n"/>
      <c r="D463" s="16" t="n"/>
      <c r="H463" s="17" t="n"/>
      <c r="I463" s="115" t="n"/>
      <c r="J463" s="16" t="n"/>
      <c r="N463" s="17" t="n"/>
      <c r="O463" s="115" t="n"/>
      <c r="P463" s="16" t="n"/>
      <c r="T463" s="17" t="n"/>
      <c r="U463" s="115" t="n"/>
    </row>
    <row r="464" hidden="1" outlineLevel="2">
      <c r="A464" s="8" t="n"/>
      <c r="B464" s="22" t="n"/>
      <c r="C464" s="115" t="n"/>
      <c r="D464" s="16" t="n"/>
      <c r="H464" s="17" t="n"/>
      <c r="I464" s="115" t="n"/>
      <c r="J464" s="16" t="n"/>
      <c r="N464" s="17" t="n"/>
      <c r="O464" s="115" t="n"/>
      <c r="P464" s="16" t="n"/>
      <c r="T464" s="17" t="n"/>
      <c r="U464" s="115" t="n"/>
    </row>
    <row r="465" hidden="1" outlineLevel="2">
      <c r="A465" s="8" t="n"/>
      <c r="B465" s="22" t="n"/>
      <c r="C465" s="115" t="n"/>
      <c r="D465" s="18" t="n"/>
      <c r="E465" s="19" t="n"/>
      <c r="F465" s="19" t="n"/>
      <c r="G465" s="19" t="n"/>
      <c r="H465" s="20" t="n"/>
      <c r="I465" s="115" t="n"/>
      <c r="J465" s="18" t="n"/>
      <c r="K465" s="19" t="n"/>
      <c r="L465" s="19" t="n"/>
      <c r="M465" s="19" t="n"/>
      <c r="N465" s="20" t="n"/>
      <c r="O465" s="115" t="n"/>
      <c r="P465" s="18" t="n"/>
      <c r="Q465" s="19" t="n"/>
      <c r="R465" s="19" t="n"/>
      <c r="S465" s="19" t="n"/>
      <c r="T465" s="20" t="n"/>
      <c r="U465" s="115" t="n"/>
    </row>
    <row r="466" hidden="1" outlineLevel="2">
      <c r="A466" s="8" t="n"/>
      <c r="B466" s="22" t="n"/>
      <c r="C466" s="115" t="n"/>
      <c r="D466" s="52">
        <f>DADOS_AM!$IK$75</f>
        <v/>
      </c>
      <c r="E466" s="134">
        <f>DADOS_AM!$HS$5</f>
        <v/>
      </c>
      <c r="F466" s="11" t="n"/>
      <c r="G466" s="11" t="n"/>
      <c r="H466" s="12" t="n"/>
      <c r="I466" s="115" t="n"/>
      <c r="J466" s="52">
        <f>DADOS_AM!$IK$76</f>
        <v/>
      </c>
      <c r="K466" s="134">
        <f>DADOS_AM!$HS$6</f>
        <v/>
      </c>
      <c r="L466" s="11" t="n"/>
      <c r="M466" s="11" t="n"/>
      <c r="N466" s="12" t="n"/>
      <c r="O466" s="115" t="n"/>
      <c r="P466" s="52">
        <f>DADOS_AM!$IK$77</f>
        <v/>
      </c>
      <c r="Q466" s="134">
        <f>DADOS_AM!$HS$7</f>
        <v/>
      </c>
      <c r="R466" s="11" t="n"/>
      <c r="S466" s="11" t="n"/>
      <c r="T466" s="12" t="n"/>
      <c r="U466" s="115" t="n"/>
    </row>
    <row r="467" hidden="1" outlineLevel="2">
      <c r="A467" s="8" t="n"/>
      <c r="B467" s="22" t="n"/>
      <c r="C467" s="115" t="n"/>
      <c r="D467" s="52" t="inlineStr">
        <is>
          <t>SEU TEXTO</t>
        </is>
      </c>
      <c r="E467" s="120" t="n"/>
      <c r="F467" s="14" t="n"/>
      <c r="G467" s="14" t="n"/>
      <c r="H467" s="15" t="n"/>
      <c r="I467" s="115" t="n"/>
      <c r="J467" s="52" t="inlineStr">
        <is>
          <t>SEU TEXTO</t>
        </is>
      </c>
      <c r="K467" s="120" t="n"/>
      <c r="L467" s="14" t="n"/>
      <c r="M467" s="14" t="n"/>
      <c r="N467" s="15" t="n"/>
      <c r="O467" s="115" t="n"/>
      <c r="P467" s="52" t="inlineStr">
        <is>
          <t>SEU TEXTO</t>
        </is>
      </c>
      <c r="Q467" s="120" t="n"/>
      <c r="R467" s="14" t="n"/>
      <c r="S467" s="14" t="n"/>
      <c r="T467" s="15" t="n"/>
      <c r="U467" s="115" t="n"/>
    </row>
    <row r="468" hidden="1" outlineLevel="2">
      <c r="A468" s="8" t="n"/>
      <c r="B468" s="22" t="n"/>
      <c r="C468" s="115" t="n"/>
      <c r="D468" s="121" t="n"/>
      <c r="E468" s="18" t="n"/>
      <c r="F468" s="19" t="n"/>
      <c r="G468" s="19" t="n"/>
      <c r="H468" s="20" t="n"/>
      <c r="I468" s="115" t="n"/>
      <c r="J468" s="121" t="n"/>
      <c r="K468" s="18" t="n"/>
      <c r="L468" s="19" t="n"/>
      <c r="M468" s="19" t="n"/>
      <c r="N468" s="20" t="n"/>
      <c r="O468" s="115" t="n"/>
      <c r="P468" s="121" t="n"/>
      <c r="Q468" s="18" t="n"/>
      <c r="R468" s="19" t="n"/>
      <c r="S468" s="19" t="n"/>
      <c r="T468" s="20" t="n"/>
      <c r="U468" s="115" t="n"/>
    </row>
    <row r="469" outlineLevel="1">
      <c r="A469" s="8" t="n"/>
      <c r="B469" s="22" t="n"/>
      <c r="C469" s="115" t="n"/>
      <c r="D469" s="115" t="n"/>
      <c r="E469" s="115" t="n"/>
      <c r="F469" s="115" t="n"/>
      <c r="G469" s="115" t="n"/>
      <c r="H469" s="115" t="n"/>
      <c r="I469" s="115" t="n"/>
      <c r="J469" s="115" t="n"/>
      <c r="K469" s="115" t="n"/>
      <c r="L469" s="115" t="n"/>
      <c r="M469" s="115" t="n"/>
      <c r="N469" s="115" t="n"/>
      <c r="O469" s="115" t="n"/>
      <c r="P469" s="115" t="n"/>
      <c r="Q469" s="115" t="n"/>
      <c r="R469" s="115" t="n"/>
      <c r="S469" s="115" t="n"/>
      <c r="T469" s="115" t="n"/>
      <c r="U469" s="115" t="n"/>
    </row>
    <row r="470" outlineLevel="1">
      <c r="A470" s="8" t="n"/>
      <c r="B470" s="22" t="n"/>
      <c r="C470" s="115" t="n"/>
      <c r="D470" s="130">
        <f>DADOS_AM!$IK$84</f>
        <v/>
      </c>
      <c r="E470" s="11" t="n"/>
      <c r="F470" s="11" t="n"/>
      <c r="G470" s="11" t="n"/>
      <c r="H470" s="11" t="n"/>
      <c r="I470" s="11" t="n"/>
      <c r="J470" s="11" t="n"/>
      <c r="K470" s="11" t="n"/>
      <c r="L470" s="11" t="n"/>
      <c r="M470" s="11" t="n"/>
      <c r="N470" s="11" t="n"/>
      <c r="O470" s="11" t="n"/>
      <c r="P470" s="11" t="n"/>
      <c r="Q470" s="11" t="n"/>
      <c r="R470" s="11" t="n"/>
      <c r="S470" s="11" t="n"/>
      <c r="T470" s="12" t="n"/>
      <c r="U470" s="115" t="n"/>
    </row>
    <row r="471" hidden="1" outlineLevel="2">
      <c r="A471" s="8" t="n"/>
      <c r="B471" s="22" t="n"/>
      <c r="C471" s="115" t="n"/>
      <c r="D471" s="115" t="n"/>
      <c r="E471" s="115" t="n"/>
      <c r="F471" s="115" t="n"/>
      <c r="G471" s="115" t="n"/>
      <c r="H471" s="115" t="n"/>
      <c r="I471" s="115" t="n"/>
      <c r="J471" s="115" t="n"/>
      <c r="K471" s="115" t="n"/>
      <c r="L471" s="115" t="n"/>
      <c r="M471" s="115" t="n"/>
      <c r="N471" s="115" t="n"/>
      <c r="O471" s="115" t="n"/>
      <c r="P471" s="115" t="n"/>
      <c r="Q471" s="115" t="n"/>
      <c r="R471" s="115" t="n"/>
      <c r="S471" s="115" t="n"/>
      <c r="T471" s="115" t="n"/>
      <c r="U471" s="115" t="n"/>
    </row>
    <row r="472" hidden="1" outlineLevel="2">
      <c r="A472" s="8" t="n"/>
      <c r="B472" s="22" t="n"/>
      <c r="C472" s="115" t="n"/>
      <c r="D472" s="131" t="n"/>
      <c r="E472" s="11" t="n"/>
      <c r="F472" s="12" t="n"/>
      <c r="G472" s="126">
        <f>DADOS_AM!$HR$8</f>
        <v/>
      </c>
      <c r="H472" s="12" t="n"/>
      <c r="I472" s="115" t="n"/>
      <c r="J472" s="131" t="n"/>
      <c r="K472" s="11" t="n"/>
      <c r="L472" s="12" t="n"/>
      <c r="M472" s="126">
        <f>DADOS_AM!$HR$9</f>
        <v/>
      </c>
      <c r="N472" s="12" t="n"/>
      <c r="O472" s="115" t="n"/>
      <c r="P472" s="131" t="n"/>
      <c r="Q472" s="11" t="n"/>
      <c r="R472" s="12" t="n"/>
      <c r="S472" s="126">
        <f>DADOS_AM!$HR$10</f>
        <v/>
      </c>
      <c r="T472" s="12" t="n"/>
      <c r="U472" s="115" t="n"/>
    </row>
    <row r="473" hidden="1" outlineLevel="2">
      <c r="A473" s="8" t="n"/>
      <c r="B473" s="22" t="n"/>
      <c r="C473" s="115" t="n"/>
      <c r="D473" s="132">
        <f>DADOS_AM!$HQ$8</f>
        <v/>
      </c>
      <c r="E473" s="14" t="n"/>
      <c r="F473" s="14" t="n"/>
      <c r="G473" s="14" t="n"/>
      <c r="H473" s="15" t="n"/>
      <c r="I473" s="115" t="n"/>
      <c r="J473" s="132">
        <f>DADOS_AM!$HQ$9</f>
        <v/>
      </c>
      <c r="K473" s="14" t="n"/>
      <c r="L473" s="14" t="n"/>
      <c r="M473" s="14" t="n"/>
      <c r="N473" s="15" t="n"/>
      <c r="O473" s="115" t="n"/>
      <c r="P473" s="132">
        <f>DADOS_AM!$HQ$10</f>
        <v/>
      </c>
      <c r="Q473" s="14" t="n"/>
      <c r="R473" s="14" t="n"/>
      <c r="S473" s="14" t="n"/>
      <c r="T473" s="15" t="n"/>
      <c r="U473" s="115" t="n"/>
    </row>
    <row r="474" hidden="1" outlineLevel="2">
      <c r="A474" s="8" t="n"/>
      <c r="B474" s="22" t="n"/>
      <c r="C474" s="115" t="n"/>
      <c r="D474" s="18" t="n"/>
      <c r="E474" s="19" t="n"/>
      <c r="F474" s="19" t="n"/>
      <c r="G474" s="19" t="n"/>
      <c r="H474" s="20" t="n"/>
      <c r="I474" s="115" t="n"/>
      <c r="J474" s="18" t="n"/>
      <c r="K474" s="19" t="n"/>
      <c r="L474" s="19" t="n"/>
      <c r="M474" s="19" t="n"/>
      <c r="N474" s="20" t="n"/>
      <c r="O474" s="115" t="n"/>
      <c r="P474" s="18" t="n"/>
      <c r="Q474" s="19" t="n"/>
      <c r="R474" s="19" t="n"/>
      <c r="S474" s="19" t="n"/>
      <c r="T474" s="20" t="n"/>
      <c r="U474" s="115" t="n"/>
    </row>
    <row r="475" hidden="1" outlineLevel="3">
      <c r="A475" s="8" t="n"/>
      <c r="B475" s="22" t="n"/>
      <c r="C475" s="115" t="n"/>
      <c r="D475" s="52" t="inlineStr">
        <is>
          <t>O QUE FAZ</t>
        </is>
      </c>
      <c r="E475" s="11" t="n"/>
      <c r="F475" s="11" t="n"/>
      <c r="G475" s="11" t="n"/>
      <c r="H475" s="12" t="n"/>
      <c r="I475" s="115" t="n"/>
      <c r="J475" s="52" t="inlineStr">
        <is>
          <t>O QUE FAZ</t>
        </is>
      </c>
      <c r="K475" s="11" t="n"/>
      <c r="L475" s="11" t="n"/>
      <c r="M475" s="11" t="n"/>
      <c r="N475" s="12" t="n"/>
      <c r="O475" s="115" t="n"/>
      <c r="P475" s="52" t="inlineStr">
        <is>
          <t>O QUE FAZ</t>
        </is>
      </c>
      <c r="Q475" s="11" t="n"/>
      <c r="R475" s="11" t="n"/>
      <c r="S475" s="11" t="n"/>
      <c r="T475" s="12" t="n"/>
      <c r="U475" s="115" t="n"/>
    </row>
    <row r="476" hidden="1" outlineLevel="3">
      <c r="A476" s="8" t="n"/>
      <c r="B476" s="22" t="n"/>
      <c r="C476" s="115" t="n"/>
      <c r="D476" s="133">
        <f>DADOS_AM!$HT$8</f>
        <v/>
      </c>
      <c r="E476" s="14" t="n"/>
      <c r="F476" s="14" t="n"/>
      <c r="G476" s="14" t="n"/>
      <c r="H476" s="15" t="n"/>
      <c r="I476" s="115" t="n"/>
      <c r="J476" s="133">
        <f>DADOS_AM!$HT$9</f>
        <v/>
      </c>
      <c r="K476" s="14" t="n"/>
      <c r="L476" s="14" t="n"/>
      <c r="M476" s="14" t="n"/>
      <c r="N476" s="15" t="n"/>
      <c r="O476" s="115" t="n"/>
      <c r="P476" s="133">
        <f>DADOS_AM!$HT$10</f>
        <v/>
      </c>
      <c r="Q476" s="14" t="n"/>
      <c r="R476" s="14" t="n"/>
      <c r="S476" s="14" t="n"/>
      <c r="T476" s="15" t="n"/>
      <c r="U476" s="115" t="n"/>
    </row>
    <row r="477" hidden="1" outlineLevel="3">
      <c r="A477" s="8" t="n"/>
      <c r="B477" s="22" t="n"/>
      <c r="C477" s="115" t="n"/>
      <c r="D477" s="16" t="n"/>
      <c r="H477" s="17" t="n"/>
      <c r="I477" s="115" t="n"/>
      <c r="J477" s="16" t="n"/>
      <c r="N477" s="17" t="n"/>
      <c r="O477" s="115" t="n"/>
      <c r="P477" s="16" t="n"/>
      <c r="T477" s="17" t="n"/>
      <c r="U477" s="115" t="n"/>
    </row>
    <row r="478" hidden="1" outlineLevel="3">
      <c r="A478" s="8" t="n"/>
      <c r="B478" s="22" t="n"/>
      <c r="C478" s="115" t="n"/>
      <c r="D478" s="16" t="n"/>
      <c r="H478" s="17" t="n"/>
      <c r="I478" s="115" t="n"/>
      <c r="J478" s="16" t="n"/>
      <c r="N478" s="17" t="n"/>
      <c r="O478" s="115" t="n"/>
      <c r="P478" s="16" t="n"/>
      <c r="T478" s="17" t="n"/>
      <c r="U478" s="115" t="n"/>
    </row>
    <row r="479" hidden="1" outlineLevel="3">
      <c r="A479" s="8" t="n"/>
      <c r="B479" s="22" t="n"/>
      <c r="C479" s="115" t="n"/>
      <c r="D479" s="16" t="n"/>
      <c r="H479" s="17" t="n"/>
      <c r="I479" s="115" t="n"/>
      <c r="J479" s="16" t="n"/>
      <c r="N479" s="17" t="n"/>
      <c r="O479" s="115" t="n"/>
      <c r="P479" s="16" t="n"/>
      <c r="T479" s="17" t="n"/>
      <c r="U479" s="115" t="n"/>
    </row>
    <row r="480" hidden="1" outlineLevel="3">
      <c r="A480" s="8" t="n"/>
      <c r="B480" s="22" t="n"/>
      <c r="C480" s="115" t="n"/>
      <c r="D480" s="16" t="n"/>
      <c r="H480" s="17" t="n"/>
      <c r="I480" s="115" t="n"/>
      <c r="J480" s="16" t="n"/>
      <c r="N480" s="17" t="n"/>
      <c r="O480" s="115" t="n"/>
      <c r="P480" s="16" t="n"/>
      <c r="T480" s="17" t="n"/>
      <c r="U480" s="115" t="n"/>
    </row>
    <row r="481" hidden="1" outlineLevel="3">
      <c r="A481" s="8" t="n"/>
      <c r="B481" s="22" t="n"/>
      <c r="C481" s="115" t="n"/>
      <c r="D481" s="16" t="n"/>
      <c r="H481" s="17" t="n"/>
      <c r="I481" s="115" t="n"/>
      <c r="J481" s="16" t="n"/>
      <c r="N481" s="17" t="n"/>
      <c r="O481" s="115" t="n"/>
      <c r="P481" s="16" t="n"/>
      <c r="T481" s="17" t="n"/>
      <c r="U481" s="115" t="n"/>
    </row>
    <row r="482" hidden="1" outlineLevel="3">
      <c r="A482" s="8" t="n"/>
      <c r="B482" s="22" t="n"/>
      <c r="C482" s="115" t="n"/>
      <c r="D482" s="16" t="n"/>
      <c r="H482" s="17" t="n"/>
      <c r="I482" s="115" t="n"/>
      <c r="J482" s="16" t="n"/>
      <c r="N482" s="17" t="n"/>
      <c r="O482" s="115" t="n"/>
      <c r="P482" s="16" t="n"/>
      <c r="T482" s="17" t="n"/>
      <c r="U482" s="115" t="n"/>
    </row>
    <row r="483" hidden="1" outlineLevel="3">
      <c r="A483" s="8" t="n"/>
      <c r="B483" s="22" t="n"/>
      <c r="C483" s="115" t="n"/>
      <c r="D483" s="16" t="n"/>
      <c r="H483" s="17" t="n"/>
      <c r="I483" s="115" t="n"/>
      <c r="J483" s="16" t="n"/>
      <c r="N483" s="17" t="n"/>
      <c r="O483" s="115" t="n"/>
      <c r="P483" s="16" t="n"/>
      <c r="T483" s="17" t="n"/>
      <c r="U483" s="115" t="n"/>
    </row>
    <row r="484" hidden="1" outlineLevel="3">
      <c r="A484" s="8" t="n"/>
      <c r="B484" s="22" t="n"/>
      <c r="C484" s="115" t="n"/>
      <c r="D484" s="16" t="n"/>
      <c r="H484" s="17" t="n"/>
      <c r="I484" s="115" t="n"/>
      <c r="J484" s="16" t="n"/>
      <c r="N484" s="17" t="n"/>
      <c r="O484" s="115" t="n"/>
      <c r="P484" s="16" t="n"/>
      <c r="T484" s="17" t="n"/>
      <c r="U484" s="115" t="n"/>
    </row>
    <row r="485" hidden="1" outlineLevel="3">
      <c r="A485" s="8" t="n"/>
      <c r="B485" s="22" t="n"/>
      <c r="C485" s="115" t="n"/>
      <c r="D485" s="16" t="n"/>
      <c r="H485" s="17" t="n"/>
      <c r="I485" s="115" t="n"/>
      <c r="J485" s="16" t="n"/>
      <c r="N485" s="17" t="n"/>
      <c r="O485" s="115" t="n"/>
      <c r="P485" s="16" t="n"/>
      <c r="T485" s="17" t="n"/>
      <c r="U485" s="115" t="n"/>
    </row>
    <row r="486" hidden="1" outlineLevel="3">
      <c r="A486" s="8" t="n"/>
      <c r="B486" s="22" t="n"/>
      <c r="C486" s="115" t="n"/>
      <c r="D486" s="16" t="n"/>
      <c r="H486" s="17" t="n"/>
      <c r="I486" s="115" t="n"/>
      <c r="J486" s="16" t="n"/>
      <c r="N486" s="17" t="n"/>
      <c r="O486" s="115" t="n"/>
      <c r="P486" s="16" t="n"/>
      <c r="T486" s="17" t="n"/>
      <c r="U486" s="115" t="n"/>
    </row>
    <row r="487" hidden="1" outlineLevel="3">
      <c r="A487" s="8" t="n"/>
      <c r="B487" s="22" t="n"/>
      <c r="C487" s="115" t="n"/>
      <c r="D487" s="18" t="n"/>
      <c r="E487" s="19" t="n"/>
      <c r="F487" s="19" t="n"/>
      <c r="G487" s="19" t="n"/>
      <c r="H487" s="20" t="n"/>
      <c r="I487" s="115" t="n"/>
      <c r="J487" s="18" t="n"/>
      <c r="K487" s="19" t="n"/>
      <c r="L487" s="19" t="n"/>
      <c r="M487" s="19" t="n"/>
      <c r="N487" s="20" t="n"/>
      <c r="O487" s="115" t="n"/>
      <c r="P487" s="18" t="n"/>
      <c r="Q487" s="19" t="n"/>
      <c r="R487" s="19" t="n"/>
      <c r="S487" s="19" t="n"/>
      <c r="T487" s="20" t="n"/>
      <c r="U487" s="115" t="n"/>
    </row>
    <row r="488" hidden="1" outlineLevel="3">
      <c r="A488" s="8" t="n"/>
      <c r="B488" s="22" t="n"/>
      <c r="C488" s="115" t="n"/>
      <c r="D488" s="52">
        <f>DADOS_AM!$IK$78</f>
        <v/>
      </c>
      <c r="E488" s="134">
        <f>DADOS_AM!$HS$8</f>
        <v/>
      </c>
      <c r="F488" s="11" t="n"/>
      <c r="G488" s="11" t="n"/>
      <c r="H488" s="12" t="n"/>
      <c r="I488" s="115" t="n"/>
      <c r="J488" s="52">
        <f>DADOS_AM!$IK$79</f>
        <v/>
      </c>
      <c r="K488" s="134">
        <f>DADOS_AM!$HS$9</f>
        <v/>
      </c>
      <c r="L488" s="11" t="n"/>
      <c r="M488" s="11" t="n"/>
      <c r="N488" s="12" t="n"/>
      <c r="O488" s="115" t="n"/>
      <c r="P488" s="52">
        <f>DADOS_AM!$IK$80</f>
        <v/>
      </c>
      <c r="Q488" s="134">
        <f>DADOS_AM!$HS$10</f>
        <v/>
      </c>
      <c r="R488" s="11" t="n"/>
      <c r="S488" s="11" t="n"/>
      <c r="T488" s="12" t="n"/>
      <c r="U488" s="115" t="n"/>
    </row>
    <row r="489" hidden="1" outlineLevel="3">
      <c r="A489" s="8" t="n"/>
      <c r="B489" s="22" t="n"/>
      <c r="C489" s="115" t="n"/>
      <c r="D489" s="52" t="inlineStr">
        <is>
          <t>SEU TEXTO</t>
        </is>
      </c>
      <c r="E489" s="120" t="n"/>
      <c r="F489" s="14" t="n"/>
      <c r="G489" s="14" t="n"/>
      <c r="H489" s="15" t="n"/>
      <c r="I489" s="115" t="n"/>
      <c r="J489" s="52" t="inlineStr">
        <is>
          <t>SEU TEXTO</t>
        </is>
      </c>
      <c r="K489" s="120" t="n"/>
      <c r="L489" s="14" t="n"/>
      <c r="M489" s="14" t="n"/>
      <c r="N489" s="15" t="n"/>
      <c r="O489" s="115" t="n"/>
      <c r="P489" s="52" t="inlineStr">
        <is>
          <t>SEU TEXTO</t>
        </is>
      </c>
      <c r="Q489" s="120" t="n"/>
      <c r="R489" s="14" t="n"/>
      <c r="S489" s="14" t="n"/>
      <c r="T489" s="15" t="n"/>
      <c r="U489" s="115" t="n"/>
    </row>
    <row r="490" hidden="1" outlineLevel="3">
      <c r="A490" s="8" t="n"/>
      <c r="B490" s="22" t="n"/>
      <c r="C490" s="115" t="n"/>
      <c r="D490" s="121" t="n"/>
      <c r="E490" s="18" t="n"/>
      <c r="F490" s="19" t="n"/>
      <c r="G490" s="19" t="n"/>
      <c r="H490" s="20" t="n"/>
      <c r="I490" s="115" t="n"/>
      <c r="J490" s="121" t="n"/>
      <c r="K490" s="18" t="n"/>
      <c r="L490" s="19" t="n"/>
      <c r="M490" s="19" t="n"/>
      <c r="N490" s="20" t="n"/>
      <c r="O490" s="115" t="n"/>
      <c r="P490" s="121" t="n"/>
      <c r="Q490" s="18" t="n"/>
      <c r="R490" s="19" t="n"/>
      <c r="S490" s="19" t="n"/>
      <c r="T490" s="20" t="n"/>
      <c r="U490" s="115" t="n"/>
    </row>
    <row r="491" hidden="1" outlineLevel="2">
      <c r="A491" s="8" t="n"/>
      <c r="B491" s="22" t="n"/>
      <c r="C491" s="115" t="n"/>
      <c r="D491" s="115" t="n"/>
      <c r="E491" s="115" t="n"/>
      <c r="F491" s="115" t="n"/>
      <c r="G491" s="115" t="n"/>
      <c r="H491" s="115" t="n"/>
      <c r="I491" s="115" t="n"/>
      <c r="J491" s="115" t="n"/>
      <c r="K491" s="115" t="n"/>
      <c r="L491" s="115" t="n"/>
      <c r="M491" s="115" t="n"/>
      <c r="N491" s="115" t="n"/>
      <c r="O491" s="115" t="n"/>
      <c r="P491" s="115" t="n"/>
      <c r="Q491" s="115" t="n"/>
      <c r="R491" s="115" t="n"/>
      <c r="S491" s="115" t="n"/>
      <c r="T491" s="115" t="n"/>
      <c r="U491" s="115" t="n"/>
    </row>
    <row r="492" hidden="1" outlineLevel="2">
      <c r="A492" s="8" t="n"/>
      <c r="B492" s="22" t="n"/>
      <c r="C492" s="115" t="n"/>
      <c r="D492" s="131" t="n"/>
      <c r="E492" s="11" t="n"/>
      <c r="F492" s="12" t="n"/>
      <c r="G492" s="126">
        <f>DADOS_AM!$HR$11</f>
        <v/>
      </c>
      <c r="H492" s="12" t="n"/>
      <c r="I492" s="115" t="n"/>
      <c r="J492" s="131" t="n"/>
      <c r="K492" s="11" t="n"/>
      <c r="L492" s="12" t="n"/>
      <c r="M492" s="126">
        <f>DADOS_AM!$HR$12</f>
        <v/>
      </c>
      <c r="N492" s="12" t="n"/>
      <c r="O492" s="115" t="n"/>
      <c r="P492" s="131" t="n"/>
      <c r="Q492" s="11" t="n"/>
      <c r="R492" s="12" t="n"/>
      <c r="S492" s="126">
        <f>DADOS_AM!$HR$13</f>
        <v/>
      </c>
      <c r="T492" s="12" t="n"/>
      <c r="U492" s="115" t="n"/>
    </row>
    <row r="493" hidden="1" outlineLevel="2">
      <c r="A493" s="8" t="n"/>
      <c r="B493" s="22" t="n"/>
      <c r="C493" s="115" t="n"/>
      <c r="D493" s="132">
        <f>DADOS_AM!$HQ$11</f>
        <v/>
      </c>
      <c r="E493" s="14" t="n"/>
      <c r="F493" s="14" t="n"/>
      <c r="G493" s="14" t="n"/>
      <c r="H493" s="15" t="n"/>
      <c r="I493" s="115" t="n"/>
      <c r="J493" s="132">
        <f>DADOS_AM!$HQ$12</f>
        <v/>
      </c>
      <c r="K493" s="14" t="n"/>
      <c r="L493" s="14" t="n"/>
      <c r="M493" s="14" t="n"/>
      <c r="N493" s="15" t="n"/>
      <c r="O493" s="115" t="n"/>
      <c r="P493" s="132">
        <f>DADOS_AM!$HQ$13</f>
        <v/>
      </c>
      <c r="Q493" s="14" t="n"/>
      <c r="R493" s="14" t="n"/>
      <c r="S493" s="14" t="n"/>
      <c r="T493" s="15" t="n"/>
      <c r="U493" s="115" t="n"/>
    </row>
    <row r="494" hidden="1" outlineLevel="2">
      <c r="A494" s="8" t="n"/>
      <c r="B494" s="22" t="n"/>
      <c r="C494" s="115" t="n"/>
      <c r="D494" s="18" t="n"/>
      <c r="E494" s="19" t="n"/>
      <c r="F494" s="19" t="n"/>
      <c r="G494" s="19" t="n"/>
      <c r="H494" s="20" t="n"/>
      <c r="I494" s="115" t="n"/>
      <c r="J494" s="18" t="n"/>
      <c r="K494" s="19" t="n"/>
      <c r="L494" s="19" t="n"/>
      <c r="M494" s="19" t="n"/>
      <c r="N494" s="20" t="n"/>
      <c r="O494" s="115" t="n"/>
      <c r="P494" s="18" t="n"/>
      <c r="Q494" s="19" t="n"/>
      <c r="R494" s="19" t="n"/>
      <c r="S494" s="19" t="n"/>
      <c r="T494" s="20" t="n"/>
      <c r="U494" s="115" t="n"/>
    </row>
    <row r="495" hidden="1" outlineLevel="3">
      <c r="A495" s="8" t="n"/>
      <c r="B495" s="22" t="n"/>
      <c r="C495" s="115" t="n"/>
      <c r="D495" s="52" t="inlineStr">
        <is>
          <t>O QUE FAZ</t>
        </is>
      </c>
      <c r="E495" s="11" t="n"/>
      <c r="F495" s="11" t="n"/>
      <c r="G495" s="11" t="n"/>
      <c r="H495" s="12" t="n"/>
      <c r="I495" s="115" t="n"/>
      <c r="J495" s="52" t="inlineStr">
        <is>
          <t>O QUE FAZ</t>
        </is>
      </c>
      <c r="K495" s="11" t="n"/>
      <c r="L495" s="11" t="n"/>
      <c r="M495" s="11" t="n"/>
      <c r="N495" s="12" t="n"/>
      <c r="O495" s="115" t="n"/>
      <c r="P495" s="52" t="inlineStr">
        <is>
          <t>O QUE FAZ</t>
        </is>
      </c>
      <c r="Q495" s="11" t="n"/>
      <c r="R495" s="11" t="n"/>
      <c r="S495" s="11" t="n"/>
      <c r="T495" s="12" t="n"/>
      <c r="U495" s="115" t="n"/>
    </row>
    <row r="496" hidden="1" outlineLevel="3">
      <c r="A496" s="8" t="n"/>
      <c r="B496" s="22" t="n"/>
      <c r="C496" s="115" t="n"/>
      <c r="D496" s="133">
        <f>DADOS_AM!$HT$11</f>
        <v/>
      </c>
      <c r="E496" s="14" t="n"/>
      <c r="F496" s="14" t="n"/>
      <c r="G496" s="14" t="n"/>
      <c r="H496" s="15" t="n"/>
      <c r="I496" s="115" t="n"/>
      <c r="J496" s="133">
        <f>DADOS_AM!$HT$12</f>
        <v/>
      </c>
      <c r="K496" s="14" t="n"/>
      <c r="L496" s="14" t="n"/>
      <c r="M496" s="14" t="n"/>
      <c r="N496" s="15" t="n"/>
      <c r="O496" s="115" t="n"/>
      <c r="P496" s="133">
        <f>DADOS_AM!$HT$13</f>
        <v/>
      </c>
      <c r="Q496" s="14" t="n"/>
      <c r="R496" s="14" t="n"/>
      <c r="S496" s="14" t="n"/>
      <c r="T496" s="15" t="n"/>
      <c r="U496" s="115" t="n"/>
    </row>
    <row r="497" hidden="1" outlineLevel="3">
      <c r="A497" s="8" t="n"/>
      <c r="B497" s="22" t="n"/>
      <c r="C497" s="115" t="n"/>
      <c r="D497" s="16" t="n"/>
      <c r="H497" s="17" t="n"/>
      <c r="I497" s="115" t="n"/>
      <c r="J497" s="16" t="n"/>
      <c r="N497" s="17" t="n"/>
      <c r="O497" s="115" t="n"/>
      <c r="P497" s="16" t="n"/>
      <c r="T497" s="17" t="n"/>
      <c r="U497" s="115" t="n"/>
    </row>
    <row r="498" hidden="1" outlineLevel="3">
      <c r="A498" s="8" t="n"/>
      <c r="B498" s="22" t="n"/>
      <c r="C498" s="115" t="n"/>
      <c r="D498" s="16" t="n"/>
      <c r="H498" s="17" t="n"/>
      <c r="I498" s="115" t="n"/>
      <c r="J498" s="16" t="n"/>
      <c r="N498" s="17" t="n"/>
      <c r="O498" s="115" t="n"/>
      <c r="P498" s="16" t="n"/>
      <c r="T498" s="17" t="n"/>
      <c r="U498" s="115" t="n"/>
    </row>
    <row r="499" hidden="1" outlineLevel="3">
      <c r="A499" s="8" t="n"/>
      <c r="B499" s="22" t="n"/>
      <c r="C499" s="115" t="n"/>
      <c r="D499" s="16" t="n"/>
      <c r="H499" s="17" t="n"/>
      <c r="I499" s="115" t="n"/>
      <c r="J499" s="16" t="n"/>
      <c r="N499" s="17" t="n"/>
      <c r="O499" s="115" t="n"/>
      <c r="P499" s="16" t="n"/>
      <c r="T499" s="17" t="n"/>
      <c r="U499" s="115" t="n"/>
    </row>
    <row r="500" hidden="1" outlineLevel="3">
      <c r="A500" s="8" t="n"/>
      <c r="B500" s="22" t="n"/>
      <c r="C500" s="115" t="n"/>
      <c r="D500" s="16" t="n"/>
      <c r="H500" s="17" t="n"/>
      <c r="I500" s="115" t="n"/>
      <c r="J500" s="16" t="n"/>
      <c r="N500" s="17" t="n"/>
      <c r="O500" s="115" t="n"/>
      <c r="P500" s="16" t="n"/>
      <c r="T500" s="17" t="n"/>
      <c r="U500" s="115" t="n"/>
    </row>
    <row r="501" hidden="1" outlineLevel="3">
      <c r="A501" s="8" t="n"/>
      <c r="B501" s="22" t="n"/>
      <c r="C501" s="115" t="n"/>
      <c r="D501" s="16" t="n"/>
      <c r="H501" s="17" t="n"/>
      <c r="I501" s="115" t="n"/>
      <c r="J501" s="16" t="n"/>
      <c r="N501" s="17" t="n"/>
      <c r="O501" s="115" t="n"/>
      <c r="P501" s="16" t="n"/>
      <c r="T501" s="17" t="n"/>
      <c r="U501" s="115" t="n"/>
    </row>
    <row r="502" hidden="1" outlineLevel="3">
      <c r="A502" s="8" t="n"/>
      <c r="B502" s="22" t="n"/>
      <c r="C502" s="115" t="n"/>
      <c r="D502" s="16" t="n"/>
      <c r="H502" s="17" t="n"/>
      <c r="I502" s="115" t="n"/>
      <c r="J502" s="16" t="n"/>
      <c r="N502" s="17" t="n"/>
      <c r="O502" s="115" t="n"/>
      <c r="P502" s="16" t="n"/>
      <c r="T502" s="17" t="n"/>
      <c r="U502" s="115" t="n"/>
    </row>
    <row r="503" hidden="1" outlineLevel="3">
      <c r="A503" s="8" t="n"/>
      <c r="B503" s="22" t="n"/>
      <c r="C503" s="115" t="n"/>
      <c r="D503" s="16" t="n"/>
      <c r="H503" s="17" t="n"/>
      <c r="I503" s="115" t="n"/>
      <c r="J503" s="16" t="n"/>
      <c r="N503" s="17" t="n"/>
      <c r="O503" s="115" t="n"/>
      <c r="P503" s="16" t="n"/>
      <c r="T503" s="17" t="n"/>
      <c r="U503" s="115" t="n"/>
    </row>
    <row r="504" hidden="1" outlineLevel="3">
      <c r="A504" s="8" t="n"/>
      <c r="B504" s="22" t="n"/>
      <c r="C504" s="115" t="n"/>
      <c r="D504" s="16" t="n"/>
      <c r="H504" s="17" t="n"/>
      <c r="I504" s="115" t="n"/>
      <c r="J504" s="16" t="n"/>
      <c r="N504" s="17" t="n"/>
      <c r="O504" s="115" t="n"/>
      <c r="P504" s="16" t="n"/>
      <c r="T504" s="17" t="n"/>
      <c r="U504" s="115" t="n"/>
    </row>
    <row r="505" hidden="1" outlineLevel="3">
      <c r="A505" s="8" t="n"/>
      <c r="B505" s="22" t="n"/>
      <c r="C505" s="115" t="n"/>
      <c r="D505" s="16" t="n"/>
      <c r="H505" s="17" t="n"/>
      <c r="I505" s="115" t="n"/>
      <c r="J505" s="16" t="n"/>
      <c r="N505" s="17" t="n"/>
      <c r="O505" s="115" t="n"/>
      <c r="P505" s="16" t="n"/>
      <c r="T505" s="17" t="n"/>
      <c r="U505" s="115" t="n"/>
    </row>
    <row r="506" hidden="1" outlineLevel="3">
      <c r="A506" s="8" t="n"/>
      <c r="B506" s="22" t="n"/>
      <c r="C506" s="115" t="n"/>
      <c r="D506" s="16" t="n"/>
      <c r="H506" s="17" t="n"/>
      <c r="I506" s="115" t="n"/>
      <c r="J506" s="16" t="n"/>
      <c r="N506" s="17" t="n"/>
      <c r="O506" s="115" t="n"/>
      <c r="P506" s="16" t="n"/>
      <c r="T506" s="17" t="n"/>
      <c r="U506" s="115" t="n"/>
    </row>
    <row r="507" hidden="1" outlineLevel="3">
      <c r="A507" s="8" t="n"/>
      <c r="B507" s="22" t="n"/>
      <c r="C507" s="115" t="n"/>
      <c r="D507" s="18" t="n"/>
      <c r="E507" s="19" t="n"/>
      <c r="F507" s="19" t="n"/>
      <c r="G507" s="19" t="n"/>
      <c r="H507" s="20" t="n"/>
      <c r="I507" s="115" t="n"/>
      <c r="J507" s="18" t="n"/>
      <c r="K507" s="19" t="n"/>
      <c r="L507" s="19" t="n"/>
      <c r="M507" s="19" t="n"/>
      <c r="N507" s="20" t="n"/>
      <c r="O507" s="115" t="n"/>
      <c r="P507" s="18" t="n"/>
      <c r="Q507" s="19" t="n"/>
      <c r="R507" s="19" t="n"/>
      <c r="S507" s="19" t="n"/>
      <c r="T507" s="20" t="n"/>
      <c r="U507" s="115" t="n"/>
    </row>
    <row r="508" hidden="1" outlineLevel="3">
      <c r="A508" s="8" t="n"/>
      <c r="B508" s="22" t="n"/>
      <c r="C508" s="115" t="n"/>
      <c r="D508" s="52">
        <f>DADOS_AM!$IK$81</f>
        <v/>
      </c>
      <c r="E508" s="134">
        <f>DADOS_AM!$HS$11</f>
        <v/>
      </c>
      <c r="F508" s="11" t="n"/>
      <c r="G508" s="11" t="n"/>
      <c r="H508" s="12" t="n"/>
      <c r="I508" s="115" t="n"/>
      <c r="J508" s="52">
        <f>DADOS_AM!$IK$82</f>
        <v/>
      </c>
      <c r="K508" s="134">
        <f>DADOS_AM!$HS$12</f>
        <v/>
      </c>
      <c r="L508" s="11" t="n"/>
      <c r="M508" s="11" t="n"/>
      <c r="N508" s="12" t="n"/>
      <c r="O508" s="115" t="n"/>
      <c r="P508" s="52">
        <f>DADOS_AM!$IK$83</f>
        <v/>
      </c>
      <c r="Q508" s="134">
        <f>DADOS_AM!$HS$13</f>
        <v/>
      </c>
      <c r="R508" s="11" t="n"/>
      <c r="S508" s="11" t="n"/>
      <c r="T508" s="12" t="n"/>
      <c r="U508" s="115" t="n"/>
    </row>
    <row r="509" hidden="1" outlineLevel="3">
      <c r="A509" s="8" t="n"/>
      <c r="B509" s="22" t="n"/>
      <c r="C509" s="115" t="n"/>
      <c r="D509" s="52" t="inlineStr">
        <is>
          <t>SEU TEXTO</t>
        </is>
      </c>
      <c r="E509" s="120" t="n"/>
      <c r="F509" s="14" t="n"/>
      <c r="G509" s="14" t="n"/>
      <c r="H509" s="15" t="n"/>
      <c r="I509" s="115" t="n"/>
      <c r="J509" s="52" t="inlineStr">
        <is>
          <t>SEU TEXTO</t>
        </is>
      </c>
      <c r="K509" s="120" t="n"/>
      <c r="L509" s="14" t="n"/>
      <c r="M509" s="14" t="n"/>
      <c r="N509" s="15" t="n"/>
      <c r="O509" s="115" t="n"/>
      <c r="P509" s="52" t="inlineStr">
        <is>
          <t>SEU TEXTO</t>
        </is>
      </c>
      <c r="Q509" s="120" t="n"/>
      <c r="R509" s="14" t="n"/>
      <c r="S509" s="14" t="n"/>
      <c r="T509" s="15" t="n"/>
      <c r="U509" s="115" t="n"/>
    </row>
    <row r="510" hidden="1" outlineLevel="3">
      <c r="A510" s="8" t="n"/>
      <c r="B510" s="22" t="n"/>
      <c r="C510" s="115" t="n"/>
      <c r="D510" s="121" t="n"/>
      <c r="E510" s="18" t="n"/>
      <c r="F510" s="19" t="n"/>
      <c r="G510" s="19" t="n"/>
      <c r="H510" s="20" t="n"/>
      <c r="I510" s="115" t="n"/>
      <c r="J510" s="121" t="n"/>
      <c r="K510" s="18" t="n"/>
      <c r="L510" s="19" t="n"/>
      <c r="M510" s="19" t="n"/>
      <c r="N510" s="20" t="n"/>
      <c r="O510" s="115" t="n"/>
      <c r="P510" s="121" t="n"/>
      <c r="Q510" s="18" t="n"/>
      <c r="R510" s="19" t="n"/>
      <c r="S510" s="19" t="n"/>
      <c r="T510" s="20" t="n"/>
      <c r="U510" s="115" t="n"/>
    </row>
    <row r="511">
      <c r="A511" s="8" t="n"/>
      <c r="B511" s="22" t="n"/>
      <c r="C511" s="115" t="n"/>
      <c r="D511" s="115" t="n"/>
      <c r="E511" s="115" t="n"/>
      <c r="F511" s="115" t="n"/>
      <c r="G511" s="115" t="n"/>
      <c r="H511" s="115" t="n"/>
      <c r="I511" s="115" t="n"/>
      <c r="J511" s="115" t="n"/>
      <c r="K511" s="115" t="n"/>
      <c r="L511" s="115" t="n"/>
      <c r="M511" s="115" t="n"/>
      <c r="N511" s="115" t="n"/>
      <c r="O511" s="115" t="n"/>
      <c r="P511" s="115" t="n"/>
      <c r="Q511" s="115" t="n"/>
      <c r="R511" s="115" t="n"/>
      <c r="S511" s="115" t="n"/>
      <c r="T511" s="115" t="n"/>
      <c r="U511" s="115" t="n"/>
    </row>
    <row r="512">
      <c r="A512" s="8" t="n"/>
      <c r="B512" s="22" t="n"/>
      <c r="C512" s="115" t="n"/>
      <c r="D512" s="118" t="inlineStr">
        <is>
          <t>PACTOS</t>
        </is>
      </c>
      <c r="E512" s="14" t="n"/>
      <c r="F512" s="14" t="n"/>
      <c r="G512" s="14" t="n"/>
      <c r="H512" s="14" t="n"/>
      <c r="I512" s="14" t="n"/>
      <c r="J512" s="14" t="n"/>
      <c r="K512" s="14" t="n"/>
      <c r="L512" s="14" t="n"/>
      <c r="M512" s="14" t="n"/>
      <c r="N512" s="14" t="n"/>
      <c r="O512" s="14" t="n"/>
      <c r="P512" s="14" t="n"/>
      <c r="Q512" s="14" t="n"/>
      <c r="R512" s="14" t="n"/>
      <c r="S512" s="14" t="n"/>
      <c r="T512" s="15" t="n"/>
      <c r="U512" s="115" t="n"/>
    </row>
    <row r="513">
      <c r="A513" s="8" t="n"/>
      <c r="B513" s="22" t="n"/>
      <c r="C513" s="115" t="n"/>
      <c r="D513" s="18" t="n"/>
      <c r="E513" s="19" t="n"/>
      <c r="F513" s="19" t="n"/>
      <c r="G513" s="19" t="n"/>
      <c r="H513" s="19" t="n"/>
      <c r="I513" s="19" t="n"/>
      <c r="J513" s="19" t="n"/>
      <c r="K513" s="19" t="n"/>
      <c r="L513" s="19" t="n"/>
      <c r="M513" s="19" t="n"/>
      <c r="N513" s="19" t="n"/>
      <c r="O513" s="19" t="n"/>
      <c r="P513" s="19" t="n"/>
      <c r="Q513" s="19" t="n"/>
      <c r="R513" s="19" t="n"/>
      <c r="S513" s="19" t="n"/>
      <c r="T513" s="20" t="n"/>
      <c r="U513" s="115" t="n"/>
    </row>
    <row r="514" outlineLevel="1">
      <c r="A514" s="8" t="n"/>
      <c r="B514" s="22" t="n"/>
      <c r="C514" s="115" t="n"/>
      <c r="D514" s="52" t="inlineStr">
        <is>
          <t>PERMANENTES</t>
        </is>
      </c>
      <c r="E514" s="12" t="n"/>
      <c r="F514" s="52" t="inlineStr">
        <is>
          <t>COMO O PACTO SE FECHA</t>
        </is>
      </c>
      <c r="G514" s="11" t="n"/>
      <c r="H514" s="11" t="n"/>
      <c r="I514" s="11" t="n"/>
      <c r="J514" s="11" t="n"/>
      <c r="K514" s="11" t="n"/>
      <c r="L514" s="11" t="n"/>
      <c r="M514" s="11" t="n"/>
      <c r="N514" s="11" t="n"/>
      <c r="O514" s="11" t="n"/>
      <c r="P514" s="11" t="n"/>
      <c r="Q514" s="11" t="n"/>
      <c r="R514" s="11" t="n"/>
      <c r="S514" s="11" t="n"/>
      <c r="T514" s="12" t="n"/>
      <c r="U514" s="115" t="n"/>
    </row>
    <row r="515" outlineLevel="1">
      <c r="A515" s="8" t="n"/>
      <c r="B515" s="22" t="n"/>
      <c r="C515" s="115" t="n"/>
      <c r="D515" s="89">
        <f>DADOS_AM!$IK$85</f>
        <v/>
      </c>
      <c r="E515" s="15" t="n"/>
      <c r="F515" s="129" t="inlineStr">
        <is>
          <t>Permanente: fora de cena, com o mestre lendo. Temporário: Ação Bônus, no seu turno. Promessa: entre duas partes, as duas aceitando. De restrição: na criação, junto da Origem ou da técnica.</t>
        </is>
      </c>
      <c r="G515" s="14" t="n"/>
      <c r="H515" s="14" t="n"/>
      <c r="I515" s="14" t="n"/>
      <c r="J515" s="14" t="n"/>
      <c r="K515" s="14" t="n"/>
      <c r="L515" s="14" t="n"/>
      <c r="M515" s="14" t="n"/>
      <c r="N515" s="14" t="n"/>
      <c r="O515" s="14" t="n"/>
      <c r="P515" s="14" t="n"/>
      <c r="Q515" s="14" t="n"/>
      <c r="R515" s="14" t="n"/>
      <c r="S515" s="14" t="n"/>
      <c r="T515" s="15" t="n"/>
      <c r="U515" s="115" t="n"/>
    </row>
    <row r="516" outlineLevel="1">
      <c r="A516" s="8" t="n"/>
      <c r="B516" s="22" t="n"/>
      <c r="C516" s="115" t="n"/>
      <c r="D516" s="18" t="n"/>
      <c r="E516" s="20" t="n"/>
      <c r="F516" s="18" t="n"/>
      <c r="G516" s="19" t="n"/>
      <c r="H516" s="19" t="n"/>
      <c r="I516" s="19" t="n"/>
      <c r="J516" s="19" t="n"/>
      <c r="K516" s="19" t="n"/>
      <c r="L516" s="19" t="n"/>
      <c r="M516" s="19" t="n"/>
      <c r="N516" s="19" t="n"/>
      <c r="O516" s="19" t="n"/>
      <c r="P516" s="19" t="n"/>
      <c r="Q516" s="19" t="n"/>
      <c r="R516" s="19" t="n"/>
      <c r="S516" s="19" t="n"/>
      <c r="T516" s="20" t="n"/>
      <c r="U516" s="115" t="n"/>
    </row>
    <row r="517" outlineLevel="1">
      <c r="A517" s="8" t="n"/>
      <c r="B517" s="22" t="n"/>
      <c r="C517" s="115" t="n"/>
      <c r="D517" s="115" t="n"/>
      <c r="E517" s="115" t="n"/>
      <c r="F517" s="115" t="n"/>
      <c r="G517" s="115" t="n"/>
      <c r="H517" s="115" t="n"/>
      <c r="I517" s="115" t="n"/>
      <c r="J517" s="115" t="n"/>
      <c r="K517" s="115" t="n"/>
      <c r="L517" s="115" t="n"/>
      <c r="M517" s="115" t="n"/>
      <c r="N517" s="115" t="n"/>
      <c r="O517" s="115" t="n"/>
      <c r="P517" s="115" t="n"/>
      <c r="Q517" s="115" t="n"/>
      <c r="R517" s="115" t="n"/>
      <c r="S517" s="115" t="n"/>
      <c r="T517" s="115" t="n"/>
      <c r="U517" s="115" t="n"/>
    </row>
    <row r="518" outlineLevel="1">
      <c r="A518" s="8" t="n"/>
      <c r="B518" s="22" t="n"/>
      <c r="C518" s="115" t="n"/>
      <c r="D518" s="52" t="inlineStr">
        <is>
          <t>PACTO 1</t>
        </is>
      </c>
      <c r="E518" s="124" t="n"/>
      <c r="F518" s="11" t="n"/>
      <c r="G518" s="11" t="n"/>
      <c r="H518" s="11" t="n"/>
      <c r="I518" s="11" t="n"/>
      <c r="J518" s="11" t="n"/>
      <c r="K518" s="12" t="n"/>
      <c r="L518" s="119" t="n"/>
      <c r="M518" s="11" t="n"/>
      <c r="N518" s="12" t="n"/>
      <c r="O518" s="115" t="n"/>
      <c r="P518" s="119" t="n"/>
      <c r="Q518" s="11" t="n"/>
      <c r="R518" s="11" t="n"/>
      <c r="S518" s="11" t="n"/>
      <c r="T518" s="12" t="n"/>
      <c r="U518" s="115" t="n"/>
    </row>
    <row r="519" outlineLevel="2">
      <c r="A519" s="8" t="n"/>
      <c r="B519" s="22" t="n"/>
      <c r="C519" s="115" t="n"/>
      <c r="D519" s="52" t="inlineStr">
        <is>
          <t>O QUE EU DOU</t>
        </is>
      </c>
      <c r="E519" s="11" t="n"/>
      <c r="F519" s="11" t="n"/>
      <c r="G519" s="11" t="n"/>
      <c r="H519" s="11" t="n"/>
      <c r="I519" s="11" t="n"/>
      <c r="J519" s="11" t="n"/>
      <c r="K519" s="12" t="n"/>
      <c r="L519" s="52" t="inlineStr">
        <is>
          <t>O QUE EU RECEBO</t>
        </is>
      </c>
      <c r="M519" s="11" t="n"/>
      <c r="N519" s="11" t="n"/>
      <c r="O519" s="11" t="n"/>
      <c r="P519" s="11" t="n"/>
      <c r="Q519" s="11" t="n"/>
      <c r="R519" s="11" t="n"/>
      <c r="S519" s="11" t="n"/>
      <c r="T519" s="12" t="n"/>
      <c r="U519" s="115" t="n"/>
    </row>
    <row r="520" outlineLevel="2">
      <c r="A520" s="8" t="n"/>
      <c r="B520" s="22" t="n"/>
      <c r="C520" s="115" t="n"/>
      <c r="D520" s="120" t="n"/>
      <c r="E520" s="14" t="n"/>
      <c r="F520" s="14" t="n"/>
      <c r="G520" s="14" t="n"/>
      <c r="H520" s="14" t="n"/>
      <c r="I520" s="14" t="n"/>
      <c r="J520" s="14" t="n"/>
      <c r="K520" s="15" t="n"/>
      <c r="L520" s="120" t="n"/>
      <c r="M520" s="14" t="n"/>
      <c r="N520" s="14" t="n"/>
      <c r="O520" s="14" t="n"/>
      <c r="P520" s="14" t="n"/>
      <c r="Q520" s="14" t="n"/>
      <c r="R520" s="14" t="n"/>
      <c r="S520" s="14" t="n"/>
      <c r="T520" s="15" t="n"/>
      <c r="U520" s="115" t="n"/>
    </row>
    <row r="521" outlineLevel="2">
      <c r="A521" s="8" t="n"/>
      <c r="B521" s="22" t="n"/>
      <c r="C521" s="115" t="n"/>
      <c r="D521" s="16" t="n"/>
      <c r="K521" s="17" t="n"/>
      <c r="L521" s="16" t="n"/>
      <c r="T521" s="17" t="n"/>
      <c r="U521" s="115" t="n"/>
    </row>
    <row r="522" outlineLevel="2">
      <c r="A522" s="8" t="n"/>
      <c r="B522" s="22" t="n"/>
      <c r="C522" s="115" t="n"/>
      <c r="D522" s="16" t="n"/>
      <c r="K522" s="17" t="n"/>
      <c r="L522" s="16" t="n"/>
      <c r="T522" s="17" t="n"/>
      <c r="U522" s="115" t="n"/>
    </row>
    <row r="523" outlineLevel="2">
      <c r="A523" s="8" t="n"/>
      <c r="B523" s="22" t="n"/>
      <c r="C523" s="115" t="n"/>
      <c r="D523" s="18" t="n"/>
      <c r="E523" s="19" t="n"/>
      <c r="F523" s="19" t="n"/>
      <c r="G523" s="19" t="n"/>
      <c r="H523" s="19" t="n"/>
      <c r="I523" s="19" t="n"/>
      <c r="J523" s="19" t="n"/>
      <c r="K523" s="20" t="n"/>
      <c r="L523" s="18" t="n"/>
      <c r="M523" s="19" t="n"/>
      <c r="N523" s="19" t="n"/>
      <c r="O523" s="19" t="n"/>
      <c r="P523" s="19" t="n"/>
      <c r="Q523" s="19" t="n"/>
      <c r="R523" s="19" t="n"/>
      <c r="S523" s="19" t="n"/>
      <c r="T523" s="20" t="n"/>
      <c r="U523" s="115" t="n"/>
    </row>
    <row r="524" outlineLevel="2">
      <c r="A524" s="8" t="n"/>
      <c r="B524" s="22" t="n"/>
      <c r="C524" s="115" t="n"/>
      <c r="D524" s="52" t="inlineStr">
        <is>
          <t>CLÁUSULA, COM QUEM FOI FECHADO E O QUE ACONTECE SE QUEBRAR</t>
        </is>
      </c>
      <c r="E524" s="11" t="n"/>
      <c r="F524" s="11" t="n"/>
      <c r="G524" s="11" t="n"/>
      <c r="H524" s="11" t="n"/>
      <c r="I524" s="11" t="n"/>
      <c r="J524" s="11" t="n"/>
      <c r="K524" s="11" t="n"/>
      <c r="L524" s="11" t="n"/>
      <c r="M524" s="11" t="n"/>
      <c r="N524" s="11" t="n"/>
      <c r="O524" s="11" t="n"/>
      <c r="P524" s="11" t="n"/>
      <c r="Q524" s="11" t="n"/>
      <c r="R524" s="11" t="n"/>
      <c r="S524" s="11" t="n"/>
      <c r="T524" s="12" t="n"/>
      <c r="U524" s="115" t="n"/>
    </row>
    <row r="525" outlineLevel="2">
      <c r="A525" s="8" t="n"/>
      <c r="B525" s="22" t="n"/>
      <c r="C525" s="115" t="n"/>
      <c r="D525" s="120" t="n"/>
      <c r="E525" s="14" t="n"/>
      <c r="F525" s="14" t="n"/>
      <c r="G525" s="14" t="n"/>
      <c r="H525" s="14" t="n"/>
      <c r="I525" s="14" t="n"/>
      <c r="J525" s="14" t="n"/>
      <c r="K525" s="14" t="n"/>
      <c r="L525" s="14" t="n"/>
      <c r="M525" s="14" t="n"/>
      <c r="N525" s="14" t="n"/>
      <c r="O525" s="14" t="n"/>
      <c r="P525" s="14" t="n"/>
      <c r="Q525" s="14" t="n"/>
      <c r="R525" s="14" t="n"/>
      <c r="S525" s="14" t="n"/>
      <c r="T525" s="15" t="n"/>
      <c r="U525" s="115" t="n"/>
    </row>
    <row r="526" outlineLevel="2">
      <c r="A526" s="8" t="n"/>
      <c r="B526" s="22" t="n"/>
      <c r="C526" s="115" t="n"/>
      <c r="D526" s="18" t="n"/>
      <c r="E526" s="19" t="n"/>
      <c r="F526" s="19" t="n"/>
      <c r="G526" s="19" t="n"/>
      <c r="H526" s="19" t="n"/>
      <c r="I526" s="19" t="n"/>
      <c r="J526" s="19" t="n"/>
      <c r="K526" s="19" t="n"/>
      <c r="L526" s="19" t="n"/>
      <c r="M526" s="19" t="n"/>
      <c r="N526" s="19" t="n"/>
      <c r="O526" s="19" t="n"/>
      <c r="P526" s="19" t="n"/>
      <c r="Q526" s="19" t="n"/>
      <c r="R526" s="19" t="n"/>
      <c r="S526" s="19" t="n"/>
      <c r="T526" s="20" t="n"/>
      <c r="U526" s="115" t="n"/>
    </row>
    <row r="527" outlineLevel="1">
      <c r="A527" s="8" t="n"/>
      <c r="B527" s="22" t="n"/>
      <c r="C527" s="115" t="n"/>
      <c r="D527" s="115" t="n"/>
      <c r="E527" s="115" t="n"/>
      <c r="F527" s="115" t="n"/>
      <c r="G527" s="115" t="n"/>
      <c r="H527" s="115" t="n"/>
      <c r="I527" s="115" t="n"/>
      <c r="J527" s="115" t="n"/>
      <c r="K527" s="115" t="n"/>
      <c r="L527" s="115" t="n"/>
      <c r="M527" s="115" t="n"/>
      <c r="N527" s="115" t="n"/>
      <c r="O527" s="115" t="n"/>
      <c r="P527" s="115" t="n"/>
      <c r="Q527" s="115" t="n"/>
      <c r="R527" s="115" t="n"/>
      <c r="S527" s="115" t="n"/>
      <c r="T527" s="115" t="n"/>
      <c r="U527" s="115" t="n"/>
    </row>
    <row r="528" outlineLevel="1">
      <c r="A528" s="8" t="n"/>
      <c r="B528" s="22" t="n"/>
      <c r="C528" s="115" t="n"/>
      <c r="D528" s="52" t="inlineStr">
        <is>
          <t>PACTO 2</t>
        </is>
      </c>
      <c r="E528" s="124" t="n"/>
      <c r="F528" s="11" t="n"/>
      <c r="G528" s="11" t="n"/>
      <c r="H528" s="11" t="n"/>
      <c r="I528" s="11" t="n"/>
      <c r="J528" s="11" t="n"/>
      <c r="K528" s="12" t="n"/>
      <c r="L528" s="119" t="n"/>
      <c r="M528" s="11" t="n"/>
      <c r="N528" s="12" t="n"/>
      <c r="O528" s="115" t="n"/>
      <c r="P528" s="119" t="n"/>
      <c r="Q528" s="11" t="n"/>
      <c r="R528" s="11" t="n"/>
      <c r="S528" s="11" t="n"/>
      <c r="T528" s="12" t="n"/>
      <c r="U528" s="115" t="n"/>
    </row>
    <row r="529" hidden="1" outlineLevel="2">
      <c r="A529" s="8" t="n"/>
      <c r="B529" s="22" t="n"/>
      <c r="C529" s="115" t="n"/>
      <c r="D529" s="52" t="inlineStr">
        <is>
          <t>O QUE EU DOU</t>
        </is>
      </c>
      <c r="E529" s="11" t="n"/>
      <c r="F529" s="11" t="n"/>
      <c r="G529" s="11" t="n"/>
      <c r="H529" s="11" t="n"/>
      <c r="I529" s="11" t="n"/>
      <c r="J529" s="11" t="n"/>
      <c r="K529" s="12" t="n"/>
      <c r="L529" s="52" t="inlineStr">
        <is>
          <t>O QUE EU RECEBO</t>
        </is>
      </c>
      <c r="M529" s="11" t="n"/>
      <c r="N529" s="11" t="n"/>
      <c r="O529" s="11" t="n"/>
      <c r="P529" s="11" t="n"/>
      <c r="Q529" s="11" t="n"/>
      <c r="R529" s="11" t="n"/>
      <c r="S529" s="11" t="n"/>
      <c r="T529" s="12" t="n"/>
      <c r="U529" s="115" t="n"/>
    </row>
    <row r="530" hidden="1" outlineLevel="2">
      <c r="A530" s="8" t="n"/>
      <c r="B530" s="22" t="n"/>
      <c r="C530" s="115" t="n"/>
      <c r="D530" s="120" t="n"/>
      <c r="E530" s="14" t="n"/>
      <c r="F530" s="14" t="n"/>
      <c r="G530" s="14" t="n"/>
      <c r="H530" s="14" t="n"/>
      <c r="I530" s="14" t="n"/>
      <c r="J530" s="14" t="n"/>
      <c r="K530" s="15" t="n"/>
      <c r="L530" s="120" t="n"/>
      <c r="M530" s="14" t="n"/>
      <c r="N530" s="14" t="n"/>
      <c r="O530" s="14" t="n"/>
      <c r="P530" s="14" t="n"/>
      <c r="Q530" s="14" t="n"/>
      <c r="R530" s="14" t="n"/>
      <c r="S530" s="14" t="n"/>
      <c r="T530" s="15" t="n"/>
      <c r="U530" s="115" t="n"/>
    </row>
    <row r="531" hidden="1" outlineLevel="2">
      <c r="A531" s="8" t="n"/>
      <c r="B531" s="22" t="n"/>
      <c r="C531" s="115" t="n"/>
      <c r="D531" s="16" t="n"/>
      <c r="K531" s="17" t="n"/>
      <c r="L531" s="16" t="n"/>
      <c r="T531" s="17" t="n"/>
      <c r="U531" s="115" t="n"/>
    </row>
    <row r="532" hidden="1" outlineLevel="2">
      <c r="A532" s="8" t="n"/>
      <c r="B532" s="22" t="n"/>
      <c r="C532" s="115" t="n"/>
      <c r="D532" s="16" t="n"/>
      <c r="K532" s="17" t="n"/>
      <c r="L532" s="16" t="n"/>
      <c r="T532" s="17" t="n"/>
      <c r="U532" s="115" t="n"/>
    </row>
    <row r="533" hidden="1" outlineLevel="2">
      <c r="A533" s="8" t="n"/>
      <c r="B533" s="22" t="n"/>
      <c r="C533" s="115" t="n"/>
      <c r="D533" s="18" t="n"/>
      <c r="E533" s="19" t="n"/>
      <c r="F533" s="19" t="n"/>
      <c r="G533" s="19" t="n"/>
      <c r="H533" s="19" t="n"/>
      <c r="I533" s="19" t="n"/>
      <c r="J533" s="19" t="n"/>
      <c r="K533" s="20" t="n"/>
      <c r="L533" s="18" t="n"/>
      <c r="M533" s="19" t="n"/>
      <c r="N533" s="19" t="n"/>
      <c r="O533" s="19" t="n"/>
      <c r="P533" s="19" t="n"/>
      <c r="Q533" s="19" t="n"/>
      <c r="R533" s="19" t="n"/>
      <c r="S533" s="19" t="n"/>
      <c r="T533" s="20" t="n"/>
      <c r="U533" s="115" t="n"/>
    </row>
    <row r="534" hidden="1" outlineLevel="2">
      <c r="A534" s="8" t="n"/>
      <c r="B534" s="22" t="n"/>
      <c r="C534" s="115" t="n"/>
      <c r="D534" s="52" t="inlineStr">
        <is>
          <t>CLÁUSULA, COM QUEM FOI FECHADO E O QUE ACONTECE SE QUEBRAR</t>
        </is>
      </c>
      <c r="E534" s="11" t="n"/>
      <c r="F534" s="11" t="n"/>
      <c r="G534" s="11" t="n"/>
      <c r="H534" s="11" t="n"/>
      <c r="I534" s="11" t="n"/>
      <c r="J534" s="11" t="n"/>
      <c r="K534" s="11" t="n"/>
      <c r="L534" s="11" t="n"/>
      <c r="M534" s="11" t="n"/>
      <c r="N534" s="11" t="n"/>
      <c r="O534" s="11" t="n"/>
      <c r="P534" s="11" t="n"/>
      <c r="Q534" s="11" t="n"/>
      <c r="R534" s="11" t="n"/>
      <c r="S534" s="11" t="n"/>
      <c r="T534" s="12" t="n"/>
      <c r="U534" s="115" t="n"/>
    </row>
    <row r="535" hidden="1" outlineLevel="2">
      <c r="A535" s="8" t="n"/>
      <c r="B535" s="22" t="n"/>
      <c r="C535" s="115" t="n"/>
      <c r="D535" s="120" t="n"/>
      <c r="E535" s="14" t="n"/>
      <c r="F535" s="14" t="n"/>
      <c r="G535" s="14" t="n"/>
      <c r="H535" s="14" t="n"/>
      <c r="I535" s="14" t="n"/>
      <c r="J535" s="14" t="n"/>
      <c r="K535" s="14" t="n"/>
      <c r="L535" s="14" t="n"/>
      <c r="M535" s="14" t="n"/>
      <c r="N535" s="14" t="n"/>
      <c r="O535" s="14" t="n"/>
      <c r="P535" s="14" t="n"/>
      <c r="Q535" s="14" t="n"/>
      <c r="R535" s="14" t="n"/>
      <c r="S535" s="14" t="n"/>
      <c r="T535" s="15" t="n"/>
      <c r="U535" s="115" t="n"/>
    </row>
    <row r="536" hidden="1" outlineLevel="2">
      <c r="A536" s="8" t="n"/>
      <c r="B536" s="22" t="n"/>
      <c r="C536" s="115" t="n"/>
      <c r="D536" s="18" t="n"/>
      <c r="E536" s="19" t="n"/>
      <c r="F536" s="19" t="n"/>
      <c r="G536" s="19" t="n"/>
      <c r="H536" s="19" t="n"/>
      <c r="I536" s="19" t="n"/>
      <c r="J536" s="19" t="n"/>
      <c r="K536" s="19" t="n"/>
      <c r="L536" s="19" t="n"/>
      <c r="M536" s="19" t="n"/>
      <c r="N536" s="19" t="n"/>
      <c r="O536" s="19" t="n"/>
      <c r="P536" s="19" t="n"/>
      <c r="Q536" s="19" t="n"/>
      <c r="R536" s="19" t="n"/>
      <c r="S536" s="19" t="n"/>
      <c r="T536" s="20" t="n"/>
      <c r="U536" s="115" t="n"/>
    </row>
    <row r="537" outlineLevel="1">
      <c r="A537" s="8" t="n"/>
      <c r="B537" s="22" t="n"/>
      <c r="C537" s="115" t="n"/>
      <c r="D537" s="115" t="n"/>
      <c r="E537" s="115" t="n"/>
      <c r="F537" s="115" t="n"/>
      <c r="G537" s="115" t="n"/>
      <c r="H537" s="115" t="n"/>
      <c r="I537" s="115" t="n"/>
      <c r="J537" s="115" t="n"/>
      <c r="K537" s="115" t="n"/>
      <c r="L537" s="115" t="n"/>
      <c r="M537" s="115" t="n"/>
      <c r="N537" s="115" t="n"/>
      <c r="O537" s="115" t="n"/>
      <c r="P537" s="115" t="n"/>
      <c r="Q537" s="115" t="n"/>
      <c r="R537" s="115" t="n"/>
      <c r="S537" s="115" t="n"/>
      <c r="T537" s="115" t="n"/>
      <c r="U537" s="115" t="n"/>
    </row>
    <row r="538" outlineLevel="1">
      <c r="A538" s="8" t="n"/>
      <c r="B538" s="22" t="n"/>
      <c r="C538" s="115" t="n"/>
      <c r="D538" s="52" t="inlineStr">
        <is>
          <t>PACTO 3</t>
        </is>
      </c>
      <c r="E538" s="124" t="n"/>
      <c r="F538" s="11" t="n"/>
      <c r="G538" s="11" t="n"/>
      <c r="H538" s="11" t="n"/>
      <c r="I538" s="11" t="n"/>
      <c r="J538" s="11" t="n"/>
      <c r="K538" s="12" t="n"/>
      <c r="L538" s="119" t="n"/>
      <c r="M538" s="11" t="n"/>
      <c r="N538" s="12" t="n"/>
      <c r="O538" s="115" t="n"/>
      <c r="P538" s="119" t="n"/>
      <c r="Q538" s="11" t="n"/>
      <c r="R538" s="11" t="n"/>
      <c r="S538" s="11" t="n"/>
      <c r="T538" s="12" t="n"/>
      <c r="U538" s="115" t="n"/>
    </row>
    <row r="539" hidden="1" outlineLevel="2">
      <c r="A539" s="8" t="n"/>
      <c r="B539" s="22" t="n"/>
      <c r="C539" s="115" t="n"/>
      <c r="D539" s="52" t="inlineStr">
        <is>
          <t>O QUE EU DOU</t>
        </is>
      </c>
      <c r="E539" s="11" t="n"/>
      <c r="F539" s="11" t="n"/>
      <c r="G539" s="11" t="n"/>
      <c r="H539" s="11" t="n"/>
      <c r="I539" s="11" t="n"/>
      <c r="J539" s="11" t="n"/>
      <c r="K539" s="12" t="n"/>
      <c r="L539" s="52" t="inlineStr">
        <is>
          <t>O QUE EU RECEBO</t>
        </is>
      </c>
      <c r="M539" s="11" t="n"/>
      <c r="N539" s="11" t="n"/>
      <c r="O539" s="11" t="n"/>
      <c r="P539" s="11" t="n"/>
      <c r="Q539" s="11" t="n"/>
      <c r="R539" s="11" t="n"/>
      <c r="S539" s="11" t="n"/>
      <c r="T539" s="12" t="n"/>
      <c r="U539" s="115" t="n"/>
    </row>
    <row r="540" hidden="1" outlineLevel="2">
      <c r="A540" s="8" t="n"/>
      <c r="B540" s="22" t="n"/>
      <c r="C540" s="115" t="n"/>
      <c r="D540" s="120" t="n"/>
      <c r="E540" s="14" t="n"/>
      <c r="F540" s="14" t="n"/>
      <c r="G540" s="14" t="n"/>
      <c r="H540" s="14" t="n"/>
      <c r="I540" s="14" t="n"/>
      <c r="J540" s="14" t="n"/>
      <c r="K540" s="15" t="n"/>
      <c r="L540" s="120" t="n"/>
      <c r="M540" s="14" t="n"/>
      <c r="N540" s="14" t="n"/>
      <c r="O540" s="14" t="n"/>
      <c r="P540" s="14" t="n"/>
      <c r="Q540" s="14" t="n"/>
      <c r="R540" s="14" t="n"/>
      <c r="S540" s="14" t="n"/>
      <c r="T540" s="15" t="n"/>
      <c r="U540" s="115" t="n"/>
    </row>
    <row r="541" hidden="1" outlineLevel="2">
      <c r="A541" s="8" t="n"/>
      <c r="B541" s="22" t="n"/>
      <c r="C541" s="115" t="n"/>
      <c r="D541" s="16" t="n"/>
      <c r="K541" s="17" t="n"/>
      <c r="L541" s="16" t="n"/>
      <c r="T541" s="17" t="n"/>
      <c r="U541" s="115" t="n"/>
    </row>
    <row r="542" hidden="1" outlineLevel="2">
      <c r="A542" s="8" t="n"/>
      <c r="B542" s="22" t="n"/>
      <c r="C542" s="115" t="n"/>
      <c r="D542" s="16" t="n"/>
      <c r="K542" s="17" t="n"/>
      <c r="L542" s="16" t="n"/>
      <c r="T542" s="17" t="n"/>
      <c r="U542" s="115" t="n"/>
    </row>
    <row r="543" hidden="1" outlineLevel="2">
      <c r="A543" s="8" t="n"/>
      <c r="B543" s="22" t="n"/>
      <c r="C543" s="115" t="n"/>
      <c r="D543" s="18" t="n"/>
      <c r="E543" s="19" t="n"/>
      <c r="F543" s="19" t="n"/>
      <c r="G543" s="19" t="n"/>
      <c r="H543" s="19" t="n"/>
      <c r="I543" s="19" t="n"/>
      <c r="J543" s="19" t="n"/>
      <c r="K543" s="20" t="n"/>
      <c r="L543" s="18" t="n"/>
      <c r="M543" s="19" t="n"/>
      <c r="N543" s="19" t="n"/>
      <c r="O543" s="19" t="n"/>
      <c r="P543" s="19" t="n"/>
      <c r="Q543" s="19" t="n"/>
      <c r="R543" s="19" t="n"/>
      <c r="S543" s="19" t="n"/>
      <c r="T543" s="20" t="n"/>
      <c r="U543" s="115" t="n"/>
    </row>
    <row r="544" hidden="1" outlineLevel="2">
      <c r="A544" s="8" t="n"/>
      <c r="B544" s="22" t="n"/>
      <c r="C544" s="115" t="n"/>
      <c r="D544" s="52" t="inlineStr">
        <is>
          <t>CLÁUSULA, COM QUEM FOI FECHADO E O QUE ACONTECE SE QUEBRAR</t>
        </is>
      </c>
      <c r="E544" s="11" t="n"/>
      <c r="F544" s="11" t="n"/>
      <c r="G544" s="11" t="n"/>
      <c r="H544" s="11" t="n"/>
      <c r="I544" s="11" t="n"/>
      <c r="J544" s="11" t="n"/>
      <c r="K544" s="11" t="n"/>
      <c r="L544" s="11" t="n"/>
      <c r="M544" s="11" t="n"/>
      <c r="N544" s="11" t="n"/>
      <c r="O544" s="11" t="n"/>
      <c r="P544" s="11" t="n"/>
      <c r="Q544" s="11" t="n"/>
      <c r="R544" s="11" t="n"/>
      <c r="S544" s="11" t="n"/>
      <c r="T544" s="12" t="n"/>
      <c r="U544" s="115" t="n"/>
    </row>
    <row r="545" hidden="1" outlineLevel="2">
      <c r="A545" s="8" t="n"/>
      <c r="B545" s="22" t="n"/>
      <c r="C545" s="115" t="n"/>
      <c r="D545" s="120" t="n"/>
      <c r="E545" s="14" t="n"/>
      <c r="F545" s="14" t="n"/>
      <c r="G545" s="14" t="n"/>
      <c r="H545" s="14" t="n"/>
      <c r="I545" s="14" t="n"/>
      <c r="J545" s="14" t="n"/>
      <c r="K545" s="14" t="n"/>
      <c r="L545" s="14" t="n"/>
      <c r="M545" s="14" t="n"/>
      <c r="N545" s="14" t="n"/>
      <c r="O545" s="14" t="n"/>
      <c r="P545" s="14" t="n"/>
      <c r="Q545" s="14" t="n"/>
      <c r="R545" s="14" t="n"/>
      <c r="S545" s="14" t="n"/>
      <c r="T545" s="15" t="n"/>
      <c r="U545" s="115" t="n"/>
    </row>
    <row r="546" hidden="1" outlineLevel="2">
      <c r="A546" s="8" t="n"/>
      <c r="B546" s="22" t="n"/>
      <c r="C546" s="115" t="n"/>
      <c r="D546" s="18" t="n"/>
      <c r="E546" s="19" t="n"/>
      <c r="F546" s="19" t="n"/>
      <c r="G546" s="19" t="n"/>
      <c r="H546" s="19" t="n"/>
      <c r="I546" s="19" t="n"/>
      <c r="J546" s="19" t="n"/>
      <c r="K546" s="19" t="n"/>
      <c r="L546" s="19" t="n"/>
      <c r="M546" s="19" t="n"/>
      <c r="N546" s="19" t="n"/>
      <c r="O546" s="19" t="n"/>
      <c r="P546" s="19" t="n"/>
      <c r="Q546" s="19" t="n"/>
      <c r="R546" s="19" t="n"/>
      <c r="S546" s="19" t="n"/>
      <c r="T546" s="20" t="n"/>
      <c r="U546" s="115" t="n"/>
    </row>
    <row r="547">
      <c r="A547" s="8" t="n"/>
      <c r="B547" s="22" t="n"/>
      <c r="C547" s="115" t="n"/>
      <c r="D547" s="115" t="n"/>
      <c r="E547" s="115" t="n"/>
      <c r="F547" s="115" t="n"/>
      <c r="G547" s="115" t="n"/>
      <c r="H547" s="115" t="n"/>
      <c r="I547" s="115" t="n"/>
      <c r="J547" s="115" t="n"/>
      <c r="K547" s="115" t="n"/>
      <c r="L547" s="115" t="n"/>
      <c r="M547" s="115" t="n"/>
      <c r="N547" s="115" t="n"/>
      <c r="O547" s="115" t="n"/>
      <c r="P547" s="115" t="n"/>
      <c r="Q547" s="115" t="n"/>
      <c r="R547" s="115" t="n"/>
      <c r="S547" s="115" t="n"/>
      <c r="T547" s="115" t="n"/>
      <c r="U547" s="115" t="n"/>
    </row>
    <row r="548">
      <c r="A548" s="8" t="n"/>
      <c r="B548" s="22" t="n"/>
      <c r="C548" s="115" t="n"/>
      <c r="D548" s="115" t="n"/>
      <c r="E548" s="115" t="n"/>
      <c r="F548" s="115" t="n"/>
      <c r="G548" s="115" t="n"/>
      <c r="H548" s="115" t="n"/>
      <c r="I548" s="115" t="n"/>
      <c r="J548" s="115" t="n"/>
      <c r="K548" s="115" t="n"/>
      <c r="L548" s="115" t="n"/>
      <c r="M548" s="115" t="n"/>
      <c r="N548" s="115" t="n"/>
      <c r="O548" s="115" t="n"/>
      <c r="P548" s="115" t="n"/>
      <c r="Q548" s="115" t="n"/>
      <c r="R548" s="115" t="n"/>
      <c r="S548" s="115" t="n"/>
      <c r="T548" s="115" t="n"/>
      <c r="U548" s="115" t="n"/>
    </row>
  </sheetData>
  <mergeCells count="1361">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A33:B51"/>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R42:T4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R41:T41"/>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DADOS_AM!$CP$2:$CP$4</formula1>
    </dataValidation>
    <dataValidation sqref="D18 J18 P18" showDropDown="0" showInputMessage="0" showErrorMessage="0" allowBlank="1" type="list">
      <formula1>DADOS_AM!$CU$2:$CU$14</formula1>
    </dataValidation>
    <dataValidation sqref="P33" showDropDown="0" showInputMessage="0" showErrorMessage="0" allowBlank="1" type="list">
      <formula1>DADOS_AM!$BY$2:$BY$4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DADOS_AM!$BL$2:$BL$24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DADOS_AM!$BP$2:$BP$24</formula1>
    </dataValidation>
    <dataValidation sqref="D319 J319 P319" showDropDown="0" showInputMessage="0" showErrorMessage="0" allowBlank="1" type="list">
      <formula1>DADOS_AM!$DC$2:$DC$6</formula1>
    </dataValidation>
    <dataValidation sqref="D357" showDropDown="0" showInputMessage="0" showErrorMessage="0" allowBlank="1" type="list">
      <formula1>DADOS_AM!$DI$2:$DI$4</formula1>
    </dataValidation>
    <dataValidation sqref="D379 D387 D397 D405 D413 J379 J387 J397 J405 P379 P397 P405" showDropDown="0" showInputMessage="0" showErrorMessage="0" allowBlank="1" type="list">
      <formula1>DADOS_AM!$BW$2:$BW$24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DADOS_AM!$CG$2:$CG$32</formula1>
    </dataValidation>
    <dataValidation sqref="L518 L528 L538" showDropDown="0" showInputMessage="0" showErrorMessage="0" allowBlank="1" type="list">
      <formula1>DADOS_AM!$DO$2:$DO$5</formula1>
    </dataValidation>
    <dataValidation sqref="P518 P528 P538" showDropDown="0" showInputMessage="0" showErrorMessage="0" allowBlank="1" type="list">
      <formula1>DADOS_AM!$DR$2:$DR$5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0" t="inlineStr">
        <is>
          <t>呪術</t>
        </is>
      </c>
      <c r="H2" s="41" t="inlineStr">
        <is>
          <t>FICHA PESSOAL</t>
        </is>
      </c>
      <c r="AA2" s="8" t="n"/>
      <c r="AB2" s="42">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3">
        <f>DADOS!$F$1&amp;" · pertences e histórico do portador"</f>
        <v/>
      </c>
      <c r="AA4" s="8" t="n"/>
      <c r="AB4" s="44">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c r="AV5" s="28" t="n"/>
      <c r="AW5" s="28" t="n"/>
      <c r="AX5" s="28" t="n"/>
      <c r="AY5" s="28" t="n"/>
      <c r="AZ5" s="28" t="n"/>
      <c r="BA5" s="28" t="n"/>
      <c r="BB5" s="28" t="n"/>
      <c r="BC5" s="28" t="n"/>
      <c r="BD5" s="28" t="n"/>
      <c r="BE5" s="28" t="n"/>
      <c r="BF5" s="28" t="n"/>
      <c r="BG5" s="28" t="n"/>
      <c r="BH5" s="28" t="n"/>
      <c r="BI5" s="28" t="n"/>
      <c r="BJ5" s="28" t="n"/>
      <c r="BK5" s="28" t="n"/>
      <c r="BL5" s="28" t="n"/>
      <c r="BM5" s="28" t="n"/>
      <c r="BN5" s="28" t="n"/>
      <c r="BO5" s="28" t="n"/>
      <c r="BP5" s="28" t="n"/>
      <c r="BQ5" s="28" t="n"/>
      <c r="BR5" s="28" t="n"/>
      <c r="BS5" s="28" t="n"/>
      <c r="BT5" s="28" t="n"/>
    </row>
    <row r="6">
      <c r="A6" s="8" t="n"/>
      <c r="B6" s="22" t="n"/>
      <c r="C6" s="38" t="n"/>
      <c r="AS6" s="38" t="n"/>
      <c r="AT6" s="38" t="n"/>
      <c r="AU6" s="38" t="n"/>
      <c r="AV6" s="115" t="n"/>
      <c r="AW6" s="115" t="n"/>
      <c r="AX6" s="115" t="n"/>
      <c r="AY6" s="115" t="n"/>
      <c r="AZ6" s="115" t="n"/>
      <c r="BA6" s="115" t="n"/>
      <c r="BB6" s="115" t="n"/>
      <c r="BC6" s="115" t="n"/>
      <c r="BD6" s="115" t="n"/>
      <c r="BE6" s="115" t="n"/>
      <c r="BF6" s="115" t="n"/>
      <c r="BG6" s="115" t="n"/>
      <c r="BH6" s="115" t="n"/>
      <c r="BI6" s="115" t="n"/>
      <c r="BJ6" s="115" t="n"/>
      <c r="BK6" s="115" t="n"/>
      <c r="BL6" s="115" t="n"/>
      <c r="BM6" s="115" t="n"/>
      <c r="BN6" s="115" t="n"/>
      <c r="BO6" s="115" t="n"/>
      <c r="BP6" s="115" t="n"/>
      <c r="BQ6" s="115" t="n"/>
      <c r="BR6" s="115" t="n"/>
      <c r="BS6" s="115" t="n"/>
      <c r="BT6" s="115"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115" t="n"/>
      <c r="AV7" s="115" t="n"/>
      <c r="AW7" s="115" t="n"/>
      <c r="AX7" s="115" t="n"/>
      <c r="AY7" s="115" t="n"/>
      <c r="AZ7" s="115" t="n"/>
      <c r="BA7" s="115" t="n"/>
      <c r="BB7" s="115" t="n"/>
      <c r="BC7" s="115" t="n"/>
      <c r="BD7" s="115" t="n"/>
      <c r="BE7" s="115" t="n"/>
      <c r="BF7" s="115" t="n"/>
      <c r="BG7" s="115" t="n"/>
      <c r="BH7" s="115" t="n"/>
      <c r="BI7" s="115" t="n"/>
      <c r="BJ7" s="115" t="n"/>
      <c r="BK7" s="115" t="n"/>
      <c r="BL7" s="115" t="n"/>
      <c r="BM7" s="115" t="n"/>
      <c r="BN7" s="115" t="n"/>
      <c r="BO7" s="115" t="n"/>
      <c r="BP7" s="115" t="n"/>
      <c r="BQ7" s="115" t="n"/>
      <c r="BR7" s="115" t="n"/>
      <c r="BS7" s="115" t="n"/>
      <c r="BT7" s="115" t="n"/>
    </row>
    <row r="8">
      <c r="A8" s="45" t="inlineStr">
        <is>
          <t>PROJETO M</t>
        </is>
      </c>
      <c r="B8" s="17" t="n"/>
      <c r="C8" s="115" t="n"/>
      <c r="D8" s="118" t="inlineStr">
        <is>
          <t>DOSSIÊ</t>
        </is>
      </c>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c r="AA8" s="14" t="n"/>
      <c r="AB8" s="14" t="n"/>
      <c r="AC8" s="14" t="n"/>
      <c r="AD8" s="14" t="n"/>
      <c r="AE8" s="14" t="n"/>
      <c r="AF8" s="14" t="n"/>
      <c r="AG8" s="14" t="n"/>
      <c r="AH8" s="14" t="n"/>
      <c r="AI8" s="14" t="n"/>
      <c r="AJ8" s="14" t="n"/>
      <c r="AK8" s="14" t="n"/>
      <c r="AL8" s="14" t="n"/>
      <c r="AM8" s="14" t="n"/>
      <c r="AN8" s="14" t="n"/>
      <c r="AO8" s="14" t="n"/>
      <c r="AP8" s="14" t="n"/>
      <c r="AQ8" s="14" t="n"/>
      <c r="AR8" s="14" t="n"/>
      <c r="AS8" s="14" t="n"/>
      <c r="AT8" s="15" t="n"/>
      <c r="AU8" s="115" t="n"/>
      <c r="AV8" s="115" t="n"/>
      <c r="AW8" s="118" t="inlineStr">
        <is>
          <t>MISSÕES E XP</t>
        </is>
      </c>
      <c r="AX8" s="14" t="n"/>
      <c r="AY8" s="14" t="n"/>
      <c r="AZ8" s="14" t="n"/>
      <c r="BA8" s="14" t="n"/>
      <c r="BB8" s="14" t="n"/>
      <c r="BC8" s="14" t="n"/>
      <c r="BD8" s="14" t="n"/>
      <c r="BE8" s="14" t="n"/>
      <c r="BF8" s="14" t="n"/>
      <c r="BG8" s="15" t="n"/>
      <c r="BH8" s="115" t="n"/>
      <c r="BI8" s="118" t="inlineStr">
        <is>
          <t>MAIS MISSÕES</t>
        </is>
      </c>
      <c r="BJ8" s="14" t="n"/>
      <c r="BK8" s="14" t="n"/>
      <c r="BL8" s="14" t="n"/>
      <c r="BM8" s="14" t="n"/>
      <c r="BN8" s="14" t="n"/>
      <c r="BO8" s="14" t="n"/>
      <c r="BP8" s="14" t="n"/>
      <c r="BQ8" s="14" t="n"/>
      <c r="BR8" s="14" t="n"/>
      <c r="BS8" s="15" t="n"/>
      <c r="BT8" s="115" t="n"/>
    </row>
    <row r="9">
      <c r="B9" s="17" t="n"/>
      <c r="C9" s="115" t="n"/>
      <c r="D9" s="18" t="n"/>
      <c r="E9" s="19" t="n"/>
      <c r="F9" s="19" t="n"/>
      <c r="G9" s="19" t="n"/>
      <c r="H9" s="19" t="n"/>
      <c r="I9" s="19" t="n"/>
      <c r="J9" s="19" t="n"/>
      <c r="K9" s="19" t="n"/>
      <c r="L9" s="19" t="n"/>
      <c r="M9" s="19" t="n"/>
      <c r="N9" s="19" t="n"/>
      <c r="O9" s="19" t="n"/>
      <c r="P9" s="19" t="n"/>
      <c r="Q9" s="19" t="n"/>
      <c r="R9" s="19" t="n"/>
      <c r="S9" s="19" t="n"/>
      <c r="T9" s="19" t="n"/>
      <c r="U9" s="19" t="n"/>
      <c r="V9" s="19" t="n"/>
      <c r="W9" s="19" t="n"/>
      <c r="X9" s="19" t="n"/>
      <c r="Y9" s="19" t="n"/>
      <c r="Z9" s="19" t="n"/>
      <c r="AA9" s="19" t="n"/>
      <c r="AB9" s="19" t="n"/>
      <c r="AC9" s="19" t="n"/>
      <c r="AD9" s="19" t="n"/>
      <c r="AE9" s="19" t="n"/>
      <c r="AF9" s="19" t="n"/>
      <c r="AG9" s="19" t="n"/>
      <c r="AH9" s="19" t="n"/>
      <c r="AI9" s="19" t="n"/>
      <c r="AJ9" s="19" t="n"/>
      <c r="AK9" s="19" t="n"/>
      <c r="AL9" s="19" t="n"/>
      <c r="AM9" s="19" t="n"/>
      <c r="AN9" s="19" t="n"/>
      <c r="AO9" s="19" t="n"/>
      <c r="AP9" s="19" t="n"/>
      <c r="AQ9" s="19" t="n"/>
      <c r="AR9" s="19" t="n"/>
      <c r="AS9" s="19" t="n"/>
      <c r="AT9" s="20" t="n"/>
      <c r="AU9" s="115" t="n"/>
      <c r="AV9" s="115" t="n"/>
      <c r="AW9" s="18" t="n"/>
      <c r="AX9" s="19" t="n"/>
      <c r="AY9" s="19" t="n"/>
      <c r="AZ9" s="19" t="n"/>
      <c r="BA9" s="19" t="n"/>
      <c r="BB9" s="19" t="n"/>
      <c r="BC9" s="19" t="n"/>
      <c r="BD9" s="19" t="n"/>
      <c r="BE9" s="19" t="n"/>
      <c r="BF9" s="19" t="n"/>
      <c r="BG9" s="20" t="n"/>
      <c r="BH9" s="115" t="n"/>
      <c r="BI9" s="18" t="n"/>
      <c r="BJ9" s="19" t="n"/>
      <c r="BK9" s="19" t="n"/>
      <c r="BL9" s="19" t="n"/>
      <c r="BM9" s="19" t="n"/>
      <c r="BN9" s="19" t="n"/>
      <c r="BO9" s="19" t="n"/>
      <c r="BP9" s="19" t="n"/>
      <c r="BQ9" s="19" t="n"/>
      <c r="BR9" s="19" t="n"/>
      <c r="BS9" s="20" t="n"/>
      <c r="BT9" s="115" t="n"/>
    </row>
    <row r="10">
      <c r="B10" s="17" t="n"/>
      <c r="C10" s="115" t="n"/>
      <c r="D10" s="135" t="inlineStr">
        <is>
          <t>FOTO DO PERSONAGEM</t>
        </is>
      </c>
      <c r="E10" s="14" t="n"/>
      <c r="F10" s="14" t="n"/>
      <c r="G10" s="14" t="n"/>
      <c r="H10" s="14" t="n"/>
      <c r="I10" s="14" t="n"/>
      <c r="J10" s="14" t="n"/>
      <c r="K10" s="14" t="n"/>
      <c r="L10" s="14" t="n"/>
      <c r="M10" s="14" t="n"/>
      <c r="N10" s="14" t="n"/>
      <c r="O10" s="15" t="n"/>
      <c r="P10" s="115" t="n"/>
      <c r="Q10" s="52" t="inlineStr">
        <is>
          <t>NOME</t>
        </is>
      </c>
      <c r="R10" s="11" t="n"/>
      <c r="S10" s="11" t="n"/>
      <c r="T10" s="11" t="n"/>
      <c r="U10" s="11" t="n"/>
      <c r="V10" s="11" t="n"/>
      <c r="W10" s="11" t="n"/>
      <c r="X10" s="11" t="n"/>
      <c r="Y10" s="11" t="n"/>
      <c r="Z10" s="12" t="n"/>
      <c r="AA10" s="115" t="n"/>
      <c r="AB10" s="52" t="inlineStr">
        <is>
          <t>GRAU</t>
        </is>
      </c>
      <c r="AC10" s="11" t="n"/>
      <c r="AD10" s="11" t="n"/>
      <c r="AE10" s="11" t="n"/>
      <c r="AF10" s="11" t="n"/>
      <c r="AG10" s="12" t="n"/>
      <c r="AH10" s="115" t="n"/>
      <c r="AI10" s="52" t="inlineStr">
        <is>
          <t>IDADE</t>
        </is>
      </c>
      <c r="AJ10" s="11" t="n"/>
      <c r="AK10" s="11" t="n"/>
      <c r="AL10" s="11" t="n"/>
      <c r="AM10" s="12" t="n"/>
      <c r="AN10" s="115" t="n"/>
      <c r="AO10" s="52" t="inlineStr">
        <is>
          <t>ALTURA</t>
        </is>
      </c>
      <c r="AP10" s="11" t="n"/>
      <c r="AQ10" s="11" t="n"/>
      <c r="AR10" s="11" t="n"/>
      <c r="AS10" s="11" t="n"/>
      <c r="AT10" s="12" t="n"/>
      <c r="AU10" s="115" t="n"/>
      <c r="AV10" s="115" t="n"/>
      <c r="AW10" s="52" t="inlineStr">
        <is>
          <t>XP TOTAL</t>
        </is>
      </c>
      <c r="AX10" s="11" t="n"/>
      <c r="AY10" s="11" t="n"/>
      <c r="AZ10" s="11" t="n"/>
      <c r="BA10" s="12" t="n"/>
      <c r="BB10" s="115" t="n"/>
      <c r="BC10" s="52">
        <f>IF(DADOS!$CZ$45&gt;=30,"NÍVEL MÁXIMO","FALTA PARA O NÍVEL "&amp;(DADOS!$CZ$45+1))</f>
        <v/>
      </c>
      <c r="BD10" s="11" t="n"/>
      <c r="BE10" s="11" t="n"/>
      <c r="BF10" s="11" t="n"/>
      <c r="BG10" s="12" t="n"/>
      <c r="BH10" s="115" t="n"/>
      <c r="BI10" s="115" t="n"/>
      <c r="BJ10" s="115" t="n"/>
      <c r="BK10" s="115" t="n"/>
      <c r="BL10" s="115" t="n"/>
      <c r="BM10" s="115" t="n"/>
      <c r="BN10" s="115" t="n"/>
      <c r="BO10" s="115" t="n"/>
      <c r="BP10" s="115" t="n"/>
      <c r="BQ10" s="115" t="n"/>
      <c r="BR10" s="115" t="n"/>
      <c r="BS10" s="115" t="n"/>
      <c r="BT10" s="115" t="n"/>
    </row>
    <row r="11">
      <c r="B11" s="17" t="n"/>
      <c r="C11" s="115" t="n"/>
      <c r="D11" s="16" t="n"/>
      <c r="O11" s="17" t="n"/>
      <c r="P11" s="115" t="n"/>
      <c r="Q11" s="80">
        <f>FICHA!AB2</f>
        <v/>
      </c>
      <c r="R11" s="14" t="n"/>
      <c r="S11" s="14" t="n"/>
      <c r="T11" s="14" t="n"/>
      <c r="U11" s="14" t="n"/>
      <c r="V11" s="14" t="n"/>
      <c r="W11" s="14" t="n"/>
      <c r="X11" s="14" t="n"/>
      <c r="Y11" s="14" t="n"/>
      <c r="Z11" s="15" t="n"/>
      <c r="AA11" s="115" t="n"/>
      <c r="AB11" s="80" t="inlineStr">
        <is>
          <t>Grau 4</t>
        </is>
      </c>
      <c r="AC11" s="14" t="n"/>
      <c r="AD11" s="14" t="n"/>
      <c r="AE11" s="14" t="n"/>
      <c r="AF11" s="14" t="n"/>
      <c r="AG11" s="15" t="n"/>
      <c r="AH11" s="115" t="n"/>
      <c r="AI11" s="80" t="n"/>
      <c r="AJ11" s="14" t="n"/>
      <c r="AK11" s="14" t="n"/>
      <c r="AL11" s="14" t="n"/>
      <c r="AM11" s="15" t="n"/>
      <c r="AN11" s="115" t="n"/>
      <c r="AO11" s="80" t="n"/>
      <c r="AP11" s="14" t="n"/>
      <c r="AQ11" s="14" t="n"/>
      <c r="AR11" s="14" t="n"/>
      <c r="AS11" s="14" t="n"/>
      <c r="AT11" s="15" t="n"/>
      <c r="AU11" s="115" t="n"/>
      <c r="AV11" s="115" t="n"/>
      <c r="AW11" s="89">
        <f>DADOS!$CZ$44</f>
        <v/>
      </c>
      <c r="AX11" s="14" t="n"/>
      <c r="AY11" s="14" t="n"/>
      <c r="AZ11" s="14" t="n"/>
      <c r="BA11" s="15" t="n"/>
      <c r="BB11" s="115" t="n"/>
      <c r="BC11" s="89">
        <f>IF(DADOS!$CZ$46&amp;""="","—",MAX(0,DADOS!$CZ$46-DADOS!$CZ$44))</f>
        <v/>
      </c>
      <c r="BD11" s="15" t="n"/>
      <c r="BE11" s="127">
        <f>IFERROR(SPARKLINE(MAX(0,DADOS!$CZ$44-DADOS!$CZ$47),{"charttype","bar";"max",MAX(1,N(DADOS!$CZ$46)-DADOS!$CZ$47);"color1",DADOS!$CZ$48}),"")</f>
        <v/>
      </c>
      <c r="BF11" s="14" t="n"/>
      <c r="BG11" s="15" t="n"/>
      <c r="BH11" s="115" t="n"/>
      <c r="BI11" s="115" t="n"/>
      <c r="BJ11" s="115" t="n"/>
      <c r="BK11" s="115" t="n"/>
      <c r="BL11" s="115" t="n"/>
      <c r="BM11" s="115" t="n"/>
      <c r="BN11" s="115" t="n"/>
      <c r="BO11" s="115" t="n"/>
      <c r="BP11" s="115" t="n"/>
      <c r="BQ11" s="115" t="n"/>
      <c r="BR11" s="115" t="n"/>
      <c r="BS11" s="115" t="n"/>
      <c r="BT11" s="115" t="n"/>
    </row>
    <row r="12">
      <c r="B12" s="17" t="n"/>
      <c r="C12" s="115" t="n"/>
      <c r="D12" s="16" t="n"/>
      <c r="O12" s="17" t="n"/>
      <c r="P12" s="115" t="n"/>
      <c r="Q12" s="18" t="n"/>
      <c r="R12" s="19" t="n"/>
      <c r="S12" s="19" t="n"/>
      <c r="T12" s="19" t="n"/>
      <c r="U12" s="19" t="n"/>
      <c r="V12" s="19" t="n"/>
      <c r="W12" s="19" t="n"/>
      <c r="X12" s="19" t="n"/>
      <c r="Y12" s="19" t="n"/>
      <c r="Z12" s="20" t="n"/>
      <c r="AA12" s="115" t="n"/>
      <c r="AB12" s="18" t="n"/>
      <c r="AC12" s="19" t="n"/>
      <c r="AD12" s="19" t="n"/>
      <c r="AE12" s="19" t="n"/>
      <c r="AF12" s="19" t="n"/>
      <c r="AG12" s="20" t="n"/>
      <c r="AH12" s="115" t="n"/>
      <c r="AI12" s="18" t="n"/>
      <c r="AJ12" s="19" t="n"/>
      <c r="AK12" s="19" t="n"/>
      <c r="AL12" s="19" t="n"/>
      <c r="AM12" s="20" t="n"/>
      <c r="AN12" s="115" t="n"/>
      <c r="AO12" s="18" t="n"/>
      <c r="AP12" s="19" t="n"/>
      <c r="AQ12" s="19" t="n"/>
      <c r="AR12" s="19" t="n"/>
      <c r="AS12" s="19" t="n"/>
      <c r="AT12" s="20" t="n"/>
      <c r="AU12" s="115" t="n"/>
      <c r="AV12" s="115" t="n"/>
      <c r="AW12" s="18" t="n"/>
      <c r="AX12" s="19" t="n"/>
      <c r="AY12" s="19" t="n"/>
      <c r="AZ12" s="19" t="n"/>
      <c r="BA12" s="20" t="n"/>
      <c r="BB12" s="115" t="n"/>
      <c r="BC12" s="18" t="n"/>
      <c r="BD12" s="20" t="n"/>
      <c r="BE12" s="18" t="n"/>
      <c r="BF12" s="19" t="n"/>
      <c r="BG12" s="20" t="n"/>
      <c r="BH12" s="115" t="n"/>
      <c r="BI12" s="115" t="n"/>
      <c r="BJ12" s="115" t="n"/>
      <c r="BK12" s="115" t="n"/>
      <c r="BL12" s="115" t="n"/>
      <c r="BM12" s="115" t="n"/>
      <c r="BN12" s="115" t="n"/>
      <c r="BO12" s="115" t="n"/>
      <c r="BP12" s="115" t="n"/>
      <c r="BQ12" s="115" t="n"/>
      <c r="BR12" s="115" t="n"/>
      <c r="BS12" s="115" t="n"/>
      <c r="BT12" s="115" t="n"/>
    </row>
    <row r="13">
      <c r="B13" s="17" t="n"/>
      <c r="C13" s="115" t="n"/>
      <c r="D13" s="16" t="n"/>
      <c r="O13" s="17" t="n"/>
      <c r="P13" s="115" t="n"/>
      <c r="Q13" s="115" t="n"/>
      <c r="R13" s="115" t="n"/>
      <c r="S13" s="115" t="n"/>
      <c r="T13" s="115" t="n"/>
      <c r="U13" s="115" t="n"/>
      <c r="V13" s="115" t="n"/>
      <c r="W13" s="115" t="n"/>
      <c r="X13" s="115" t="n"/>
      <c r="Y13" s="115" t="n"/>
      <c r="Z13" s="115" t="n"/>
      <c r="AA13" s="115" t="n"/>
      <c r="AB13" s="115" t="n"/>
      <c r="AC13" s="115" t="n"/>
      <c r="AD13" s="115" t="n"/>
      <c r="AE13" s="115" t="n"/>
      <c r="AF13" s="115" t="n"/>
      <c r="AG13" s="115" t="n"/>
      <c r="AH13" s="115" t="n"/>
      <c r="AI13" s="115" t="n"/>
      <c r="AJ13" s="115" t="n"/>
      <c r="AK13" s="115" t="n"/>
      <c r="AL13" s="115" t="n"/>
      <c r="AM13" s="115" t="n"/>
      <c r="AN13" s="115" t="n"/>
      <c r="AO13" s="115" t="n"/>
      <c r="AP13" s="115" t="n"/>
      <c r="AQ13" s="115" t="n"/>
      <c r="AR13" s="115" t="n"/>
      <c r="AS13" s="115" t="n"/>
      <c r="AT13" s="115" t="n"/>
      <c r="AU13" s="115" t="n"/>
      <c r="AV13" s="115" t="n"/>
      <c r="AW13" s="115" t="n"/>
      <c r="AX13" s="115" t="n"/>
      <c r="AY13" s="115" t="n"/>
      <c r="AZ13" s="115" t="n"/>
      <c r="BA13" s="115" t="n"/>
      <c r="BB13" s="115" t="n"/>
      <c r="BC13" s="115" t="n"/>
      <c r="BD13" s="115" t="n"/>
      <c r="BE13" s="115" t="n"/>
      <c r="BF13" s="115" t="n"/>
      <c r="BG13" s="115" t="n"/>
      <c r="BH13" s="115" t="n"/>
      <c r="BI13" s="115" t="n"/>
      <c r="BJ13" s="115" t="n"/>
      <c r="BK13" s="115" t="n"/>
      <c r="BL13" s="115" t="n"/>
      <c r="BM13" s="115" t="n"/>
      <c r="BN13" s="115" t="n"/>
      <c r="BO13" s="115" t="n"/>
      <c r="BP13" s="115" t="n"/>
      <c r="BQ13" s="115" t="n"/>
      <c r="BR13" s="115" t="n"/>
      <c r="BS13" s="115" t="n"/>
      <c r="BT13" s="115" t="n"/>
    </row>
    <row r="14">
      <c r="B14" s="17" t="n"/>
      <c r="C14" s="115" t="n"/>
      <c r="D14" s="16" t="n"/>
      <c r="O14" s="17" t="n"/>
      <c r="P14" s="115" t="n"/>
      <c r="Q14" s="52" t="inlineStr">
        <is>
          <t>OLHOS</t>
        </is>
      </c>
      <c r="R14" s="11" t="n"/>
      <c r="S14" s="11" t="n"/>
      <c r="T14" s="11" t="n"/>
      <c r="U14" s="11" t="n"/>
      <c r="V14" s="11" t="n"/>
      <c r="W14" s="12" t="n"/>
      <c r="X14" s="115" t="n"/>
      <c r="Y14" s="52" t="inlineStr">
        <is>
          <t>CABELO</t>
        </is>
      </c>
      <c r="Z14" s="11" t="n"/>
      <c r="AA14" s="11" t="n"/>
      <c r="AB14" s="11" t="n"/>
      <c r="AC14" s="11" t="n"/>
      <c r="AD14" s="11" t="n"/>
      <c r="AE14" s="12" t="n"/>
      <c r="AF14" s="115" t="n"/>
      <c r="AG14" s="52" t="inlineStr">
        <is>
          <t>PELE</t>
        </is>
      </c>
      <c r="AH14" s="11" t="n"/>
      <c r="AI14" s="11" t="n"/>
      <c r="AJ14" s="11" t="n"/>
      <c r="AK14" s="11" t="n"/>
      <c r="AL14" s="11" t="n"/>
      <c r="AM14" s="12" t="n"/>
      <c r="AN14" s="115" t="n"/>
      <c r="AO14" s="52" t="inlineStr">
        <is>
          <t>GÊNERO</t>
        </is>
      </c>
      <c r="AP14" s="11" t="n"/>
      <c r="AQ14" s="11" t="n"/>
      <c r="AR14" s="11" t="n"/>
      <c r="AS14" s="11" t="n"/>
      <c r="AT14" s="12" t="n"/>
      <c r="AU14" s="115" t="n"/>
      <c r="AV14" s="115" t="n"/>
      <c r="AW14" s="52" t="inlineStr">
        <is>
          <t>MISSÃO</t>
        </is>
      </c>
      <c r="AX14" s="52" t="inlineStr">
        <is>
          <t>XP</t>
        </is>
      </c>
      <c r="AY14" s="52" t="inlineStr">
        <is>
          <t>ADICIONAL</t>
        </is>
      </c>
      <c r="AZ14" s="52" t="inlineStr">
        <is>
          <t>DESCONTO</t>
        </is>
      </c>
      <c r="BA14" s="52" t="inlineStr">
        <is>
          <t>TOTAL</t>
        </is>
      </c>
      <c r="BB14" s="115" t="n"/>
      <c r="BC14" s="52" t="inlineStr">
        <is>
          <t>MISSÃO</t>
        </is>
      </c>
      <c r="BD14" s="52" t="inlineStr">
        <is>
          <t>XP</t>
        </is>
      </c>
      <c r="BE14" s="52" t="inlineStr">
        <is>
          <t>ADICIONAL</t>
        </is>
      </c>
      <c r="BF14" s="52" t="inlineStr">
        <is>
          <t>DESCONTO</t>
        </is>
      </c>
      <c r="BG14" s="52" t="inlineStr">
        <is>
          <t>TOTAL</t>
        </is>
      </c>
      <c r="BH14" s="115" t="n"/>
      <c r="BI14" s="52" t="inlineStr">
        <is>
          <t>MISSÃO</t>
        </is>
      </c>
      <c r="BJ14" s="52" t="inlineStr">
        <is>
          <t>XP</t>
        </is>
      </c>
      <c r="BK14" s="52" t="inlineStr">
        <is>
          <t>ADICIONAL</t>
        </is>
      </c>
      <c r="BL14" s="52" t="inlineStr">
        <is>
          <t>DESCONTO</t>
        </is>
      </c>
      <c r="BM14" s="52" t="inlineStr">
        <is>
          <t>TOTAL</t>
        </is>
      </c>
      <c r="BN14" s="115" t="n"/>
      <c r="BO14" s="52" t="inlineStr">
        <is>
          <t>MISSÃO</t>
        </is>
      </c>
      <c r="BP14" s="52" t="inlineStr">
        <is>
          <t>XP</t>
        </is>
      </c>
      <c r="BQ14" s="52" t="inlineStr">
        <is>
          <t>ADICIONAL</t>
        </is>
      </c>
      <c r="BR14" s="52" t="inlineStr">
        <is>
          <t>DESCONTO</t>
        </is>
      </c>
      <c r="BS14" s="52" t="inlineStr">
        <is>
          <t>TOTAL</t>
        </is>
      </c>
      <c r="BT14" s="115" t="n"/>
    </row>
    <row r="15">
      <c r="B15" s="17" t="n"/>
      <c r="C15" s="115" t="n"/>
      <c r="D15" s="16" t="n"/>
      <c r="O15" s="17" t="n"/>
      <c r="P15" s="115" t="n"/>
      <c r="Q15" s="80" t="n"/>
      <c r="R15" s="14" t="n"/>
      <c r="S15" s="14" t="n"/>
      <c r="T15" s="14" t="n"/>
      <c r="U15" s="14" t="n"/>
      <c r="V15" s="14" t="n"/>
      <c r="W15" s="15" t="n"/>
      <c r="X15" s="115" t="n"/>
      <c r="Y15" s="80" t="n"/>
      <c r="Z15" s="14" t="n"/>
      <c r="AA15" s="14" t="n"/>
      <c r="AB15" s="14" t="n"/>
      <c r="AC15" s="14" t="n"/>
      <c r="AD15" s="14" t="n"/>
      <c r="AE15" s="15" t="n"/>
      <c r="AF15" s="115" t="n"/>
      <c r="AG15" s="80" t="n"/>
      <c r="AH15" s="14" t="n"/>
      <c r="AI15" s="14" t="n"/>
      <c r="AJ15" s="14" t="n"/>
      <c r="AK15" s="14" t="n"/>
      <c r="AL15" s="14" t="n"/>
      <c r="AM15" s="15" t="n"/>
      <c r="AN15" s="115" t="n"/>
      <c r="AO15" s="80" t="n"/>
      <c r="AP15" s="14" t="n"/>
      <c r="AQ15" s="14" t="n"/>
      <c r="AR15" s="14" t="n"/>
      <c r="AS15" s="14" t="n"/>
      <c r="AT15" s="15" t="n"/>
      <c r="AU15" s="115" t="n"/>
      <c r="AV15" s="115" t="n"/>
      <c r="AW15" s="127" t="n"/>
      <c r="AX15" s="127" t="n"/>
      <c r="AY15" s="119" t="n"/>
      <c r="AZ15" s="119" t="n"/>
      <c r="BA15" s="119">
        <f>IF($AX15="","",IFERROR(FLOOR(ROUND(VLOOKUP($AX15,DADOS!$CL$5:$CM$10,2,FALSE)*IF($AY15="",1,VLOOKUP($AY15,DADOS!$CO$5:$CP$7,2,FALSE))*IF($AZ15="",1,VLOOKUP($AZ15,DADOS!$CR$5:$CS$9,2,FALSE)),4),12.5),""))</f>
        <v/>
      </c>
      <c r="BB15" s="115" t="n"/>
      <c r="BC15" s="127" t="n"/>
      <c r="BD15" s="127" t="n"/>
      <c r="BE15" s="119" t="n"/>
      <c r="BF15" s="119" t="n"/>
      <c r="BG15" s="119">
        <f>IF($BD15="","",IFERROR(FLOOR(ROUND(VLOOKUP($BD15,DADOS!$CL$5:$CM$10,2,FALSE)*IF($BE15="",1,VLOOKUP($BE15,DADOS!$CO$5:$CP$7,2,FALSE))*IF($BF15="",1,VLOOKUP($BF15,DADOS!$CR$5:$CS$9,2,FALSE)),4),12.5),""))</f>
        <v/>
      </c>
      <c r="BH15" s="115" t="n"/>
      <c r="BI15" s="127" t="n"/>
      <c r="BJ15" s="127" t="n"/>
      <c r="BK15" s="119" t="n"/>
      <c r="BL15" s="119" t="n"/>
      <c r="BM15" s="119">
        <f>IF($BJ15="","",IFERROR(FLOOR(ROUND(VLOOKUP($BJ15,DADOS!$CL$5:$CM$10,2,FALSE)*IF($BK15="",1,VLOOKUP($BK15,DADOS!$CO$5:$CP$7,2,FALSE))*IF($BL15="",1,VLOOKUP($BL15,DADOS!$CR$5:$CS$9,2,FALSE)),4),12.5),""))</f>
        <v/>
      </c>
      <c r="BN15" s="115" t="n"/>
      <c r="BO15" s="127" t="n"/>
      <c r="BP15" s="127" t="n"/>
      <c r="BQ15" s="119" t="n"/>
      <c r="BR15" s="119" t="n"/>
      <c r="BS15" s="119">
        <f>IF($BP15="","",IFERROR(FLOOR(ROUND(VLOOKUP($BP15,DADOS!$CL$5:$CM$10,2,FALSE)*IF($BQ15="",1,VLOOKUP($BQ15,DADOS!$CO$5:$CP$7,2,FALSE))*IF($BR15="",1,VLOOKUP($BR15,DADOS!$CR$5:$CS$9,2,FALSE)),4),12.5),""))</f>
        <v/>
      </c>
      <c r="BT15" s="115" t="n"/>
    </row>
    <row r="16">
      <c r="B16" s="17" t="n"/>
      <c r="C16" s="115" t="n"/>
      <c r="D16" s="16" t="n"/>
      <c r="O16" s="17" t="n"/>
      <c r="P16" s="115" t="n"/>
      <c r="Q16" s="18" t="n"/>
      <c r="R16" s="19" t="n"/>
      <c r="S16" s="19" t="n"/>
      <c r="T16" s="19" t="n"/>
      <c r="U16" s="19" t="n"/>
      <c r="V16" s="19" t="n"/>
      <c r="W16" s="20" t="n"/>
      <c r="X16" s="115" t="n"/>
      <c r="Y16" s="18" t="n"/>
      <c r="Z16" s="19" t="n"/>
      <c r="AA16" s="19" t="n"/>
      <c r="AB16" s="19" t="n"/>
      <c r="AC16" s="19" t="n"/>
      <c r="AD16" s="19" t="n"/>
      <c r="AE16" s="20" t="n"/>
      <c r="AF16" s="115" t="n"/>
      <c r="AG16" s="18" t="n"/>
      <c r="AH16" s="19" t="n"/>
      <c r="AI16" s="19" t="n"/>
      <c r="AJ16" s="19" t="n"/>
      <c r="AK16" s="19" t="n"/>
      <c r="AL16" s="19" t="n"/>
      <c r="AM16" s="20" t="n"/>
      <c r="AN16" s="115" t="n"/>
      <c r="AO16" s="18" t="n"/>
      <c r="AP16" s="19" t="n"/>
      <c r="AQ16" s="19" t="n"/>
      <c r="AR16" s="19" t="n"/>
      <c r="AS16" s="19" t="n"/>
      <c r="AT16" s="20" t="n"/>
      <c r="AU16" s="115" t="n"/>
      <c r="AV16" s="115" t="n"/>
      <c r="AW16" s="127" t="n"/>
      <c r="AX16" s="127" t="n"/>
      <c r="AY16" s="119" t="n"/>
      <c r="AZ16" s="119" t="n"/>
      <c r="BA16" s="119">
        <f>IF($AX16="","",IFERROR(FLOOR(ROUND(VLOOKUP($AX16,DADOS!$CL$5:$CM$10,2,FALSE)*IF($AY16="",1,VLOOKUP($AY16,DADOS!$CO$5:$CP$7,2,FALSE))*IF($AZ16="",1,VLOOKUP($AZ16,DADOS!$CR$5:$CS$9,2,FALSE)),4),12.5),""))</f>
        <v/>
      </c>
      <c r="BB16" s="115" t="n"/>
      <c r="BC16" s="127" t="n"/>
      <c r="BD16" s="127" t="n"/>
      <c r="BE16" s="119" t="n"/>
      <c r="BF16" s="119" t="n"/>
      <c r="BG16" s="119">
        <f>IF($BD16="","",IFERROR(FLOOR(ROUND(VLOOKUP($BD16,DADOS!$CL$5:$CM$10,2,FALSE)*IF($BE16="",1,VLOOKUP($BE16,DADOS!$CO$5:$CP$7,2,FALSE))*IF($BF16="",1,VLOOKUP($BF16,DADOS!$CR$5:$CS$9,2,FALSE)),4),12.5),""))</f>
        <v/>
      </c>
      <c r="BH16" s="115" t="n"/>
      <c r="BI16" s="127" t="n"/>
      <c r="BJ16" s="127" t="n"/>
      <c r="BK16" s="119" t="n"/>
      <c r="BL16" s="119" t="n"/>
      <c r="BM16" s="119">
        <f>IF($BJ16="","",IFERROR(FLOOR(ROUND(VLOOKUP($BJ16,DADOS!$CL$5:$CM$10,2,FALSE)*IF($BK16="",1,VLOOKUP($BK16,DADOS!$CO$5:$CP$7,2,FALSE))*IF($BL16="",1,VLOOKUP($BL16,DADOS!$CR$5:$CS$9,2,FALSE)),4),12.5),""))</f>
        <v/>
      </c>
      <c r="BN16" s="115" t="n"/>
      <c r="BO16" s="127" t="n"/>
      <c r="BP16" s="127" t="n"/>
      <c r="BQ16" s="119" t="n"/>
      <c r="BR16" s="119" t="n"/>
      <c r="BS16" s="119">
        <f>IF($BP16="","",IFERROR(FLOOR(ROUND(VLOOKUP($BP16,DADOS!$CL$5:$CM$10,2,FALSE)*IF($BQ16="",1,VLOOKUP($BQ16,DADOS!$CO$5:$CP$7,2,FALSE))*IF($BR16="",1,VLOOKUP($BR16,DADOS!$CR$5:$CS$9,2,FALSE)),4),12.5),""))</f>
        <v/>
      </c>
      <c r="BT16" s="115" t="n"/>
    </row>
    <row r="17">
      <c r="B17" s="17" t="n"/>
      <c r="C17" s="115" t="n"/>
      <c r="D17" s="16" t="n"/>
      <c r="O17" s="17" t="n"/>
      <c r="P17" s="115" t="n"/>
      <c r="Q17" s="115" t="n"/>
      <c r="R17" s="115" t="n"/>
      <c r="S17" s="115" t="n"/>
      <c r="T17" s="115" t="n"/>
      <c r="U17" s="115" t="n"/>
      <c r="V17" s="115" t="n"/>
      <c r="W17" s="115" t="n"/>
      <c r="X17" s="115" t="n"/>
      <c r="Y17" s="115" t="n"/>
      <c r="Z17" s="115" t="n"/>
      <c r="AA17" s="115" t="n"/>
      <c r="AB17" s="115" t="n"/>
      <c r="AC17" s="115" t="n"/>
      <c r="AD17" s="115" t="n"/>
      <c r="AE17" s="115" t="n"/>
      <c r="AF17" s="115" t="n"/>
      <c r="AG17" s="115" t="n"/>
      <c r="AH17" s="115" t="n"/>
      <c r="AI17" s="115" t="n"/>
      <c r="AJ17" s="115" t="n"/>
      <c r="AK17" s="115" t="n"/>
      <c r="AL17" s="115" t="n"/>
      <c r="AM17" s="115" t="n"/>
      <c r="AN17" s="115" t="n"/>
      <c r="AO17" s="115" t="n"/>
      <c r="AP17" s="115" t="n"/>
      <c r="AQ17" s="115" t="n"/>
      <c r="AR17" s="115" t="n"/>
      <c r="AS17" s="115" t="n"/>
      <c r="AT17" s="115" t="n"/>
      <c r="AU17" s="115" t="n"/>
      <c r="AV17" s="115" t="n"/>
      <c r="AW17" s="127" t="n"/>
      <c r="AX17" s="127" t="n"/>
      <c r="AY17" s="119" t="n"/>
      <c r="AZ17" s="119" t="n"/>
      <c r="BA17" s="119">
        <f>IF($AX17="","",IFERROR(FLOOR(ROUND(VLOOKUP($AX17,DADOS!$CL$5:$CM$10,2,FALSE)*IF($AY17="",1,VLOOKUP($AY17,DADOS!$CO$5:$CP$7,2,FALSE))*IF($AZ17="",1,VLOOKUP($AZ17,DADOS!$CR$5:$CS$9,2,FALSE)),4),12.5),""))</f>
        <v/>
      </c>
      <c r="BB17" s="115" t="n"/>
      <c r="BC17" s="127" t="n"/>
      <c r="BD17" s="127" t="n"/>
      <c r="BE17" s="119" t="n"/>
      <c r="BF17" s="119" t="n"/>
      <c r="BG17" s="119">
        <f>IF($BD17="","",IFERROR(FLOOR(ROUND(VLOOKUP($BD17,DADOS!$CL$5:$CM$10,2,FALSE)*IF($BE17="",1,VLOOKUP($BE17,DADOS!$CO$5:$CP$7,2,FALSE))*IF($BF17="",1,VLOOKUP($BF17,DADOS!$CR$5:$CS$9,2,FALSE)),4),12.5),""))</f>
        <v/>
      </c>
      <c r="BH17" s="115" t="n"/>
      <c r="BI17" s="127" t="n"/>
      <c r="BJ17" s="127" t="n"/>
      <c r="BK17" s="119" t="n"/>
      <c r="BL17" s="119" t="n"/>
      <c r="BM17" s="119">
        <f>IF($BJ17="","",IFERROR(FLOOR(ROUND(VLOOKUP($BJ17,DADOS!$CL$5:$CM$10,2,FALSE)*IF($BK17="",1,VLOOKUP($BK17,DADOS!$CO$5:$CP$7,2,FALSE))*IF($BL17="",1,VLOOKUP($BL17,DADOS!$CR$5:$CS$9,2,FALSE)),4),12.5),""))</f>
        <v/>
      </c>
      <c r="BN17" s="115" t="n"/>
      <c r="BO17" s="127" t="n"/>
      <c r="BP17" s="127" t="n"/>
      <c r="BQ17" s="119" t="n"/>
      <c r="BR17" s="119" t="n"/>
      <c r="BS17" s="119">
        <f>IF($BP17="","",IFERROR(FLOOR(ROUND(VLOOKUP($BP17,DADOS!$CL$5:$CM$10,2,FALSE)*IF($BQ17="",1,VLOOKUP($BQ17,DADOS!$CO$5:$CP$7,2,FALSE))*IF($BR17="",1,VLOOKUP($BR17,DADOS!$CR$5:$CS$9,2,FALSE)),4),12.5),""))</f>
        <v/>
      </c>
      <c r="BT17" s="115" t="n"/>
    </row>
    <row r="18">
      <c r="B18" s="17" t="n"/>
      <c r="C18" s="115" t="n"/>
      <c r="D18" s="16" t="n"/>
      <c r="O18" s="17" t="n"/>
      <c r="P18" s="115" t="n"/>
      <c r="Q18" s="52" t="inlineStr">
        <is>
          <t>APARÊNCIA</t>
        </is>
      </c>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c r="AL18" s="11" t="n"/>
      <c r="AM18" s="11" t="n"/>
      <c r="AN18" s="11" t="n"/>
      <c r="AO18" s="11" t="n"/>
      <c r="AP18" s="11" t="n"/>
      <c r="AQ18" s="11" t="n"/>
      <c r="AR18" s="11" t="n"/>
      <c r="AS18" s="11" t="n"/>
      <c r="AT18" s="12" t="n"/>
      <c r="AU18" s="115" t="n"/>
      <c r="AV18" s="115" t="n"/>
      <c r="AW18" s="127" t="n"/>
      <c r="AX18" s="127" t="n"/>
      <c r="AY18" s="119" t="n"/>
      <c r="AZ18" s="119" t="n"/>
      <c r="BA18" s="119">
        <f>IF($AX18="","",IFERROR(FLOOR(ROUND(VLOOKUP($AX18,DADOS!$CL$5:$CM$10,2,FALSE)*IF($AY18="",1,VLOOKUP($AY18,DADOS!$CO$5:$CP$7,2,FALSE))*IF($AZ18="",1,VLOOKUP($AZ18,DADOS!$CR$5:$CS$9,2,FALSE)),4),12.5),""))</f>
        <v/>
      </c>
      <c r="BB18" s="115" t="n"/>
      <c r="BC18" s="127" t="n"/>
      <c r="BD18" s="127" t="n"/>
      <c r="BE18" s="119" t="n"/>
      <c r="BF18" s="119" t="n"/>
      <c r="BG18" s="119">
        <f>IF($BD18="","",IFERROR(FLOOR(ROUND(VLOOKUP($BD18,DADOS!$CL$5:$CM$10,2,FALSE)*IF($BE18="",1,VLOOKUP($BE18,DADOS!$CO$5:$CP$7,2,FALSE))*IF($BF18="",1,VLOOKUP($BF18,DADOS!$CR$5:$CS$9,2,FALSE)),4),12.5),""))</f>
        <v/>
      </c>
      <c r="BH18" s="115" t="n"/>
      <c r="BI18" s="127" t="n"/>
      <c r="BJ18" s="127" t="n"/>
      <c r="BK18" s="119" t="n"/>
      <c r="BL18" s="119" t="n"/>
      <c r="BM18" s="119">
        <f>IF($BJ18="","",IFERROR(FLOOR(ROUND(VLOOKUP($BJ18,DADOS!$CL$5:$CM$10,2,FALSE)*IF($BK18="",1,VLOOKUP($BK18,DADOS!$CO$5:$CP$7,2,FALSE))*IF($BL18="",1,VLOOKUP($BL18,DADOS!$CR$5:$CS$9,2,FALSE)),4),12.5),""))</f>
        <v/>
      </c>
      <c r="BN18" s="115" t="n"/>
      <c r="BO18" s="127" t="n"/>
      <c r="BP18" s="127" t="n"/>
      <c r="BQ18" s="119" t="n"/>
      <c r="BR18" s="119" t="n"/>
      <c r="BS18" s="119">
        <f>IF($BP18="","",IFERROR(FLOOR(ROUND(VLOOKUP($BP18,DADOS!$CL$5:$CM$10,2,FALSE)*IF($BQ18="",1,VLOOKUP($BQ18,DADOS!$CO$5:$CP$7,2,FALSE))*IF($BR18="",1,VLOOKUP($BR18,DADOS!$CR$5:$CS$9,2,FALSE)),4),12.5),""))</f>
        <v/>
      </c>
      <c r="BT18" s="115" t="n"/>
    </row>
    <row r="19">
      <c r="B19" s="17" t="n"/>
      <c r="C19" s="115" t="n"/>
      <c r="D19" s="16" t="n"/>
      <c r="O19" s="17" t="n"/>
      <c r="P19" s="115" t="n"/>
      <c r="Q19" s="120" t="n"/>
      <c r="R19" s="14" t="n"/>
      <c r="S19" s="14" t="n"/>
      <c r="T19" s="14" t="n"/>
      <c r="U19" s="14" t="n"/>
      <c r="V19" s="14" t="n"/>
      <c r="W19" s="14" t="n"/>
      <c r="X19" s="14" t="n"/>
      <c r="Y19" s="14" t="n"/>
      <c r="Z19" s="14" t="n"/>
      <c r="AA19" s="14" t="n"/>
      <c r="AB19" s="14" t="n"/>
      <c r="AC19" s="14" t="n"/>
      <c r="AD19" s="14" t="n"/>
      <c r="AE19" s="14" t="n"/>
      <c r="AF19" s="14" t="n"/>
      <c r="AG19" s="14" t="n"/>
      <c r="AH19" s="14" t="n"/>
      <c r="AI19" s="14" t="n"/>
      <c r="AJ19" s="14" t="n"/>
      <c r="AK19" s="14" t="n"/>
      <c r="AL19" s="14" t="n"/>
      <c r="AM19" s="14" t="n"/>
      <c r="AN19" s="14" t="n"/>
      <c r="AO19" s="14" t="n"/>
      <c r="AP19" s="14" t="n"/>
      <c r="AQ19" s="14" t="n"/>
      <c r="AR19" s="14" t="n"/>
      <c r="AS19" s="14" t="n"/>
      <c r="AT19" s="15" t="n"/>
      <c r="AU19" s="115" t="n"/>
      <c r="AV19" s="115" t="n"/>
      <c r="AW19" s="127" t="n"/>
      <c r="AX19" s="127" t="n"/>
      <c r="AY19" s="119" t="n"/>
      <c r="AZ19" s="119" t="n"/>
      <c r="BA19" s="119">
        <f>IF($AX19="","",IFERROR(FLOOR(ROUND(VLOOKUP($AX19,DADOS!$CL$5:$CM$10,2,FALSE)*IF($AY19="",1,VLOOKUP($AY19,DADOS!$CO$5:$CP$7,2,FALSE))*IF($AZ19="",1,VLOOKUP($AZ19,DADOS!$CR$5:$CS$9,2,FALSE)),4),12.5),""))</f>
        <v/>
      </c>
      <c r="BB19" s="115" t="n"/>
      <c r="BC19" s="127" t="n"/>
      <c r="BD19" s="127" t="n"/>
      <c r="BE19" s="119" t="n"/>
      <c r="BF19" s="119" t="n"/>
      <c r="BG19" s="119">
        <f>IF($BD19="","",IFERROR(FLOOR(ROUND(VLOOKUP($BD19,DADOS!$CL$5:$CM$10,2,FALSE)*IF($BE19="",1,VLOOKUP($BE19,DADOS!$CO$5:$CP$7,2,FALSE))*IF($BF19="",1,VLOOKUP($BF19,DADOS!$CR$5:$CS$9,2,FALSE)),4),12.5),""))</f>
        <v/>
      </c>
      <c r="BH19" s="115" t="n"/>
      <c r="BI19" s="127" t="n"/>
      <c r="BJ19" s="127" t="n"/>
      <c r="BK19" s="119" t="n"/>
      <c r="BL19" s="119" t="n"/>
      <c r="BM19" s="119">
        <f>IF($BJ19="","",IFERROR(FLOOR(ROUND(VLOOKUP($BJ19,DADOS!$CL$5:$CM$10,2,FALSE)*IF($BK19="",1,VLOOKUP($BK19,DADOS!$CO$5:$CP$7,2,FALSE))*IF($BL19="",1,VLOOKUP($BL19,DADOS!$CR$5:$CS$9,2,FALSE)),4),12.5),""))</f>
        <v/>
      </c>
      <c r="BN19" s="115" t="n"/>
      <c r="BO19" s="127" t="n"/>
      <c r="BP19" s="127" t="n"/>
      <c r="BQ19" s="119" t="n"/>
      <c r="BR19" s="119" t="n"/>
      <c r="BS19" s="119">
        <f>IF($BP19="","",IFERROR(FLOOR(ROUND(VLOOKUP($BP19,DADOS!$CL$5:$CM$10,2,FALSE)*IF($BQ19="",1,VLOOKUP($BQ19,DADOS!$CO$5:$CP$7,2,FALSE))*IF($BR19="",1,VLOOKUP($BR19,DADOS!$CR$5:$CS$9,2,FALSE)),4),12.5),""))</f>
        <v/>
      </c>
      <c r="BT19" s="115" t="n"/>
    </row>
    <row r="20">
      <c r="B20" s="17" t="n"/>
      <c r="C20" s="115" t="n"/>
      <c r="D20" s="16" t="n"/>
      <c r="O20" s="17" t="n"/>
      <c r="P20" s="115" t="n"/>
      <c r="Q20" s="18" t="n"/>
      <c r="R20" s="19" t="n"/>
      <c r="S20" s="19" t="n"/>
      <c r="T20" s="19" t="n"/>
      <c r="U20" s="19" t="n"/>
      <c r="V20" s="19" t="n"/>
      <c r="W20" s="19" t="n"/>
      <c r="X20" s="19" t="n"/>
      <c r="Y20" s="19" t="n"/>
      <c r="Z20" s="19" t="n"/>
      <c r="AA20" s="19" t="n"/>
      <c r="AB20" s="19" t="n"/>
      <c r="AC20" s="19" t="n"/>
      <c r="AD20" s="19" t="n"/>
      <c r="AE20" s="19" t="n"/>
      <c r="AF20" s="19" t="n"/>
      <c r="AG20" s="19" t="n"/>
      <c r="AH20" s="19" t="n"/>
      <c r="AI20" s="19" t="n"/>
      <c r="AJ20" s="19" t="n"/>
      <c r="AK20" s="19" t="n"/>
      <c r="AL20" s="19" t="n"/>
      <c r="AM20" s="19" t="n"/>
      <c r="AN20" s="19" t="n"/>
      <c r="AO20" s="19" t="n"/>
      <c r="AP20" s="19" t="n"/>
      <c r="AQ20" s="19" t="n"/>
      <c r="AR20" s="19" t="n"/>
      <c r="AS20" s="19" t="n"/>
      <c r="AT20" s="20" t="n"/>
      <c r="AU20" s="115" t="n"/>
      <c r="AV20" s="115" t="n"/>
      <c r="AW20" s="127" t="n"/>
      <c r="AX20" s="127" t="n"/>
      <c r="AY20" s="119" t="n"/>
      <c r="AZ20" s="119" t="n"/>
      <c r="BA20" s="119">
        <f>IF($AX20="","",IFERROR(FLOOR(ROUND(VLOOKUP($AX20,DADOS!$CL$5:$CM$10,2,FALSE)*IF($AY20="",1,VLOOKUP($AY20,DADOS!$CO$5:$CP$7,2,FALSE))*IF($AZ20="",1,VLOOKUP($AZ20,DADOS!$CR$5:$CS$9,2,FALSE)),4),12.5),""))</f>
        <v/>
      </c>
      <c r="BB20" s="115" t="n"/>
      <c r="BC20" s="127" t="n"/>
      <c r="BD20" s="127" t="n"/>
      <c r="BE20" s="119" t="n"/>
      <c r="BF20" s="119" t="n"/>
      <c r="BG20" s="119">
        <f>IF($BD20="","",IFERROR(FLOOR(ROUND(VLOOKUP($BD20,DADOS!$CL$5:$CM$10,2,FALSE)*IF($BE20="",1,VLOOKUP($BE20,DADOS!$CO$5:$CP$7,2,FALSE))*IF($BF20="",1,VLOOKUP($BF20,DADOS!$CR$5:$CS$9,2,FALSE)),4),12.5),""))</f>
        <v/>
      </c>
      <c r="BH20" s="115" t="n"/>
      <c r="BI20" s="127" t="n"/>
      <c r="BJ20" s="127" t="n"/>
      <c r="BK20" s="119" t="n"/>
      <c r="BL20" s="119" t="n"/>
      <c r="BM20" s="119">
        <f>IF($BJ20="","",IFERROR(FLOOR(ROUND(VLOOKUP($BJ20,DADOS!$CL$5:$CM$10,2,FALSE)*IF($BK20="",1,VLOOKUP($BK20,DADOS!$CO$5:$CP$7,2,FALSE))*IF($BL20="",1,VLOOKUP($BL20,DADOS!$CR$5:$CS$9,2,FALSE)),4),12.5),""))</f>
        <v/>
      </c>
      <c r="BN20" s="115" t="n"/>
      <c r="BO20" s="127" t="n"/>
      <c r="BP20" s="127" t="n"/>
      <c r="BQ20" s="119" t="n"/>
      <c r="BR20" s="119" t="n"/>
      <c r="BS20" s="119">
        <f>IF($BP20="","",IFERROR(FLOOR(ROUND(VLOOKUP($BP20,DADOS!$CL$5:$CM$10,2,FALSE)*IF($BQ20="",1,VLOOKUP($BQ20,DADOS!$CO$5:$CP$7,2,FALSE))*IF($BR20="",1,VLOOKUP($BR20,DADOS!$CR$5:$CS$9,2,FALSE)),4),12.5),""))</f>
        <v/>
      </c>
      <c r="BT20" s="115" t="n"/>
    </row>
    <row r="21">
      <c r="B21" s="17" t="n"/>
      <c r="C21" s="115" t="n"/>
      <c r="D21" s="16" t="n"/>
      <c r="O21" s="17" t="n"/>
      <c r="P21" s="115" t="n"/>
      <c r="Q21" s="115" t="n"/>
      <c r="R21" s="115" t="n"/>
      <c r="S21" s="115" t="n"/>
      <c r="T21" s="115" t="n"/>
      <c r="U21" s="115" t="n"/>
      <c r="V21" s="115" t="n"/>
      <c r="W21" s="115" t="n"/>
      <c r="X21" s="115" t="n"/>
      <c r="Y21" s="115" t="n"/>
      <c r="Z21" s="115" t="n"/>
      <c r="AA21" s="115" t="n"/>
      <c r="AB21" s="115" t="n"/>
      <c r="AC21" s="115" t="n"/>
      <c r="AD21" s="115" t="n"/>
      <c r="AE21" s="115" t="n"/>
      <c r="AF21" s="115" t="n"/>
      <c r="AG21" s="115" t="n"/>
      <c r="AH21" s="115" t="n"/>
      <c r="AI21" s="115" t="n"/>
      <c r="AJ21" s="115" t="n"/>
      <c r="AK21" s="115" t="n"/>
      <c r="AL21" s="115" t="n"/>
      <c r="AM21" s="115" t="n"/>
      <c r="AN21" s="115" t="n"/>
      <c r="AO21" s="115" t="n"/>
      <c r="AP21" s="115" t="n"/>
      <c r="AQ21" s="115" t="n"/>
      <c r="AR21" s="115" t="n"/>
      <c r="AS21" s="115" t="n"/>
      <c r="AT21" s="115" t="n"/>
      <c r="AU21" s="115" t="n"/>
      <c r="AV21" s="115" t="n"/>
      <c r="AW21" s="127" t="n"/>
      <c r="AX21" s="127" t="n"/>
      <c r="AY21" s="119" t="n"/>
      <c r="AZ21" s="119" t="n"/>
      <c r="BA21" s="119">
        <f>IF($AX21="","",IFERROR(FLOOR(ROUND(VLOOKUP($AX21,DADOS!$CL$5:$CM$10,2,FALSE)*IF($AY21="",1,VLOOKUP($AY21,DADOS!$CO$5:$CP$7,2,FALSE))*IF($AZ21="",1,VLOOKUP($AZ21,DADOS!$CR$5:$CS$9,2,FALSE)),4),12.5),""))</f>
        <v/>
      </c>
      <c r="BB21" s="115" t="n"/>
      <c r="BC21" s="127" t="n"/>
      <c r="BD21" s="127" t="n"/>
      <c r="BE21" s="119" t="n"/>
      <c r="BF21" s="119" t="n"/>
      <c r="BG21" s="119">
        <f>IF($BD21="","",IFERROR(FLOOR(ROUND(VLOOKUP($BD21,DADOS!$CL$5:$CM$10,2,FALSE)*IF($BE21="",1,VLOOKUP($BE21,DADOS!$CO$5:$CP$7,2,FALSE))*IF($BF21="",1,VLOOKUP($BF21,DADOS!$CR$5:$CS$9,2,FALSE)),4),12.5),""))</f>
        <v/>
      </c>
      <c r="BH21" s="115" t="n"/>
      <c r="BI21" s="127" t="n"/>
      <c r="BJ21" s="127" t="n"/>
      <c r="BK21" s="119" t="n"/>
      <c r="BL21" s="119" t="n"/>
      <c r="BM21" s="119">
        <f>IF($BJ21="","",IFERROR(FLOOR(ROUND(VLOOKUP($BJ21,DADOS!$CL$5:$CM$10,2,FALSE)*IF($BK21="",1,VLOOKUP($BK21,DADOS!$CO$5:$CP$7,2,FALSE))*IF($BL21="",1,VLOOKUP($BL21,DADOS!$CR$5:$CS$9,2,FALSE)),4),12.5),""))</f>
        <v/>
      </c>
      <c r="BN21" s="115" t="n"/>
      <c r="BO21" s="127" t="n"/>
      <c r="BP21" s="127" t="n"/>
      <c r="BQ21" s="119" t="n"/>
      <c r="BR21" s="119" t="n"/>
      <c r="BS21" s="119">
        <f>IF($BP21="","",IFERROR(FLOOR(ROUND(VLOOKUP($BP21,DADOS!$CL$5:$CM$10,2,FALSE)*IF($BQ21="",1,VLOOKUP($BQ21,DADOS!$CO$5:$CP$7,2,FALSE))*IF($BR21="",1,VLOOKUP($BR21,DADOS!$CR$5:$CS$9,2,FALSE)),4),12.5),""))</f>
        <v/>
      </c>
      <c r="BT21" s="115" t="n"/>
    </row>
    <row r="22">
      <c r="B22" s="17" t="n"/>
      <c r="C22" s="115" t="n"/>
      <c r="D22" s="16" t="n"/>
      <c r="O22" s="17" t="n"/>
      <c r="P22" s="115" t="n"/>
      <c r="Q22" s="52" t="inlineStr">
        <is>
          <t>HISTÓRIA</t>
        </is>
      </c>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2" t="n"/>
      <c r="AU22" s="115" t="n"/>
      <c r="AV22" s="115" t="n"/>
      <c r="AW22" s="127" t="n"/>
      <c r="AX22" s="127" t="n"/>
      <c r="AY22" s="119" t="n"/>
      <c r="AZ22" s="119" t="n"/>
      <c r="BA22" s="119">
        <f>IF($AX22="","",IFERROR(FLOOR(ROUND(VLOOKUP($AX22,DADOS!$CL$5:$CM$10,2,FALSE)*IF($AY22="",1,VLOOKUP($AY22,DADOS!$CO$5:$CP$7,2,FALSE))*IF($AZ22="",1,VLOOKUP($AZ22,DADOS!$CR$5:$CS$9,2,FALSE)),4),12.5),""))</f>
        <v/>
      </c>
      <c r="BB22" s="115" t="n"/>
      <c r="BC22" s="127" t="n"/>
      <c r="BD22" s="127" t="n"/>
      <c r="BE22" s="119" t="n"/>
      <c r="BF22" s="119" t="n"/>
      <c r="BG22" s="119">
        <f>IF($BD22="","",IFERROR(FLOOR(ROUND(VLOOKUP($BD22,DADOS!$CL$5:$CM$10,2,FALSE)*IF($BE22="",1,VLOOKUP($BE22,DADOS!$CO$5:$CP$7,2,FALSE))*IF($BF22="",1,VLOOKUP($BF22,DADOS!$CR$5:$CS$9,2,FALSE)),4),12.5),""))</f>
        <v/>
      </c>
      <c r="BH22" s="115" t="n"/>
      <c r="BI22" s="127" t="n"/>
      <c r="BJ22" s="127" t="n"/>
      <c r="BK22" s="119" t="n"/>
      <c r="BL22" s="119" t="n"/>
      <c r="BM22" s="119">
        <f>IF($BJ22="","",IFERROR(FLOOR(ROUND(VLOOKUP($BJ22,DADOS!$CL$5:$CM$10,2,FALSE)*IF($BK22="",1,VLOOKUP($BK22,DADOS!$CO$5:$CP$7,2,FALSE))*IF($BL22="",1,VLOOKUP($BL22,DADOS!$CR$5:$CS$9,2,FALSE)),4),12.5),""))</f>
        <v/>
      </c>
      <c r="BN22" s="115" t="n"/>
      <c r="BO22" s="127" t="n"/>
      <c r="BP22" s="127" t="n"/>
      <c r="BQ22" s="119" t="n"/>
      <c r="BR22" s="119" t="n"/>
      <c r="BS22" s="119">
        <f>IF($BP22="","",IFERROR(FLOOR(ROUND(VLOOKUP($BP22,DADOS!$CL$5:$CM$10,2,FALSE)*IF($BQ22="",1,VLOOKUP($BQ22,DADOS!$CO$5:$CP$7,2,FALSE))*IF($BR22="",1,VLOOKUP($BR22,DADOS!$CR$5:$CS$9,2,FALSE)),4),12.5),""))</f>
        <v/>
      </c>
      <c r="BT22" s="115" t="n"/>
    </row>
    <row r="23">
      <c r="B23" s="17" t="n"/>
      <c r="C23" s="115" t="n"/>
      <c r="D23" s="16" t="n"/>
      <c r="O23" s="17" t="n"/>
      <c r="P23" s="115" t="n"/>
      <c r="Q23" s="120"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c r="AS23" s="14" t="n"/>
      <c r="AT23" s="15" t="n"/>
      <c r="AU23" s="115" t="n"/>
      <c r="AV23" s="115" t="n"/>
      <c r="AW23" s="127" t="n"/>
      <c r="AX23" s="127" t="n"/>
      <c r="AY23" s="119" t="n"/>
      <c r="AZ23" s="119" t="n"/>
      <c r="BA23" s="119">
        <f>IF($AX23="","",IFERROR(FLOOR(ROUND(VLOOKUP($AX23,DADOS!$CL$5:$CM$10,2,FALSE)*IF($AY23="",1,VLOOKUP($AY23,DADOS!$CO$5:$CP$7,2,FALSE))*IF($AZ23="",1,VLOOKUP($AZ23,DADOS!$CR$5:$CS$9,2,FALSE)),4),12.5),""))</f>
        <v/>
      </c>
      <c r="BB23" s="115" t="n"/>
      <c r="BC23" s="127" t="n"/>
      <c r="BD23" s="127" t="n"/>
      <c r="BE23" s="119" t="n"/>
      <c r="BF23" s="119" t="n"/>
      <c r="BG23" s="119">
        <f>IF($BD23="","",IFERROR(FLOOR(ROUND(VLOOKUP($BD23,DADOS!$CL$5:$CM$10,2,FALSE)*IF($BE23="",1,VLOOKUP($BE23,DADOS!$CO$5:$CP$7,2,FALSE))*IF($BF23="",1,VLOOKUP($BF23,DADOS!$CR$5:$CS$9,2,FALSE)),4),12.5),""))</f>
        <v/>
      </c>
      <c r="BH23" s="115" t="n"/>
      <c r="BI23" s="127" t="n"/>
      <c r="BJ23" s="127" t="n"/>
      <c r="BK23" s="119" t="n"/>
      <c r="BL23" s="119" t="n"/>
      <c r="BM23" s="119">
        <f>IF($BJ23="","",IFERROR(FLOOR(ROUND(VLOOKUP($BJ23,DADOS!$CL$5:$CM$10,2,FALSE)*IF($BK23="",1,VLOOKUP($BK23,DADOS!$CO$5:$CP$7,2,FALSE))*IF($BL23="",1,VLOOKUP($BL23,DADOS!$CR$5:$CS$9,2,FALSE)),4),12.5),""))</f>
        <v/>
      </c>
      <c r="BN23" s="115" t="n"/>
      <c r="BO23" s="127" t="n"/>
      <c r="BP23" s="127" t="n"/>
      <c r="BQ23" s="119" t="n"/>
      <c r="BR23" s="119" t="n"/>
      <c r="BS23" s="119">
        <f>IF($BP23="","",IFERROR(FLOOR(ROUND(VLOOKUP($BP23,DADOS!$CL$5:$CM$10,2,FALSE)*IF($BQ23="",1,VLOOKUP($BQ23,DADOS!$CO$5:$CP$7,2,FALSE))*IF($BR23="",1,VLOOKUP($BR23,DADOS!$CR$5:$CS$9,2,FALSE)),4),12.5),""))</f>
        <v/>
      </c>
      <c r="BT23" s="115" t="n"/>
    </row>
    <row r="24">
      <c r="B24" s="17" t="n"/>
      <c r="C24" s="115" t="n"/>
      <c r="D24" s="16" t="n"/>
      <c r="O24" s="17" t="n"/>
      <c r="P24" s="115" t="n"/>
      <c r="Q24" s="16" t="n"/>
      <c r="AT24" s="17" t="n"/>
      <c r="AU24" s="115" t="n"/>
      <c r="AV24" s="115" t="n"/>
      <c r="AW24" s="127" t="n"/>
      <c r="AX24" s="127" t="n"/>
      <c r="AY24" s="119" t="n"/>
      <c r="AZ24" s="119" t="n"/>
      <c r="BA24" s="119">
        <f>IF($AX24="","",IFERROR(FLOOR(ROUND(VLOOKUP($AX24,DADOS!$CL$5:$CM$10,2,FALSE)*IF($AY24="",1,VLOOKUP($AY24,DADOS!$CO$5:$CP$7,2,FALSE))*IF($AZ24="",1,VLOOKUP($AZ24,DADOS!$CR$5:$CS$9,2,FALSE)),4),12.5),""))</f>
        <v/>
      </c>
      <c r="BB24" s="115" t="n"/>
      <c r="BC24" s="127" t="n"/>
      <c r="BD24" s="127" t="n"/>
      <c r="BE24" s="119" t="n"/>
      <c r="BF24" s="119" t="n"/>
      <c r="BG24" s="119">
        <f>IF($BD24="","",IFERROR(FLOOR(ROUND(VLOOKUP($BD24,DADOS!$CL$5:$CM$10,2,FALSE)*IF($BE24="",1,VLOOKUP($BE24,DADOS!$CO$5:$CP$7,2,FALSE))*IF($BF24="",1,VLOOKUP($BF24,DADOS!$CR$5:$CS$9,2,FALSE)),4),12.5),""))</f>
        <v/>
      </c>
      <c r="BH24" s="115" t="n"/>
      <c r="BI24" s="127" t="n"/>
      <c r="BJ24" s="127" t="n"/>
      <c r="BK24" s="119" t="n"/>
      <c r="BL24" s="119" t="n"/>
      <c r="BM24" s="119">
        <f>IF($BJ24="","",IFERROR(FLOOR(ROUND(VLOOKUP($BJ24,DADOS!$CL$5:$CM$10,2,FALSE)*IF($BK24="",1,VLOOKUP($BK24,DADOS!$CO$5:$CP$7,2,FALSE))*IF($BL24="",1,VLOOKUP($BL24,DADOS!$CR$5:$CS$9,2,FALSE)),4),12.5),""))</f>
        <v/>
      </c>
      <c r="BN24" s="115" t="n"/>
      <c r="BO24" s="127" t="n"/>
      <c r="BP24" s="127" t="n"/>
      <c r="BQ24" s="119" t="n"/>
      <c r="BR24" s="119" t="n"/>
      <c r="BS24" s="119">
        <f>IF($BP24="","",IFERROR(FLOOR(ROUND(VLOOKUP($BP24,DADOS!$CL$5:$CM$10,2,FALSE)*IF($BQ24="",1,VLOOKUP($BQ24,DADOS!$CO$5:$CP$7,2,FALSE))*IF($BR24="",1,VLOOKUP($BR24,DADOS!$CR$5:$CS$9,2,FALSE)),4),12.5),""))</f>
        <v/>
      </c>
      <c r="BT24" s="115" t="n"/>
    </row>
    <row r="25">
      <c r="B25" s="17" t="n"/>
      <c r="C25" s="115" t="n"/>
      <c r="D25" s="16" t="n"/>
      <c r="O25" s="17" t="n"/>
      <c r="P25" s="115" t="n"/>
      <c r="Q25" s="16" t="n"/>
      <c r="AT25" s="17" t="n"/>
      <c r="AU25" s="115" t="n"/>
      <c r="AV25" s="115" t="n"/>
      <c r="AW25" s="127" t="n"/>
      <c r="AX25" s="127" t="n"/>
      <c r="AY25" s="119" t="n"/>
      <c r="AZ25" s="119" t="n"/>
      <c r="BA25" s="119">
        <f>IF($AX25="","",IFERROR(FLOOR(ROUND(VLOOKUP($AX25,DADOS!$CL$5:$CM$10,2,FALSE)*IF($AY25="",1,VLOOKUP($AY25,DADOS!$CO$5:$CP$7,2,FALSE))*IF($AZ25="",1,VLOOKUP($AZ25,DADOS!$CR$5:$CS$9,2,FALSE)),4),12.5),""))</f>
        <v/>
      </c>
      <c r="BB25" s="115" t="n"/>
      <c r="BC25" s="127" t="n"/>
      <c r="BD25" s="127" t="n"/>
      <c r="BE25" s="119" t="n"/>
      <c r="BF25" s="119" t="n"/>
      <c r="BG25" s="119">
        <f>IF($BD25="","",IFERROR(FLOOR(ROUND(VLOOKUP($BD25,DADOS!$CL$5:$CM$10,2,FALSE)*IF($BE25="",1,VLOOKUP($BE25,DADOS!$CO$5:$CP$7,2,FALSE))*IF($BF25="",1,VLOOKUP($BF25,DADOS!$CR$5:$CS$9,2,FALSE)),4),12.5),""))</f>
        <v/>
      </c>
      <c r="BH25" s="115" t="n"/>
      <c r="BI25" s="127" t="n"/>
      <c r="BJ25" s="127" t="n"/>
      <c r="BK25" s="119" t="n"/>
      <c r="BL25" s="119" t="n"/>
      <c r="BM25" s="119">
        <f>IF($BJ25="","",IFERROR(FLOOR(ROUND(VLOOKUP($BJ25,DADOS!$CL$5:$CM$10,2,FALSE)*IF($BK25="",1,VLOOKUP($BK25,DADOS!$CO$5:$CP$7,2,FALSE))*IF($BL25="",1,VLOOKUP($BL25,DADOS!$CR$5:$CS$9,2,FALSE)),4),12.5),""))</f>
        <v/>
      </c>
      <c r="BN25" s="115" t="n"/>
      <c r="BO25" s="127" t="n"/>
      <c r="BP25" s="127" t="n"/>
      <c r="BQ25" s="119" t="n"/>
      <c r="BR25" s="119" t="n"/>
      <c r="BS25" s="119">
        <f>IF($BP25="","",IFERROR(FLOOR(ROUND(VLOOKUP($BP25,DADOS!$CL$5:$CM$10,2,FALSE)*IF($BQ25="",1,VLOOKUP($BQ25,DADOS!$CO$5:$CP$7,2,FALSE))*IF($BR25="",1,VLOOKUP($BR25,DADOS!$CR$5:$CS$9,2,FALSE)),4),12.5),""))</f>
        <v/>
      </c>
      <c r="BT25" s="115" t="n"/>
    </row>
    <row r="26">
      <c r="B26" s="17" t="n"/>
      <c r="C26" s="115" t="n"/>
      <c r="D26" s="16" t="n"/>
      <c r="O26" s="17" t="n"/>
      <c r="P26" s="115" t="n"/>
      <c r="Q26" s="16" t="n"/>
      <c r="AT26" s="17" t="n"/>
      <c r="AU26" s="115" t="n"/>
      <c r="AV26" s="115" t="n"/>
      <c r="AW26" s="127" t="n"/>
      <c r="AX26" s="127" t="n"/>
      <c r="AY26" s="119" t="n"/>
      <c r="AZ26" s="119" t="n"/>
      <c r="BA26" s="119">
        <f>IF($AX26="","",IFERROR(FLOOR(ROUND(VLOOKUP($AX26,DADOS!$CL$5:$CM$10,2,FALSE)*IF($AY26="",1,VLOOKUP($AY26,DADOS!$CO$5:$CP$7,2,FALSE))*IF($AZ26="",1,VLOOKUP($AZ26,DADOS!$CR$5:$CS$9,2,FALSE)),4),12.5),""))</f>
        <v/>
      </c>
      <c r="BB26" s="115" t="n"/>
      <c r="BC26" s="127" t="n"/>
      <c r="BD26" s="127" t="n"/>
      <c r="BE26" s="119" t="n"/>
      <c r="BF26" s="119" t="n"/>
      <c r="BG26" s="119">
        <f>IF($BD26="","",IFERROR(FLOOR(ROUND(VLOOKUP($BD26,DADOS!$CL$5:$CM$10,2,FALSE)*IF($BE26="",1,VLOOKUP($BE26,DADOS!$CO$5:$CP$7,2,FALSE))*IF($BF26="",1,VLOOKUP($BF26,DADOS!$CR$5:$CS$9,2,FALSE)),4),12.5),""))</f>
        <v/>
      </c>
      <c r="BH26" s="115" t="n"/>
      <c r="BI26" s="127" t="n"/>
      <c r="BJ26" s="127" t="n"/>
      <c r="BK26" s="119" t="n"/>
      <c r="BL26" s="119" t="n"/>
      <c r="BM26" s="119">
        <f>IF($BJ26="","",IFERROR(FLOOR(ROUND(VLOOKUP($BJ26,DADOS!$CL$5:$CM$10,2,FALSE)*IF($BK26="",1,VLOOKUP($BK26,DADOS!$CO$5:$CP$7,2,FALSE))*IF($BL26="",1,VLOOKUP($BL26,DADOS!$CR$5:$CS$9,2,FALSE)),4),12.5),""))</f>
        <v/>
      </c>
      <c r="BN26" s="115" t="n"/>
      <c r="BO26" s="127" t="n"/>
      <c r="BP26" s="127" t="n"/>
      <c r="BQ26" s="119" t="n"/>
      <c r="BR26" s="119" t="n"/>
      <c r="BS26" s="119">
        <f>IF($BP26="","",IFERROR(FLOOR(ROUND(VLOOKUP($BP26,DADOS!$CL$5:$CM$10,2,FALSE)*IF($BQ26="",1,VLOOKUP($BQ26,DADOS!$CO$5:$CP$7,2,FALSE))*IF($BR26="",1,VLOOKUP($BR26,DADOS!$CR$5:$CS$9,2,FALSE)),4),12.5),""))</f>
        <v/>
      </c>
      <c r="BT26" s="115" t="n"/>
    </row>
    <row r="27">
      <c r="B27" s="17" t="n"/>
      <c r="C27" s="115" t="n"/>
      <c r="D27" s="16" t="n"/>
      <c r="O27" s="17" t="n"/>
      <c r="P27" s="115" t="n"/>
      <c r="Q27" s="16" t="n"/>
      <c r="AT27" s="17" t="n"/>
      <c r="AU27" s="115" t="n"/>
      <c r="AV27" s="115" t="n"/>
      <c r="AW27" s="127" t="n"/>
      <c r="AX27" s="127" t="n"/>
      <c r="AY27" s="119" t="n"/>
      <c r="AZ27" s="119" t="n"/>
      <c r="BA27" s="119">
        <f>IF($AX27="","",IFERROR(FLOOR(ROUND(VLOOKUP($AX27,DADOS!$CL$5:$CM$10,2,FALSE)*IF($AY27="",1,VLOOKUP($AY27,DADOS!$CO$5:$CP$7,2,FALSE))*IF($AZ27="",1,VLOOKUP($AZ27,DADOS!$CR$5:$CS$9,2,FALSE)),4),12.5),""))</f>
        <v/>
      </c>
      <c r="BB27" s="115" t="n"/>
      <c r="BC27" s="127" t="n"/>
      <c r="BD27" s="127" t="n"/>
      <c r="BE27" s="119" t="n"/>
      <c r="BF27" s="119" t="n"/>
      <c r="BG27" s="119">
        <f>IF($BD27="","",IFERROR(FLOOR(ROUND(VLOOKUP($BD27,DADOS!$CL$5:$CM$10,2,FALSE)*IF($BE27="",1,VLOOKUP($BE27,DADOS!$CO$5:$CP$7,2,FALSE))*IF($BF27="",1,VLOOKUP($BF27,DADOS!$CR$5:$CS$9,2,FALSE)),4),12.5),""))</f>
        <v/>
      </c>
      <c r="BH27" s="115" t="n"/>
      <c r="BI27" s="127" t="n"/>
      <c r="BJ27" s="127" t="n"/>
      <c r="BK27" s="119" t="n"/>
      <c r="BL27" s="119" t="n"/>
      <c r="BM27" s="119">
        <f>IF($BJ27="","",IFERROR(FLOOR(ROUND(VLOOKUP($BJ27,DADOS!$CL$5:$CM$10,2,FALSE)*IF($BK27="",1,VLOOKUP($BK27,DADOS!$CO$5:$CP$7,2,FALSE))*IF($BL27="",1,VLOOKUP($BL27,DADOS!$CR$5:$CS$9,2,FALSE)),4),12.5),""))</f>
        <v/>
      </c>
      <c r="BN27" s="115" t="n"/>
      <c r="BO27" s="127" t="n"/>
      <c r="BP27" s="127" t="n"/>
      <c r="BQ27" s="119" t="n"/>
      <c r="BR27" s="119" t="n"/>
      <c r="BS27" s="119">
        <f>IF($BP27="","",IFERROR(FLOOR(ROUND(VLOOKUP($BP27,DADOS!$CL$5:$CM$10,2,FALSE)*IF($BQ27="",1,VLOOKUP($BQ27,DADOS!$CO$5:$CP$7,2,FALSE))*IF($BR27="",1,VLOOKUP($BR27,DADOS!$CR$5:$CS$9,2,FALSE)),4),12.5),""))</f>
        <v/>
      </c>
      <c r="BT27" s="115" t="n"/>
    </row>
    <row r="28">
      <c r="B28" s="17" t="n"/>
      <c r="C28" s="115" t="n"/>
      <c r="D28" s="18" t="n"/>
      <c r="E28" s="19" t="n"/>
      <c r="F28" s="19" t="n"/>
      <c r="G28" s="19" t="n"/>
      <c r="H28" s="19" t="n"/>
      <c r="I28" s="19" t="n"/>
      <c r="J28" s="19" t="n"/>
      <c r="K28" s="19" t="n"/>
      <c r="L28" s="19" t="n"/>
      <c r="M28" s="19" t="n"/>
      <c r="N28" s="19" t="n"/>
      <c r="O28" s="20" t="n"/>
      <c r="P28" s="115" t="n"/>
      <c r="Q28" s="16" t="n"/>
      <c r="AT28" s="17" t="n"/>
      <c r="AU28" s="115" t="n"/>
      <c r="AV28" s="115" t="n"/>
      <c r="AW28" s="127" t="n"/>
      <c r="AX28" s="127" t="n"/>
      <c r="AY28" s="119" t="n"/>
      <c r="AZ28" s="119" t="n"/>
      <c r="BA28" s="119">
        <f>IF($AX28="","",IFERROR(FLOOR(ROUND(VLOOKUP($AX28,DADOS!$CL$5:$CM$10,2,FALSE)*IF($AY28="",1,VLOOKUP($AY28,DADOS!$CO$5:$CP$7,2,FALSE))*IF($AZ28="",1,VLOOKUP($AZ28,DADOS!$CR$5:$CS$9,2,FALSE)),4),12.5),""))</f>
        <v/>
      </c>
      <c r="BB28" s="115" t="n"/>
      <c r="BC28" s="127" t="n"/>
      <c r="BD28" s="127" t="n"/>
      <c r="BE28" s="119" t="n"/>
      <c r="BF28" s="119" t="n"/>
      <c r="BG28" s="119">
        <f>IF($BD28="","",IFERROR(FLOOR(ROUND(VLOOKUP($BD28,DADOS!$CL$5:$CM$10,2,FALSE)*IF($BE28="",1,VLOOKUP($BE28,DADOS!$CO$5:$CP$7,2,FALSE))*IF($BF28="",1,VLOOKUP($BF28,DADOS!$CR$5:$CS$9,2,FALSE)),4),12.5),""))</f>
        <v/>
      </c>
      <c r="BH28" s="115" t="n"/>
      <c r="BI28" s="127" t="n"/>
      <c r="BJ28" s="127" t="n"/>
      <c r="BK28" s="119" t="n"/>
      <c r="BL28" s="119" t="n"/>
      <c r="BM28" s="119">
        <f>IF($BJ28="","",IFERROR(FLOOR(ROUND(VLOOKUP($BJ28,DADOS!$CL$5:$CM$10,2,FALSE)*IF($BK28="",1,VLOOKUP($BK28,DADOS!$CO$5:$CP$7,2,FALSE))*IF($BL28="",1,VLOOKUP($BL28,DADOS!$CR$5:$CS$9,2,FALSE)),4),12.5),""))</f>
        <v/>
      </c>
      <c r="BN28" s="115" t="n"/>
      <c r="BO28" s="127" t="n"/>
      <c r="BP28" s="127" t="n"/>
      <c r="BQ28" s="119" t="n"/>
      <c r="BR28" s="119" t="n"/>
      <c r="BS28" s="119">
        <f>IF($BP28="","",IFERROR(FLOOR(ROUND(VLOOKUP($BP28,DADOS!$CL$5:$CM$10,2,FALSE)*IF($BQ28="",1,VLOOKUP($BQ28,DADOS!$CO$5:$CP$7,2,FALSE))*IF($BR28="",1,VLOOKUP($BR28,DADOS!$CR$5:$CS$9,2,FALSE)),4),12.5),""))</f>
        <v/>
      </c>
      <c r="BT28" s="115" t="n"/>
    </row>
    <row r="29">
      <c r="B29" s="17" t="n"/>
      <c r="C29" s="115" t="n"/>
      <c r="D29" s="115" t="n"/>
      <c r="E29" s="115" t="n"/>
      <c r="F29" s="115" t="n"/>
      <c r="G29" s="115" t="n"/>
      <c r="H29" s="115" t="n"/>
      <c r="I29" s="115" t="n"/>
      <c r="J29" s="115" t="n"/>
      <c r="K29" s="115" t="n"/>
      <c r="L29" s="115" t="n"/>
      <c r="M29" s="115" t="n"/>
      <c r="N29" s="115" t="n"/>
      <c r="O29" s="115" t="n"/>
      <c r="P29" s="115" t="n"/>
      <c r="Q29" s="16" t="n"/>
      <c r="AT29" s="17" t="n"/>
      <c r="AU29" s="115" t="n"/>
      <c r="AV29" s="115" t="n"/>
      <c r="AW29" s="127" t="n"/>
      <c r="AX29" s="127" t="n"/>
      <c r="AY29" s="119" t="n"/>
      <c r="AZ29" s="119" t="n"/>
      <c r="BA29" s="119">
        <f>IF($AX29="","",IFERROR(FLOOR(ROUND(VLOOKUP($AX29,DADOS!$CL$5:$CM$10,2,FALSE)*IF($AY29="",1,VLOOKUP($AY29,DADOS!$CO$5:$CP$7,2,FALSE))*IF($AZ29="",1,VLOOKUP($AZ29,DADOS!$CR$5:$CS$9,2,FALSE)),4),12.5),""))</f>
        <v/>
      </c>
      <c r="BB29" s="115" t="n"/>
      <c r="BC29" s="127" t="n"/>
      <c r="BD29" s="127" t="n"/>
      <c r="BE29" s="119" t="n"/>
      <c r="BF29" s="119" t="n"/>
      <c r="BG29" s="119">
        <f>IF($BD29="","",IFERROR(FLOOR(ROUND(VLOOKUP($BD29,DADOS!$CL$5:$CM$10,2,FALSE)*IF($BE29="",1,VLOOKUP($BE29,DADOS!$CO$5:$CP$7,2,FALSE))*IF($BF29="",1,VLOOKUP($BF29,DADOS!$CR$5:$CS$9,2,FALSE)),4),12.5),""))</f>
        <v/>
      </c>
      <c r="BH29" s="115" t="n"/>
      <c r="BI29" s="127" t="n"/>
      <c r="BJ29" s="127" t="n"/>
      <c r="BK29" s="119" t="n"/>
      <c r="BL29" s="119" t="n"/>
      <c r="BM29" s="119">
        <f>IF($BJ29="","",IFERROR(FLOOR(ROUND(VLOOKUP($BJ29,DADOS!$CL$5:$CM$10,2,FALSE)*IF($BK29="",1,VLOOKUP($BK29,DADOS!$CO$5:$CP$7,2,FALSE))*IF($BL29="",1,VLOOKUP($BL29,DADOS!$CR$5:$CS$9,2,FALSE)),4),12.5),""))</f>
        <v/>
      </c>
      <c r="BN29" s="115" t="n"/>
      <c r="BO29" s="127" t="n"/>
      <c r="BP29" s="127" t="n"/>
      <c r="BQ29" s="119" t="n"/>
      <c r="BR29" s="119" t="n"/>
      <c r="BS29" s="119">
        <f>IF($BP29="","",IFERROR(FLOOR(ROUND(VLOOKUP($BP29,DADOS!$CL$5:$CM$10,2,FALSE)*IF($BQ29="",1,VLOOKUP($BQ29,DADOS!$CO$5:$CP$7,2,FALSE))*IF($BR29="",1,VLOOKUP($BR29,DADOS!$CR$5:$CS$9,2,FALSE)),4),12.5),""))</f>
        <v/>
      </c>
      <c r="BT29" s="115" t="n"/>
    </row>
    <row r="30">
      <c r="A30" s="8" t="n"/>
      <c r="B30" s="22" t="n"/>
      <c r="C30" s="115" t="n"/>
      <c r="D30" s="52" t="inlineStr">
        <is>
          <t>PERSONALIDADE</t>
        </is>
      </c>
      <c r="E30" s="11" t="n"/>
      <c r="F30" s="11" t="n"/>
      <c r="G30" s="11" t="n"/>
      <c r="H30" s="11" t="n"/>
      <c r="I30" s="11" t="n"/>
      <c r="J30" s="11" t="n"/>
      <c r="K30" s="11" t="n"/>
      <c r="L30" s="11" t="n"/>
      <c r="M30" s="11" t="n"/>
      <c r="N30" s="11" t="n"/>
      <c r="O30" s="12" t="n"/>
      <c r="P30" s="115" t="n"/>
      <c r="Q30" s="18" t="n"/>
      <c r="R30" s="19" t="n"/>
      <c r="S30" s="19" t="n"/>
      <c r="T30" s="19" t="n"/>
      <c r="U30" s="19" t="n"/>
      <c r="V30" s="19" t="n"/>
      <c r="W30" s="19" t="n"/>
      <c r="X30" s="19" t="n"/>
      <c r="Y30" s="19" t="n"/>
      <c r="Z30" s="19" t="n"/>
      <c r="AA30" s="19" t="n"/>
      <c r="AB30" s="19" t="n"/>
      <c r="AC30" s="19" t="n"/>
      <c r="AD30" s="19" t="n"/>
      <c r="AE30" s="19" t="n"/>
      <c r="AF30" s="19" t="n"/>
      <c r="AG30" s="19" t="n"/>
      <c r="AH30" s="19" t="n"/>
      <c r="AI30" s="19" t="n"/>
      <c r="AJ30" s="19" t="n"/>
      <c r="AK30" s="19" t="n"/>
      <c r="AL30" s="19" t="n"/>
      <c r="AM30" s="19" t="n"/>
      <c r="AN30" s="19" t="n"/>
      <c r="AO30" s="19" t="n"/>
      <c r="AP30" s="19" t="n"/>
      <c r="AQ30" s="19" t="n"/>
      <c r="AR30" s="19" t="n"/>
      <c r="AS30" s="19" t="n"/>
      <c r="AT30" s="20" t="n"/>
      <c r="AU30" s="115" t="n"/>
      <c r="AV30" s="115" t="n"/>
      <c r="AW30" s="127" t="n"/>
      <c r="AX30" s="127" t="n"/>
      <c r="AY30" s="119" t="n"/>
      <c r="AZ30" s="119" t="n"/>
      <c r="BA30" s="119">
        <f>IF($AX30="","",IFERROR(FLOOR(ROUND(VLOOKUP($AX30,DADOS!$CL$5:$CM$10,2,FALSE)*IF($AY30="",1,VLOOKUP($AY30,DADOS!$CO$5:$CP$7,2,FALSE))*IF($AZ30="",1,VLOOKUP($AZ30,DADOS!$CR$5:$CS$9,2,FALSE)),4),12.5),""))</f>
        <v/>
      </c>
      <c r="BB30" s="115" t="n"/>
      <c r="BC30" s="127" t="n"/>
      <c r="BD30" s="127" t="n"/>
      <c r="BE30" s="119" t="n"/>
      <c r="BF30" s="119" t="n"/>
      <c r="BG30" s="119">
        <f>IF($BD30="","",IFERROR(FLOOR(ROUND(VLOOKUP($BD30,DADOS!$CL$5:$CM$10,2,FALSE)*IF($BE30="",1,VLOOKUP($BE30,DADOS!$CO$5:$CP$7,2,FALSE))*IF($BF30="",1,VLOOKUP($BF30,DADOS!$CR$5:$CS$9,2,FALSE)),4),12.5),""))</f>
        <v/>
      </c>
      <c r="BH30" s="115" t="n"/>
      <c r="BI30" s="127" t="n"/>
      <c r="BJ30" s="127" t="n"/>
      <c r="BK30" s="119" t="n"/>
      <c r="BL30" s="119" t="n"/>
      <c r="BM30" s="119">
        <f>IF($BJ30="","",IFERROR(FLOOR(ROUND(VLOOKUP($BJ30,DADOS!$CL$5:$CM$10,2,FALSE)*IF($BK30="",1,VLOOKUP($BK30,DADOS!$CO$5:$CP$7,2,FALSE))*IF($BL30="",1,VLOOKUP($BL30,DADOS!$CR$5:$CS$9,2,FALSE)),4),12.5),""))</f>
        <v/>
      </c>
      <c r="BN30" s="115" t="n"/>
      <c r="BO30" s="127" t="n"/>
      <c r="BP30" s="127" t="n"/>
      <c r="BQ30" s="119" t="n"/>
      <c r="BR30" s="119" t="n"/>
      <c r="BS30" s="119">
        <f>IF($BP30="","",IFERROR(FLOOR(ROUND(VLOOKUP($BP30,DADOS!$CL$5:$CM$10,2,FALSE)*IF($BQ30="",1,VLOOKUP($BQ30,DADOS!$CO$5:$CP$7,2,FALSE))*IF($BR30="",1,VLOOKUP($BR30,DADOS!$CR$5:$CS$9,2,FALSE)),4),12.5),""))</f>
        <v/>
      </c>
      <c r="BT30" s="115" t="n"/>
    </row>
    <row r="31">
      <c r="A31" s="8" t="n"/>
      <c r="B31" s="22" t="n"/>
      <c r="C31" s="115" t="n"/>
      <c r="D31" s="120" t="n"/>
      <c r="E31" s="14" t="n"/>
      <c r="F31" s="14" t="n"/>
      <c r="G31" s="14" t="n"/>
      <c r="H31" s="14" t="n"/>
      <c r="I31" s="14" t="n"/>
      <c r="J31" s="14" t="n"/>
      <c r="K31" s="14" t="n"/>
      <c r="L31" s="14" t="n"/>
      <c r="M31" s="14" t="n"/>
      <c r="N31" s="14" t="n"/>
      <c r="O31" s="15" t="n"/>
      <c r="P31" s="115" t="n"/>
      <c r="Q31" s="115" t="n"/>
      <c r="R31" s="115" t="n"/>
      <c r="S31" s="115" t="n"/>
      <c r="T31" s="115" t="n"/>
      <c r="U31" s="115" t="n"/>
      <c r="V31" s="115" t="n"/>
      <c r="W31" s="115" t="n"/>
      <c r="X31" s="115" t="n"/>
      <c r="Y31" s="115" t="n"/>
      <c r="Z31" s="115" t="n"/>
      <c r="AA31" s="115" t="n"/>
      <c r="AB31" s="115" t="n"/>
      <c r="AC31" s="115" t="n"/>
      <c r="AD31" s="115" t="n"/>
      <c r="AE31" s="115" t="n"/>
      <c r="AF31" s="115" t="n"/>
      <c r="AG31" s="115" t="n"/>
      <c r="AH31" s="115" t="n"/>
      <c r="AI31" s="115" t="n"/>
      <c r="AJ31" s="115" t="n"/>
      <c r="AK31" s="115" t="n"/>
      <c r="AL31" s="115" t="n"/>
      <c r="AM31" s="115" t="n"/>
      <c r="AN31" s="115" t="n"/>
      <c r="AO31" s="115" t="n"/>
      <c r="AP31" s="115" t="n"/>
      <c r="AQ31" s="115" t="n"/>
      <c r="AR31" s="115" t="n"/>
      <c r="AS31" s="115" t="n"/>
      <c r="AT31" s="115" t="n"/>
      <c r="AU31" s="115" t="n"/>
      <c r="AV31" s="115" t="n"/>
      <c r="AW31" s="127" t="n"/>
      <c r="AX31" s="127" t="n"/>
      <c r="AY31" s="119" t="n"/>
      <c r="AZ31" s="119" t="n"/>
      <c r="BA31" s="119">
        <f>IF($AX31="","",IFERROR(FLOOR(ROUND(VLOOKUP($AX31,DADOS!$CL$5:$CM$10,2,FALSE)*IF($AY31="",1,VLOOKUP($AY31,DADOS!$CO$5:$CP$7,2,FALSE))*IF($AZ31="",1,VLOOKUP($AZ31,DADOS!$CR$5:$CS$9,2,FALSE)),4),12.5),""))</f>
        <v/>
      </c>
      <c r="BB31" s="115" t="n"/>
      <c r="BC31" s="127" t="n"/>
      <c r="BD31" s="127" t="n"/>
      <c r="BE31" s="119" t="n"/>
      <c r="BF31" s="119" t="n"/>
      <c r="BG31" s="119">
        <f>IF($BD31="","",IFERROR(FLOOR(ROUND(VLOOKUP($BD31,DADOS!$CL$5:$CM$10,2,FALSE)*IF($BE31="",1,VLOOKUP($BE31,DADOS!$CO$5:$CP$7,2,FALSE))*IF($BF31="",1,VLOOKUP($BF31,DADOS!$CR$5:$CS$9,2,FALSE)),4),12.5),""))</f>
        <v/>
      </c>
      <c r="BH31" s="115" t="n"/>
      <c r="BI31" s="127" t="n"/>
      <c r="BJ31" s="127" t="n"/>
      <c r="BK31" s="119" t="n"/>
      <c r="BL31" s="119" t="n"/>
      <c r="BM31" s="119">
        <f>IF($BJ31="","",IFERROR(FLOOR(ROUND(VLOOKUP($BJ31,DADOS!$CL$5:$CM$10,2,FALSE)*IF($BK31="",1,VLOOKUP($BK31,DADOS!$CO$5:$CP$7,2,FALSE))*IF($BL31="",1,VLOOKUP($BL31,DADOS!$CR$5:$CS$9,2,FALSE)),4),12.5),""))</f>
        <v/>
      </c>
      <c r="BN31" s="115" t="n"/>
      <c r="BO31" s="127" t="n"/>
      <c r="BP31" s="127" t="n"/>
      <c r="BQ31" s="119" t="n"/>
      <c r="BR31" s="119" t="n"/>
      <c r="BS31" s="119">
        <f>IF($BP31="","",IFERROR(FLOOR(ROUND(VLOOKUP($BP31,DADOS!$CL$5:$CM$10,2,FALSE)*IF($BQ31="",1,VLOOKUP($BQ31,DADOS!$CO$5:$CP$7,2,FALSE))*IF($BR31="",1,VLOOKUP($BR31,DADOS!$CR$5:$CS$9,2,FALSE)),4),12.5),""))</f>
        <v/>
      </c>
      <c r="BT31" s="115" t="n"/>
    </row>
    <row r="32">
      <c r="A32" s="8" t="n"/>
      <c r="B32" s="22" t="n"/>
      <c r="C32" s="115" t="n"/>
      <c r="D32" s="16" t="n"/>
      <c r="O32" s="17" t="n"/>
      <c r="P32" s="115" t="n"/>
      <c r="Q32" s="52" t="inlineStr">
        <is>
          <t>LAÇOS E ANOTAÇÕES</t>
        </is>
      </c>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2" t="n"/>
      <c r="AU32" s="115" t="n"/>
      <c r="AV32" s="115" t="n"/>
      <c r="AW32" s="127" t="n"/>
      <c r="AX32" s="127" t="n"/>
      <c r="AY32" s="119" t="n"/>
      <c r="AZ32" s="119" t="n"/>
      <c r="BA32" s="119">
        <f>IF($AX32="","",IFERROR(FLOOR(ROUND(VLOOKUP($AX32,DADOS!$CL$5:$CM$10,2,FALSE)*IF($AY32="",1,VLOOKUP($AY32,DADOS!$CO$5:$CP$7,2,FALSE))*IF($AZ32="",1,VLOOKUP($AZ32,DADOS!$CR$5:$CS$9,2,FALSE)),4),12.5),""))</f>
        <v/>
      </c>
      <c r="BB32" s="115" t="n"/>
      <c r="BC32" s="127" t="n"/>
      <c r="BD32" s="127" t="n"/>
      <c r="BE32" s="119" t="n"/>
      <c r="BF32" s="119" t="n"/>
      <c r="BG32" s="119">
        <f>IF($BD32="","",IFERROR(FLOOR(ROUND(VLOOKUP($BD32,DADOS!$CL$5:$CM$10,2,FALSE)*IF($BE32="",1,VLOOKUP($BE32,DADOS!$CO$5:$CP$7,2,FALSE))*IF($BF32="",1,VLOOKUP($BF32,DADOS!$CR$5:$CS$9,2,FALSE)),4),12.5),""))</f>
        <v/>
      </c>
      <c r="BH32" s="115" t="n"/>
      <c r="BI32" s="127" t="n"/>
      <c r="BJ32" s="127" t="n"/>
      <c r="BK32" s="119" t="n"/>
      <c r="BL32" s="119" t="n"/>
      <c r="BM32" s="119">
        <f>IF($BJ32="","",IFERROR(FLOOR(ROUND(VLOOKUP($BJ32,DADOS!$CL$5:$CM$10,2,FALSE)*IF($BK32="",1,VLOOKUP($BK32,DADOS!$CO$5:$CP$7,2,FALSE))*IF($BL32="",1,VLOOKUP($BL32,DADOS!$CR$5:$CS$9,2,FALSE)),4),12.5),""))</f>
        <v/>
      </c>
      <c r="BN32" s="115" t="n"/>
      <c r="BO32" s="127" t="n"/>
      <c r="BP32" s="127" t="n"/>
      <c r="BQ32" s="119" t="n"/>
      <c r="BR32" s="119" t="n"/>
      <c r="BS32" s="119">
        <f>IF($BP32="","",IFERROR(FLOOR(ROUND(VLOOKUP($BP32,DADOS!$CL$5:$CM$10,2,FALSE)*IF($BQ32="",1,VLOOKUP($BQ32,DADOS!$CO$5:$CP$7,2,FALSE))*IF($BR32="",1,VLOOKUP($BR32,DADOS!$CR$5:$CS$9,2,FALSE)),4),12.5),""))</f>
        <v/>
      </c>
      <c r="BT32" s="115" t="n"/>
    </row>
    <row r="33">
      <c r="A33" s="45" t="inlineStr">
        <is>
          <t>FICHA PESSOAL</t>
        </is>
      </c>
      <c r="B33" s="17" t="n"/>
      <c r="C33" s="115" t="n"/>
      <c r="D33" s="16" t="n"/>
      <c r="O33" s="17" t="n"/>
      <c r="P33" s="115" t="n"/>
      <c r="Q33" s="120"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5" t="n"/>
      <c r="AU33" s="115" t="n"/>
      <c r="AV33" s="115" t="n"/>
      <c r="AW33" s="127" t="n"/>
      <c r="AX33" s="127" t="n"/>
      <c r="AY33" s="119" t="n"/>
      <c r="AZ33" s="119" t="n"/>
      <c r="BA33" s="119">
        <f>IF($AX33="","",IFERROR(FLOOR(ROUND(VLOOKUP($AX33,DADOS!$CL$5:$CM$10,2,FALSE)*IF($AY33="",1,VLOOKUP($AY33,DADOS!$CO$5:$CP$7,2,FALSE))*IF($AZ33="",1,VLOOKUP($AZ33,DADOS!$CR$5:$CS$9,2,FALSE)),4),12.5),""))</f>
        <v/>
      </c>
      <c r="BB33" s="115" t="n"/>
      <c r="BC33" s="127" t="n"/>
      <c r="BD33" s="127" t="n"/>
      <c r="BE33" s="119" t="n"/>
      <c r="BF33" s="119" t="n"/>
      <c r="BG33" s="119">
        <f>IF($BD33="","",IFERROR(FLOOR(ROUND(VLOOKUP($BD33,DADOS!$CL$5:$CM$10,2,FALSE)*IF($BE33="",1,VLOOKUP($BE33,DADOS!$CO$5:$CP$7,2,FALSE))*IF($BF33="",1,VLOOKUP($BF33,DADOS!$CR$5:$CS$9,2,FALSE)),4),12.5),""))</f>
        <v/>
      </c>
      <c r="BH33" s="115" t="n"/>
      <c r="BI33" s="127" t="n"/>
      <c r="BJ33" s="127" t="n"/>
      <c r="BK33" s="119" t="n"/>
      <c r="BL33" s="119" t="n"/>
      <c r="BM33" s="119">
        <f>IF($BJ33="","",IFERROR(FLOOR(ROUND(VLOOKUP($BJ33,DADOS!$CL$5:$CM$10,2,FALSE)*IF($BK33="",1,VLOOKUP($BK33,DADOS!$CO$5:$CP$7,2,FALSE))*IF($BL33="",1,VLOOKUP($BL33,DADOS!$CR$5:$CS$9,2,FALSE)),4),12.5),""))</f>
        <v/>
      </c>
      <c r="BN33" s="115" t="n"/>
      <c r="BO33" s="127" t="n"/>
      <c r="BP33" s="127" t="n"/>
      <c r="BQ33" s="119" t="n"/>
      <c r="BR33" s="119" t="n"/>
      <c r="BS33" s="119">
        <f>IF($BP33="","",IFERROR(FLOOR(ROUND(VLOOKUP($BP33,DADOS!$CL$5:$CM$10,2,FALSE)*IF($BQ33="",1,VLOOKUP($BQ33,DADOS!$CO$5:$CP$7,2,FALSE))*IF($BR33="",1,VLOOKUP($BR33,DADOS!$CR$5:$CS$9,2,FALSE)),4),12.5),""))</f>
        <v/>
      </c>
      <c r="BT33" s="115" t="n"/>
    </row>
    <row r="34">
      <c r="B34" s="17" t="n"/>
      <c r="C34" s="115" t="n"/>
      <c r="D34" s="16" t="n"/>
      <c r="O34" s="17" t="n"/>
      <c r="P34" s="115" t="n"/>
      <c r="Q34" s="16" t="n"/>
      <c r="AT34" s="17" t="n"/>
      <c r="AU34" s="115" t="n"/>
      <c r="AV34" s="115" t="n"/>
      <c r="AW34" s="127" t="n"/>
      <c r="AX34" s="127" t="n"/>
      <c r="AY34" s="119" t="n"/>
      <c r="AZ34" s="119" t="n"/>
      <c r="BA34" s="119">
        <f>IF($AX34="","",IFERROR(FLOOR(ROUND(VLOOKUP($AX34,DADOS!$CL$5:$CM$10,2,FALSE)*IF($AY34="",1,VLOOKUP($AY34,DADOS!$CO$5:$CP$7,2,FALSE))*IF($AZ34="",1,VLOOKUP($AZ34,DADOS!$CR$5:$CS$9,2,FALSE)),4),12.5),""))</f>
        <v/>
      </c>
      <c r="BB34" s="115" t="n"/>
      <c r="BC34" s="127" t="n"/>
      <c r="BD34" s="127" t="n"/>
      <c r="BE34" s="119" t="n"/>
      <c r="BF34" s="119" t="n"/>
      <c r="BG34" s="119">
        <f>IF($BD34="","",IFERROR(FLOOR(ROUND(VLOOKUP($BD34,DADOS!$CL$5:$CM$10,2,FALSE)*IF($BE34="",1,VLOOKUP($BE34,DADOS!$CO$5:$CP$7,2,FALSE))*IF($BF34="",1,VLOOKUP($BF34,DADOS!$CR$5:$CS$9,2,FALSE)),4),12.5),""))</f>
        <v/>
      </c>
      <c r="BH34" s="115" t="n"/>
      <c r="BI34" s="127" t="n"/>
      <c r="BJ34" s="127" t="n"/>
      <c r="BK34" s="119" t="n"/>
      <c r="BL34" s="119" t="n"/>
      <c r="BM34" s="119">
        <f>IF($BJ34="","",IFERROR(FLOOR(ROUND(VLOOKUP($BJ34,DADOS!$CL$5:$CM$10,2,FALSE)*IF($BK34="",1,VLOOKUP($BK34,DADOS!$CO$5:$CP$7,2,FALSE))*IF($BL34="",1,VLOOKUP($BL34,DADOS!$CR$5:$CS$9,2,FALSE)),4),12.5),""))</f>
        <v/>
      </c>
      <c r="BN34" s="115" t="n"/>
      <c r="BO34" s="127" t="n"/>
      <c r="BP34" s="127" t="n"/>
      <c r="BQ34" s="119" t="n"/>
      <c r="BR34" s="119" t="n"/>
      <c r="BS34" s="119">
        <f>IF($BP34="","",IFERROR(FLOOR(ROUND(VLOOKUP($BP34,DADOS!$CL$5:$CM$10,2,FALSE)*IF($BQ34="",1,VLOOKUP($BQ34,DADOS!$CO$5:$CP$7,2,FALSE))*IF($BR34="",1,VLOOKUP($BR34,DADOS!$CR$5:$CS$9,2,FALSE)),4),12.5),""))</f>
        <v/>
      </c>
      <c r="BT34" s="115" t="n"/>
    </row>
    <row r="35">
      <c r="B35" s="17" t="n"/>
      <c r="C35" s="115" t="n"/>
      <c r="D35" s="16" t="n"/>
      <c r="O35" s="17" t="n"/>
      <c r="P35" s="115" t="n"/>
      <c r="Q35" s="16" t="n"/>
      <c r="AT35" s="17" t="n"/>
      <c r="AU35" s="115" t="n"/>
      <c r="AV35" s="115" t="n"/>
      <c r="AW35" s="127" t="n"/>
      <c r="AX35" s="127" t="n"/>
      <c r="AY35" s="119" t="n"/>
      <c r="AZ35" s="119" t="n"/>
      <c r="BA35" s="119">
        <f>IF($AX35="","",IFERROR(FLOOR(ROUND(VLOOKUP($AX35,DADOS!$CL$5:$CM$10,2,FALSE)*IF($AY35="",1,VLOOKUP($AY35,DADOS!$CO$5:$CP$7,2,FALSE))*IF($AZ35="",1,VLOOKUP($AZ35,DADOS!$CR$5:$CS$9,2,FALSE)),4),12.5),""))</f>
        <v/>
      </c>
      <c r="BB35" s="115" t="n"/>
      <c r="BC35" s="127" t="n"/>
      <c r="BD35" s="127" t="n"/>
      <c r="BE35" s="119" t="n"/>
      <c r="BF35" s="119" t="n"/>
      <c r="BG35" s="119">
        <f>IF($BD35="","",IFERROR(FLOOR(ROUND(VLOOKUP($BD35,DADOS!$CL$5:$CM$10,2,FALSE)*IF($BE35="",1,VLOOKUP($BE35,DADOS!$CO$5:$CP$7,2,FALSE))*IF($BF35="",1,VLOOKUP($BF35,DADOS!$CR$5:$CS$9,2,FALSE)),4),12.5),""))</f>
        <v/>
      </c>
      <c r="BH35" s="115" t="n"/>
      <c r="BI35" s="127" t="n"/>
      <c r="BJ35" s="127" t="n"/>
      <c r="BK35" s="119" t="n"/>
      <c r="BL35" s="119" t="n"/>
      <c r="BM35" s="119">
        <f>IF($BJ35="","",IFERROR(FLOOR(ROUND(VLOOKUP($BJ35,DADOS!$CL$5:$CM$10,2,FALSE)*IF($BK35="",1,VLOOKUP($BK35,DADOS!$CO$5:$CP$7,2,FALSE))*IF($BL35="",1,VLOOKUP($BL35,DADOS!$CR$5:$CS$9,2,FALSE)),4),12.5),""))</f>
        <v/>
      </c>
      <c r="BN35" s="115" t="n"/>
      <c r="BO35" s="127" t="n"/>
      <c r="BP35" s="127" t="n"/>
      <c r="BQ35" s="119" t="n"/>
      <c r="BR35" s="119" t="n"/>
      <c r="BS35" s="119">
        <f>IF($BP35="","",IFERROR(FLOOR(ROUND(VLOOKUP($BP35,DADOS!$CL$5:$CM$10,2,FALSE)*IF($BQ35="",1,VLOOKUP($BQ35,DADOS!$CO$5:$CP$7,2,FALSE))*IF($BR35="",1,VLOOKUP($BR35,DADOS!$CR$5:$CS$9,2,FALSE)),4),12.5),""))</f>
        <v/>
      </c>
      <c r="BT35" s="115" t="n"/>
    </row>
    <row r="36">
      <c r="B36" s="17" t="n"/>
      <c r="C36" s="115" t="n"/>
      <c r="D36" s="18" t="n"/>
      <c r="E36" s="19" t="n"/>
      <c r="F36" s="19" t="n"/>
      <c r="G36" s="19" t="n"/>
      <c r="H36" s="19" t="n"/>
      <c r="I36" s="19" t="n"/>
      <c r="J36" s="19" t="n"/>
      <c r="K36" s="19" t="n"/>
      <c r="L36" s="19" t="n"/>
      <c r="M36" s="19" t="n"/>
      <c r="N36" s="19" t="n"/>
      <c r="O36" s="20" t="n"/>
      <c r="P36" s="115" t="n"/>
      <c r="Q36" s="18" t="n"/>
      <c r="R36" s="19" t="n"/>
      <c r="S36" s="19" t="n"/>
      <c r="T36" s="19" t="n"/>
      <c r="U36" s="19" t="n"/>
      <c r="V36" s="19" t="n"/>
      <c r="W36" s="19" t="n"/>
      <c r="X36" s="19" t="n"/>
      <c r="Y36" s="19" t="n"/>
      <c r="Z36" s="19" t="n"/>
      <c r="AA36" s="19" t="n"/>
      <c r="AB36" s="19" t="n"/>
      <c r="AC36" s="19" t="n"/>
      <c r="AD36" s="19" t="n"/>
      <c r="AE36" s="19" t="n"/>
      <c r="AF36" s="19" t="n"/>
      <c r="AG36" s="19" t="n"/>
      <c r="AH36" s="19" t="n"/>
      <c r="AI36" s="19" t="n"/>
      <c r="AJ36" s="19" t="n"/>
      <c r="AK36" s="19" t="n"/>
      <c r="AL36" s="19" t="n"/>
      <c r="AM36" s="19" t="n"/>
      <c r="AN36" s="19" t="n"/>
      <c r="AO36" s="19" t="n"/>
      <c r="AP36" s="19" t="n"/>
      <c r="AQ36" s="19" t="n"/>
      <c r="AR36" s="19" t="n"/>
      <c r="AS36" s="19" t="n"/>
      <c r="AT36" s="20" t="n"/>
      <c r="AU36" s="115" t="n"/>
      <c r="AV36" s="115" t="n"/>
      <c r="AW36" s="127" t="n"/>
      <c r="AX36" s="127" t="n"/>
      <c r="AY36" s="119" t="n"/>
      <c r="AZ36" s="119" t="n"/>
      <c r="BA36" s="119">
        <f>IF($AX36="","",IFERROR(FLOOR(ROUND(VLOOKUP($AX36,DADOS!$CL$5:$CM$10,2,FALSE)*IF($AY36="",1,VLOOKUP($AY36,DADOS!$CO$5:$CP$7,2,FALSE))*IF($AZ36="",1,VLOOKUP($AZ36,DADOS!$CR$5:$CS$9,2,FALSE)),4),12.5),""))</f>
        <v/>
      </c>
      <c r="BB36" s="115" t="n"/>
      <c r="BC36" s="127" t="n"/>
      <c r="BD36" s="127" t="n"/>
      <c r="BE36" s="119" t="n"/>
      <c r="BF36" s="119" t="n"/>
      <c r="BG36" s="119">
        <f>IF($BD36="","",IFERROR(FLOOR(ROUND(VLOOKUP($BD36,DADOS!$CL$5:$CM$10,2,FALSE)*IF($BE36="",1,VLOOKUP($BE36,DADOS!$CO$5:$CP$7,2,FALSE))*IF($BF36="",1,VLOOKUP($BF36,DADOS!$CR$5:$CS$9,2,FALSE)),4),12.5),""))</f>
        <v/>
      </c>
      <c r="BH36" s="115" t="n"/>
      <c r="BI36" s="127" t="n"/>
      <c r="BJ36" s="127" t="n"/>
      <c r="BK36" s="119" t="n"/>
      <c r="BL36" s="119" t="n"/>
      <c r="BM36" s="119">
        <f>IF($BJ36="","",IFERROR(FLOOR(ROUND(VLOOKUP($BJ36,DADOS!$CL$5:$CM$10,2,FALSE)*IF($BK36="",1,VLOOKUP($BK36,DADOS!$CO$5:$CP$7,2,FALSE))*IF($BL36="",1,VLOOKUP($BL36,DADOS!$CR$5:$CS$9,2,FALSE)),4),12.5),""))</f>
        <v/>
      </c>
      <c r="BN36" s="115" t="n"/>
      <c r="BO36" s="127" t="n"/>
      <c r="BP36" s="127" t="n"/>
      <c r="BQ36" s="119" t="n"/>
      <c r="BR36" s="119" t="n"/>
      <c r="BS36" s="119">
        <f>IF($BP36="","",IFERROR(FLOOR(ROUND(VLOOKUP($BP36,DADOS!$CL$5:$CM$10,2,FALSE)*IF($BQ36="",1,VLOOKUP($BQ36,DADOS!$CO$5:$CP$7,2,FALSE))*IF($BR36="",1,VLOOKUP($BR36,DADOS!$CR$5:$CS$9,2,FALSE)),4),12.5),""))</f>
        <v/>
      </c>
      <c r="BT36" s="115" t="n"/>
    </row>
    <row r="37">
      <c r="B37" s="17" t="n"/>
      <c r="C37" s="115" t="n"/>
      <c r="D37" s="115" t="n"/>
      <c r="E37" s="115" t="n"/>
      <c r="F37" s="115" t="n"/>
      <c r="G37" s="115" t="n"/>
      <c r="H37" s="115" t="n"/>
      <c r="I37" s="115" t="n"/>
      <c r="J37" s="115" t="n"/>
      <c r="K37" s="115" t="n"/>
      <c r="L37" s="115" t="n"/>
      <c r="M37" s="115" t="n"/>
      <c r="N37" s="115" t="n"/>
      <c r="O37" s="115" t="n"/>
      <c r="P37" s="115" t="n"/>
      <c r="Q37" s="115" t="n"/>
      <c r="R37" s="115" t="n"/>
      <c r="S37" s="115" t="n"/>
      <c r="T37" s="115" t="n"/>
      <c r="U37" s="115" t="n"/>
      <c r="V37" s="115" t="n"/>
      <c r="W37" s="115" t="n"/>
      <c r="X37" s="115" t="n"/>
      <c r="Y37" s="115" t="n"/>
      <c r="Z37" s="115" t="n"/>
      <c r="AA37" s="115" t="n"/>
      <c r="AB37" s="115" t="n"/>
      <c r="AC37" s="115" t="n"/>
      <c r="AD37" s="115" t="n"/>
      <c r="AE37" s="115" t="n"/>
      <c r="AF37" s="115" t="n"/>
      <c r="AG37" s="115" t="n"/>
      <c r="AH37" s="115" t="n"/>
      <c r="AI37" s="115" t="n"/>
      <c r="AJ37" s="115" t="n"/>
      <c r="AK37" s="115" t="n"/>
      <c r="AL37" s="115" t="n"/>
      <c r="AM37" s="115" t="n"/>
      <c r="AN37" s="115" t="n"/>
      <c r="AO37" s="115" t="n"/>
      <c r="AP37" s="115" t="n"/>
      <c r="AQ37" s="115" t="n"/>
      <c r="AR37" s="115" t="n"/>
      <c r="AS37" s="115" t="n"/>
      <c r="AT37" s="115" t="n"/>
      <c r="AU37" s="115" t="n"/>
      <c r="AV37" s="115" t="n"/>
      <c r="AW37" s="127" t="n"/>
      <c r="AX37" s="127" t="n"/>
      <c r="AY37" s="119" t="n"/>
      <c r="AZ37" s="119" t="n"/>
      <c r="BA37" s="119">
        <f>IF($AX37="","",IFERROR(FLOOR(ROUND(VLOOKUP($AX37,DADOS!$CL$5:$CM$10,2,FALSE)*IF($AY37="",1,VLOOKUP($AY37,DADOS!$CO$5:$CP$7,2,FALSE))*IF($AZ37="",1,VLOOKUP($AZ37,DADOS!$CR$5:$CS$9,2,FALSE)),4),12.5),""))</f>
        <v/>
      </c>
      <c r="BB37" s="115" t="n"/>
      <c r="BC37" s="127" t="n"/>
      <c r="BD37" s="127" t="n"/>
      <c r="BE37" s="119" t="n"/>
      <c r="BF37" s="119" t="n"/>
      <c r="BG37" s="119">
        <f>IF($BD37="","",IFERROR(FLOOR(ROUND(VLOOKUP($BD37,DADOS!$CL$5:$CM$10,2,FALSE)*IF($BE37="",1,VLOOKUP($BE37,DADOS!$CO$5:$CP$7,2,FALSE))*IF($BF37="",1,VLOOKUP($BF37,DADOS!$CR$5:$CS$9,2,FALSE)),4),12.5),""))</f>
        <v/>
      </c>
      <c r="BH37" s="115" t="n"/>
      <c r="BI37" s="127" t="n"/>
      <c r="BJ37" s="127" t="n"/>
      <c r="BK37" s="119" t="n"/>
      <c r="BL37" s="119" t="n"/>
      <c r="BM37" s="119">
        <f>IF($BJ37="","",IFERROR(FLOOR(ROUND(VLOOKUP($BJ37,DADOS!$CL$5:$CM$10,2,FALSE)*IF($BK37="",1,VLOOKUP($BK37,DADOS!$CO$5:$CP$7,2,FALSE))*IF($BL37="",1,VLOOKUP($BL37,DADOS!$CR$5:$CS$9,2,FALSE)),4),12.5),""))</f>
        <v/>
      </c>
      <c r="BN37" s="115" t="n"/>
      <c r="BO37" s="127" t="n"/>
      <c r="BP37" s="127" t="n"/>
      <c r="BQ37" s="119" t="n"/>
      <c r="BR37" s="119" t="n"/>
      <c r="BS37" s="119">
        <f>IF($BP37="","",IFERROR(FLOOR(ROUND(VLOOKUP($BP37,DADOS!$CL$5:$CM$10,2,FALSE)*IF($BQ37="",1,VLOOKUP($BQ37,DADOS!$CO$5:$CP$7,2,FALSE))*IF($BR37="",1,VLOOKUP($BR37,DADOS!$CR$5:$CS$9,2,FALSE)),4),12.5),""))</f>
        <v/>
      </c>
      <c r="BT37" s="115" t="n"/>
    </row>
    <row r="38">
      <c r="B38" s="17" t="n"/>
      <c r="C38" s="115" t="n"/>
      <c r="D38" s="118" t="inlineStr">
        <is>
          <t>EM USO</t>
        </is>
      </c>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5" t="n"/>
      <c r="AU38" s="115" t="n"/>
      <c r="AV38" s="115" t="n"/>
      <c r="AW38" s="127" t="n"/>
      <c r="AX38" s="127" t="n"/>
      <c r="AY38" s="119" t="n"/>
      <c r="AZ38" s="119" t="n"/>
      <c r="BA38" s="119">
        <f>IF($AX38="","",IFERROR(FLOOR(ROUND(VLOOKUP($AX38,DADOS!$CL$5:$CM$10,2,FALSE)*IF($AY38="",1,VLOOKUP($AY38,DADOS!$CO$5:$CP$7,2,FALSE))*IF($AZ38="",1,VLOOKUP($AZ38,DADOS!$CR$5:$CS$9,2,FALSE)),4),12.5),""))</f>
        <v/>
      </c>
      <c r="BB38" s="115" t="n"/>
      <c r="BC38" s="127" t="n"/>
      <c r="BD38" s="127" t="n"/>
      <c r="BE38" s="119" t="n"/>
      <c r="BF38" s="119" t="n"/>
      <c r="BG38" s="119">
        <f>IF($BD38="","",IFERROR(FLOOR(ROUND(VLOOKUP($BD38,DADOS!$CL$5:$CM$10,2,FALSE)*IF($BE38="",1,VLOOKUP($BE38,DADOS!$CO$5:$CP$7,2,FALSE))*IF($BF38="",1,VLOOKUP($BF38,DADOS!$CR$5:$CS$9,2,FALSE)),4),12.5),""))</f>
        <v/>
      </c>
      <c r="BH38" s="115" t="n"/>
      <c r="BI38" s="127" t="n"/>
      <c r="BJ38" s="127" t="n"/>
      <c r="BK38" s="119" t="n"/>
      <c r="BL38" s="119" t="n"/>
      <c r="BM38" s="119">
        <f>IF($BJ38="","",IFERROR(FLOOR(ROUND(VLOOKUP($BJ38,DADOS!$CL$5:$CM$10,2,FALSE)*IF($BK38="",1,VLOOKUP($BK38,DADOS!$CO$5:$CP$7,2,FALSE))*IF($BL38="",1,VLOOKUP($BL38,DADOS!$CR$5:$CS$9,2,FALSE)),4),12.5),""))</f>
        <v/>
      </c>
      <c r="BN38" s="115" t="n"/>
      <c r="BO38" s="127" t="n"/>
      <c r="BP38" s="127" t="n"/>
      <c r="BQ38" s="119" t="n"/>
      <c r="BR38" s="119" t="n"/>
      <c r="BS38" s="119">
        <f>IF($BP38="","",IFERROR(FLOOR(ROUND(VLOOKUP($BP38,DADOS!$CL$5:$CM$10,2,FALSE)*IF($BQ38="",1,VLOOKUP($BQ38,DADOS!$CO$5:$CP$7,2,FALSE))*IF($BR38="",1,VLOOKUP($BR38,DADOS!$CR$5:$CS$9,2,FALSE)),4),12.5),""))</f>
        <v/>
      </c>
      <c r="BT38" s="115" t="n"/>
    </row>
    <row r="39">
      <c r="B39" s="17" t="n"/>
      <c r="C39" s="115" t="n"/>
      <c r="D39" s="18" t="n"/>
      <c r="E39" s="19" t="n"/>
      <c r="F39" s="19" t="n"/>
      <c r="G39" s="19" t="n"/>
      <c r="H39" s="19" t="n"/>
      <c r="I39" s="19" t="n"/>
      <c r="J39" s="19" t="n"/>
      <c r="K39" s="19" t="n"/>
      <c r="L39" s="19" t="n"/>
      <c r="M39" s="19" t="n"/>
      <c r="N39" s="19" t="n"/>
      <c r="O39" s="19" t="n"/>
      <c r="P39" s="19" t="n"/>
      <c r="Q39" s="19" t="n"/>
      <c r="R39" s="19" t="n"/>
      <c r="S39" s="19" t="n"/>
      <c r="T39" s="19" t="n"/>
      <c r="U39" s="19" t="n"/>
      <c r="V39" s="19" t="n"/>
      <c r="W39" s="19" t="n"/>
      <c r="X39" s="19" t="n"/>
      <c r="Y39" s="19" t="n"/>
      <c r="Z39" s="19" t="n"/>
      <c r="AA39" s="19" t="n"/>
      <c r="AB39" s="19" t="n"/>
      <c r="AC39" s="19" t="n"/>
      <c r="AD39" s="19" t="n"/>
      <c r="AE39" s="19" t="n"/>
      <c r="AF39" s="19" t="n"/>
      <c r="AG39" s="19" t="n"/>
      <c r="AH39" s="19" t="n"/>
      <c r="AI39" s="19" t="n"/>
      <c r="AJ39" s="19" t="n"/>
      <c r="AK39" s="19" t="n"/>
      <c r="AL39" s="19" t="n"/>
      <c r="AM39" s="19" t="n"/>
      <c r="AN39" s="19" t="n"/>
      <c r="AO39" s="19" t="n"/>
      <c r="AP39" s="19" t="n"/>
      <c r="AQ39" s="19" t="n"/>
      <c r="AR39" s="19" t="n"/>
      <c r="AS39" s="19" t="n"/>
      <c r="AT39" s="20" t="n"/>
      <c r="AU39" s="115" t="n"/>
      <c r="AV39" s="115" t="n"/>
      <c r="AW39" s="127" t="n"/>
      <c r="AX39" s="127" t="n"/>
      <c r="AY39" s="119" t="n"/>
      <c r="AZ39" s="119" t="n"/>
      <c r="BA39" s="119">
        <f>IF($AX39="","",IFERROR(FLOOR(ROUND(VLOOKUP($AX39,DADOS!$CL$5:$CM$10,2,FALSE)*IF($AY39="",1,VLOOKUP($AY39,DADOS!$CO$5:$CP$7,2,FALSE))*IF($AZ39="",1,VLOOKUP($AZ39,DADOS!$CR$5:$CS$9,2,FALSE)),4),12.5),""))</f>
        <v/>
      </c>
      <c r="BB39" s="115" t="n"/>
      <c r="BC39" s="127" t="n"/>
      <c r="BD39" s="127" t="n"/>
      <c r="BE39" s="119" t="n"/>
      <c r="BF39" s="119" t="n"/>
      <c r="BG39" s="119">
        <f>IF($BD39="","",IFERROR(FLOOR(ROUND(VLOOKUP($BD39,DADOS!$CL$5:$CM$10,2,FALSE)*IF($BE39="",1,VLOOKUP($BE39,DADOS!$CO$5:$CP$7,2,FALSE))*IF($BF39="",1,VLOOKUP($BF39,DADOS!$CR$5:$CS$9,2,FALSE)),4),12.5),""))</f>
        <v/>
      </c>
      <c r="BH39" s="115" t="n"/>
      <c r="BI39" s="127" t="n"/>
      <c r="BJ39" s="127" t="n"/>
      <c r="BK39" s="119" t="n"/>
      <c r="BL39" s="119" t="n"/>
      <c r="BM39" s="119">
        <f>IF($BJ39="","",IFERROR(FLOOR(ROUND(VLOOKUP($BJ39,DADOS!$CL$5:$CM$10,2,FALSE)*IF($BK39="",1,VLOOKUP($BK39,DADOS!$CO$5:$CP$7,2,FALSE))*IF($BL39="",1,VLOOKUP($BL39,DADOS!$CR$5:$CS$9,2,FALSE)),4),12.5),""))</f>
        <v/>
      </c>
      <c r="BN39" s="115" t="n"/>
      <c r="BO39" s="127" t="n"/>
      <c r="BP39" s="127" t="n"/>
      <c r="BQ39" s="119" t="n"/>
      <c r="BR39" s="119" t="n"/>
      <c r="BS39" s="119">
        <f>IF($BP39="","",IFERROR(FLOOR(ROUND(VLOOKUP($BP39,DADOS!$CL$5:$CM$10,2,FALSE)*IF($BQ39="",1,VLOOKUP($BQ39,DADOS!$CO$5:$CP$7,2,FALSE))*IF($BR39="",1,VLOOKUP($BR39,DADOS!$CR$5:$CS$9,2,FALSE)),4),12.5),""))</f>
        <v/>
      </c>
      <c r="BT39" s="115" t="n"/>
    </row>
    <row r="40">
      <c r="B40" s="17" t="n"/>
      <c r="C40" s="115" t="n"/>
      <c r="D40" s="52" t="inlineStr">
        <is>
          <t>MÃO PRINCIPAL</t>
        </is>
      </c>
      <c r="E40" s="11" t="n"/>
      <c r="F40" s="11" t="n"/>
      <c r="G40" s="11" t="n"/>
      <c r="H40" s="11" t="n"/>
      <c r="I40" s="11" t="n"/>
      <c r="J40" s="11" t="n"/>
      <c r="K40" s="11" t="n"/>
      <c r="L40" s="11" t="n"/>
      <c r="M40" s="11" t="n"/>
      <c r="N40" s="11" t="n"/>
      <c r="O40" s="11" t="n"/>
      <c r="P40" s="11" t="n"/>
      <c r="Q40" s="12" t="n"/>
      <c r="R40" s="115" t="n"/>
      <c r="S40" s="52" t="inlineStr">
        <is>
          <t>MÃO SECUNDÁRIA</t>
        </is>
      </c>
      <c r="T40" s="11" t="n"/>
      <c r="U40" s="11" t="n"/>
      <c r="V40" s="11" t="n"/>
      <c r="W40" s="11" t="n"/>
      <c r="X40" s="11" t="n"/>
      <c r="Y40" s="11" t="n"/>
      <c r="Z40" s="11" t="n"/>
      <c r="AA40" s="11" t="n"/>
      <c r="AB40" s="11" t="n"/>
      <c r="AC40" s="11" t="n"/>
      <c r="AD40" s="11" t="n"/>
      <c r="AE40" s="11" t="n"/>
      <c r="AF40" s="12" t="n"/>
      <c r="AG40" s="115" t="n"/>
      <c r="AH40" s="52" t="inlineStr">
        <is>
          <t>VESTINDO</t>
        </is>
      </c>
      <c r="AI40" s="11" t="n"/>
      <c r="AJ40" s="11" t="n"/>
      <c r="AK40" s="11" t="n"/>
      <c r="AL40" s="11" t="n"/>
      <c r="AM40" s="11" t="n"/>
      <c r="AN40" s="11" t="n"/>
      <c r="AO40" s="11" t="n"/>
      <c r="AP40" s="11" t="n"/>
      <c r="AQ40" s="11" t="n"/>
      <c r="AR40" s="11" t="n"/>
      <c r="AS40" s="11" t="n"/>
      <c r="AT40" s="12" t="n"/>
      <c r="AU40" s="115" t="n"/>
      <c r="AV40" s="115" t="n"/>
      <c r="AW40" s="127" t="n"/>
      <c r="AX40" s="127" t="n"/>
      <c r="AY40" s="119" t="n"/>
      <c r="AZ40" s="119" t="n"/>
      <c r="BA40" s="119">
        <f>IF($AX40="","",IFERROR(FLOOR(ROUND(VLOOKUP($AX40,DADOS!$CL$5:$CM$10,2,FALSE)*IF($AY40="",1,VLOOKUP($AY40,DADOS!$CO$5:$CP$7,2,FALSE))*IF($AZ40="",1,VLOOKUP($AZ40,DADOS!$CR$5:$CS$9,2,FALSE)),4),12.5),""))</f>
        <v/>
      </c>
      <c r="BB40" s="115" t="n"/>
      <c r="BC40" s="127" t="n"/>
      <c r="BD40" s="127" t="n"/>
      <c r="BE40" s="119" t="n"/>
      <c r="BF40" s="119" t="n"/>
      <c r="BG40" s="119">
        <f>IF($BD40="","",IFERROR(FLOOR(ROUND(VLOOKUP($BD40,DADOS!$CL$5:$CM$10,2,FALSE)*IF($BE40="",1,VLOOKUP($BE40,DADOS!$CO$5:$CP$7,2,FALSE))*IF($BF40="",1,VLOOKUP($BF40,DADOS!$CR$5:$CS$9,2,FALSE)),4),12.5),""))</f>
        <v/>
      </c>
      <c r="BH40" s="115" t="n"/>
      <c r="BI40" s="127" t="n"/>
      <c r="BJ40" s="127" t="n"/>
      <c r="BK40" s="119" t="n"/>
      <c r="BL40" s="119" t="n"/>
      <c r="BM40" s="119">
        <f>IF($BJ40="","",IFERROR(FLOOR(ROUND(VLOOKUP($BJ40,DADOS!$CL$5:$CM$10,2,FALSE)*IF($BK40="",1,VLOOKUP($BK40,DADOS!$CO$5:$CP$7,2,FALSE))*IF($BL40="",1,VLOOKUP($BL40,DADOS!$CR$5:$CS$9,2,FALSE)),4),12.5),""))</f>
        <v/>
      </c>
      <c r="BN40" s="115" t="n"/>
      <c r="BO40" s="127" t="n"/>
      <c r="BP40" s="127" t="n"/>
      <c r="BQ40" s="119" t="n"/>
      <c r="BR40" s="119" t="n"/>
      <c r="BS40" s="119">
        <f>IF($BP40="","",IFERROR(FLOOR(ROUND(VLOOKUP($BP40,DADOS!$CL$5:$CM$10,2,FALSE)*IF($BQ40="",1,VLOOKUP($BQ40,DADOS!$CO$5:$CP$7,2,FALSE))*IF($BR40="",1,VLOOKUP($BR40,DADOS!$CR$5:$CS$9,2,FALSE)),4),12.5),""))</f>
        <v/>
      </c>
      <c r="BT40" s="115" t="n"/>
    </row>
    <row r="41">
      <c r="B41" s="17" t="n"/>
      <c r="C41" s="115" t="n"/>
      <c r="D41" s="80" t="inlineStr">
        <is>
          <t>Soco</t>
        </is>
      </c>
      <c r="E41" s="14" t="n"/>
      <c r="F41" s="14" t="n"/>
      <c r="G41" s="14" t="n"/>
      <c r="H41" s="14" t="n"/>
      <c r="I41" s="14" t="n"/>
      <c r="J41" s="14" t="n"/>
      <c r="K41" s="14" t="n"/>
      <c r="L41" s="14" t="n"/>
      <c r="M41" s="14" t="n"/>
      <c r="N41" s="14" t="n"/>
      <c r="O41" s="14" t="n"/>
      <c r="P41" s="14" t="n"/>
      <c r="Q41" s="15" t="n"/>
      <c r="R41" s="115" t="n"/>
      <c r="S41" s="80" t="inlineStr">
        <is>
          <t>—</t>
        </is>
      </c>
      <c r="T41" s="14" t="n"/>
      <c r="U41" s="14" t="n"/>
      <c r="V41" s="14" t="n"/>
      <c r="W41" s="14" t="n"/>
      <c r="X41" s="14" t="n"/>
      <c r="Y41" s="14" t="n"/>
      <c r="Z41" s="14" t="n"/>
      <c r="AA41" s="14" t="n"/>
      <c r="AB41" s="14" t="n"/>
      <c r="AC41" s="14" t="n"/>
      <c r="AD41" s="14" t="n"/>
      <c r="AE41" s="14" t="n"/>
      <c r="AF41" s="15" t="n"/>
      <c r="AG41" s="115" t="n"/>
      <c r="AH41" s="80" t="inlineStr">
        <is>
          <t>Traje 1</t>
        </is>
      </c>
      <c r="AI41" s="14" t="n"/>
      <c r="AJ41" s="14" t="n"/>
      <c r="AK41" s="14" t="n"/>
      <c r="AL41" s="14" t="n"/>
      <c r="AM41" s="14" t="n"/>
      <c r="AN41" s="14" t="n"/>
      <c r="AO41" s="14" t="n"/>
      <c r="AP41" s="14" t="n"/>
      <c r="AQ41" s="14" t="n"/>
      <c r="AR41" s="14" t="n"/>
      <c r="AS41" s="14" t="n"/>
      <c r="AT41" s="15" t="n"/>
      <c r="AU41" s="115" t="n"/>
      <c r="AV41" s="115" t="n"/>
      <c r="AW41" s="127" t="n"/>
      <c r="AX41" s="127" t="n"/>
      <c r="AY41" s="119" t="n"/>
      <c r="AZ41" s="119" t="n"/>
      <c r="BA41" s="119">
        <f>IF($AX41="","",IFERROR(FLOOR(ROUND(VLOOKUP($AX41,DADOS!$CL$5:$CM$10,2,FALSE)*IF($AY41="",1,VLOOKUP($AY41,DADOS!$CO$5:$CP$7,2,FALSE))*IF($AZ41="",1,VLOOKUP($AZ41,DADOS!$CR$5:$CS$9,2,FALSE)),4),12.5),""))</f>
        <v/>
      </c>
      <c r="BB41" s="115" t="n"/>
      <c r="BC41" s="127" t="n"/>
      <c r="BD41" s="127" t="n"/>
      <c r="BE41" s="119" t="n"/>
      <c r="BF41" s="119" t="n"/>
      <c r="BG41" s="119">
        <f>IF($BD41="","",IFERROR(FLOOR(ROUND(VLOOKUP($BD41,DADOS!$CL$5:$CM$10,2,FALSE)*IF($BE41="",1,VLOOKUP($BE41,DADOS!$CO$5:$CP$7,2,FALSE))*IF($BF41="",1,VLOOKUP($BF41,DADOS!$CR$5:$CS$9,2,FALSE)),4),12.5),""))</f>
        <v/>
      </c>
      <c r="BH41" s="115" t="n"/>
      <c r="BI41" s="127" t="n"/>
      <c r="BJ41" s="127" t="n"/>
      <c r="BK41" s="119" t="n"/>
      <c r="BL41" s="119" t="n"/>
      <c r="BM41" s="119">
        <f>IF($BJ41="","",IFERROR(FLOOR(ROUND(VLOOKUP($BJ41,DADOS!$CL$5:$CM$10,2,FALSE)*IF($BK41="",1,VLOOKUP($BK41,DADOS!$CO$5:$CP$7,2,FALSE))*IF($BL41="",1,VLOOKUP($BL41,DADOS!$CR$5:$CS$9,2,FALSE)),4),12.5),""))</f>
        <v/>
      </c>
      <c r="BN41" s="115" t="n"/>
      <c r="BO41" s="127" t="n"/>
      <c r="BP41" s="127" t="n"/>
      <c r="BQ41" s="119" t="n"/>
      <c r="BR41" s="119" t="n"/>
      <c r="BS41" s="119">
        <f>IF($BP41="","",IFERROR(FLOOR(ROUND(VLOOKUP($BP41,DADOS!$CL$5:$CM$10,2,FALSE)*IF($BQ41="",1,VLOOKUP($BQ41,DADOS!$CO$5:$CP$7,2,FALSE))*IF($BR41="",1,VLOOKUP($BR41,DADOS!$CR$5:$CS$9,2,FALSE)),4),12.5),""))</f>
        <v/>
      </c>
      <c r="BT41" s="115" t="n"/>
    </row>
    <row r="42">
      <c r="B42" s="17" t="n"/>
      <c r="C42" s="115" t="n"/>
      <c r="D42" s="18" t="n"/>
      <c r="E42" s="19" t="n"/>
      <c r="F42" s="19" t="n"/>
      <c r="G42" s="19" t="n"/>
      <c r="H42" s="19" t="n"/>
      <c r="I42" s="19" t="n"/>
      <c r="J42" s="19" t="n"/>
      <c r="K42" s="19" t="n"/>
      <c r="L42" s="19" t="n"/>
      <c r="M42" s="19" t="n"/>
      <c r="N42" s="19" t="n"/>
      <c r="O42" s="19" t="n"/>
      <c r="P42" s="19" t="n"/>
      <c r="Q42" s="20" t="n"/>
      <c r="R42" s="115" t="n"/>
      <c r="S42" s="18" t="n"/>
      <c r="T42" s="19" t="n"/>
      <c r="U42" s="19" t="n"/>
      <c r="V42" s="19" t="n"/>
      <c r="W42" s="19" t="n"/>
      <c r="X42" s="19" t="n"/>
      <c r="Y42" s="19" t="n"/>
      <c r="Z42" s="19" t="n"/>
      <c r="AA42" s="19" t="n"/>
      <c r="AB42" s="19" t="n"/>
      <c r="AC42" s="19" t="n"/>
      <c r="AD42" s="19" t="n"/>
      <c r="AE42" s="19" t="n"/>
      <c r="AF42" s="20" t="n"/>
      <c r="AG42" s="115" t="n"/>
      <c r="AH42" s="18" t="n"/>
      <c r="AI42" s="19" t="n"/>
      <c r="AJ42" s="19" t="n"/>
      <c r="AK42" s="19" t="n"/>
      <c r="AL42" s="19" t="n"/>
      <c r="AM42" s="19" t="n"/>
      <c r="AN42" s="19" t="n"/>
      <c r="AO42" s="19" t="n"/>
      <c r="AP42" s="19" t="n"/>
      <c r="AQ42" s="19" t="n"/>
      <c r="AR42" s="19" t="n"/>
      <c r="AS42" s="19" t="n"/>
      <c r="AT42" s="20" t="n"/>
      <c r="AU42" s="115" t="n"/>
      <c r="AV42" s="115" t="n"/>
      <c r="AW42" s="127" t="n"/>
      <c r="AX42" s="127" t="n"/>
      <c r="AY42" s="119" t="n"/>
      <c r="AZ42" s="119" t="n"/>
      <c r="BA42" s="119">
        <f>IF($AX42="","",IFERROR(FLOOR(ROUND(VLOOKUP($AX42,DADOS!$CL$5:$CM$10,2,FALSE)*IF($AY42="",1,VLOOKUP($AY42,DADOS!$CO$5:$CP$7,2,FALSE))*IF($AZ42="",1,VLOOKUP($AZ42,DADOS!$CR$5:$CS$9,2,FALSE)),4),12.5),""))</f>
        <v/>
      </c>
      <c r="BB42" s="115" t="n"/>
      <c r="BC42" s="127" t="n"/>
      <c r="BD42" s="127" t="n"/>
      <c r="BE42" s="119" t="n"/>
      <c r="BF42" s="119" t="n"/>
      <c r="BG42" s="119">
        <f>IF($BD42="","",IFERROR(FLOOR(ROUND(VLOOKUP($BD42,DADOS!$CL$5:$CM$10,2,FALSE)*IF($BE42="",1,VLOOKUP($BE42,DADOS!$CO$5:$CP$7,2,FALSE))*IF($BF42="",1,VLOOKUP($BF42,DADOS!$CR$5:$CS$9,2,FALSE)),4),12.5),""))</f>
        <v/>
      </c>
      <c r="BH42" s="115" t="n"/>
      <c r="BI42" s="127" t="n"/>
      <c r="BJ42" s="127" t="n"/>
      <c r="BK42" s="119" t="n"/>
      <c r="BL42" s="119" t="n"/>
      <c r="BM42" s="119">
        <f>IF($BJ42="","",IFERROR(FLOOR(ROUND(VLOOKUP($BJ42,DADOS!$CL$5:$CM$10,2,FALSE)*IF($BK42="",1,VLOOKUP($BK42,DADOS!$CO$5:$CP$7,2,FALSE))*IF($BL42="",1,VLOOKUP($BL42,DADOS!$CR$5:$CS$9,2,FALSE)),4),12.5),""))</f>
        <v/>
      </c>
      <c r="BN42" s="115" t="n"/>
      <c r="BO42" s="127" t="n"/>
      <c r="BP42" s="127" t="n"/>
      <c r="BQ42" s="119" t="n"/>
      <c r="BR42" s="119" t="n"/>
      <c r="BS42" s="119">
        <f>IF($BP42="","",IFERROR(FLOOR(ROUND(VLOOKUP($BP42,DADOS!$CL$5:$CM$10,2,FALSE)*IF($BQ42="",1,VLOOKUP($BQ42,DADOS!$CO$5:$CP$7,2,FALSE))*IF($BR42="",1,VLOOKUP($BR42,DADOS!$CR$5:$CS$9,2,FALSE)),4),12.5),""))</f>
        <v/>
      </c>
      <c r="BT42" s="115" t="n"/>
    </row>
    <row r="43">
      <c r="B43" s="17" t="n"/>
      <c r="C43" s="115" t="n"/>
      <c r="D43" s="126">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1" t="n"/>
      <c r="F43" s="11" t="n"/>
      <c r="G43" s="11" t="n"/>
      <c r="H43" s="11" t="n"/>
      <c r="I43" s="11" t="n"/>
      <c r="J43" s="11" t="n"/>
      <c r="K43" s="11" t="n"/>
      <c r="L43" s="11" t="n"/>
      <c r="M43" s="11" t="n"/>
      <c r="N43" s="11" t="n"/>
      <c r="O43" s="11" t="n"/>
      <c r="P43" s="11" t="n"/>
      <c r="Q43" s="12" t="n"/>
      <c r="R43" s="115" t="n"/>
      <c r="S43" s="126">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1" t="n"/>
      <c r="U43" s="11" t="n"/>
      <c r="V43" s="11" t="n"/>
      <c r="W43" s="11" t="n"/>
      <c r="X43" s="11" t="n"/>
      <c r="Y43" s="11" t="n"/>
      <c r="Z43" s="11" t="n"/>
      <c r="AA43" s="11" t="n"/>
      <c r="AB43" s="11" t="n"/>
      <c r="AC43" s="11" t="n"/>
      <c r="AD43" s="11" t="n"/>
      <c r="AE43" s="11" t="n"/>
      <c r="AF43" s="12" t="n"/>
      <c r="AG43" s="115" t="n"/>
      <c r="AH43" s="126">
        <f>IF(DADOS!$CZ$27=0,"Sem uniforme: vale a proteção do cobrir-se","Proteção "&amp;DADOS!$CZ$28&amp;" · "&amp;IF(DADOS!$CZ$29&amp;""="—","sem teto de Destreza","teto de Destreza "&amp;DADOS!$CZ$29))</f>
        <v/>
      </c>
      <c r="AI43" s="11" t="n"/>
      <c r="AJ43" s="11" t="n"/>
      <c r="AK43" s="11" t="n"/>
      <c r="AL43" s="11" t="n"/>
      <c r="AM43" s="11" t="n"/>
      <c r="AN43" s="11" t="n"/>
      <c r="AO43" s="11" t="n"/>
      <c r="AP43" s="11" t="n"/>
      <c r="AQ43" s="11" t="n"/>
      <c r="AR43" s="11" t="n"/>
      <c r="AS43" s="11" t="n"/>
      <c r="AT43" s="12" t="n"/>
      <c r="AU43" s="115" t="n"/>
      <c r="AV43" s="115" t="n"/>
      <c r="AW43" s="127" t="n"/>
      <c r="AX43" s="127" t="n"/>
      <c r="AY43" s="119" t="n"/>
      <c r="AZ43" s="119" t="n"/>
      <c r="BA43" s="119">
        <f>IF($AX43="","",IFERROR(FLOOR(ROUND(VLOOKUP($AX43,DADOS!$CL$5:$CM$10,2,FALSE)*IF($AY43="",1,VLOOKUP($AY43,DADOS!$CO$5:$CP$7,2,FALSE))*IF($AZ43="",1,VLOOKUP($AZ43,DADOS!$CR$5:$CS$9,2,FALSE)),4),12.5),""))</f>
        <v/>
      </c>
      <c r="BB43" s="115" t="n"/>
      <c r="BC43" s="127" t="n"/>
      <c r="BD43" s="127" t="n"/>
      <c r="BE43" s="119" t="n"/>
      <c r="BF43" s="119" t="n"/>
      <c r="BG43" s="119">
        <f>IF($BD43="","",IFERROR(FLOOR(ROUND(VLOOKUP($BD43,DADOS!$CL$5:$CM$10,2,FALSE)*IF($BE43="",1,VLOOKUP($BE43,DADOS!$CO$5:$CP$7,2,FALSE))*IF($BF43="",1,VLOOKUP($BF43,DADOS!$CR$5:$CS$9,2,FALSE)),4),12.5),""))</f>
        <v/>
      </c>
      <c r="BH43" s="115" t="n"/>
      <c r="BI43" s="127" t="n"/>
      <c r="BJ43" s="127" t="n"/>
      <c r="BK43" s="119" t="n"/>
      <c r="BL43" s="119" t="n"/>
      <c r="BM43" s="119">
        <f>IF($BJ43="","",IFERROR(FLOOR(ROUND(VLOOKUP($BJ43,DADOS!$CL$5:$CM$10,2,FALSE)*IF($BK43="",1,VLOOKUP($BK43,DADOS!$CO$5:$CP$7,2,FALSE))*IF($BL43="",1,VLOOKUP($BL43,DADOS!$CR$5:$CS$9,2,FALSE)),4),12.5),""))</f>
        <v/>
      </c>
      <c r="BN43" s="115" t="n"/>
      <c r="BO43" s="127" t="n"/>
      <c r="BP43" s="127" t="n"/>
      <c r="BQ43" s="119" t="n"/>
      <c r="BR43" s="119" t="n"/>
      <c r="BS43" s="119">
        <f>IF($BP43="","",IFERROR(FLOOR(ROUND(VLOOKUP($BP43,DADOS!$CL$5:$CM$10,2,FALSE)*IF($BQ43="",1,VLOOKUP($BQ43,DADOS!$CO$5:$CP$7,2,FALSE))*IF($BR43="",1,VLOOKUP($BR43,DADOS!$CR$5:$CS$9,2,FALSE)),4),12.5),""))</f>
        <v/>
      </c>
      <c r="BT43" s="115" t="n"/>
    </row>
    <row r="44">
      <c r="B44" s="17" t="n"/>
      <c r="C44" s="115" t="n"/>
      <c r="D44" s="70">
        <f>IF(DADOS!$CZ$16=1,"Treinada","Sem treino: desvantagem")</f>
        <v/>
      </c>
      <c r="E44" s="11" t="n"/>
      <c r="F44" s="11" t="n"/>
      <c r="G44" s="11" t="n"/>
      <c r="H44" s="11" t="n"/>
      <c r="I44" s="11" t="n"/>
      <c r="J44" s="12" t="n"/>
      <c r="K44" s="70">
        <f>IF(DADOS!$CZ$11=0,"Sem requisito de Força",IF(DADOS!$CZ$36=1,"Falta Força: "&amp;DADOS!$CZ$5&amp;" de "&amp;DADOS!$CZ$11,"Força "&amp;DADOS!$CZ$5&amp;" de "&amp;DADOS!$CZ$11))</f>
        <v/>
      </c>
      <c r="L44" s="11" t="n"/>
      <c r="M44" s="11" t="n"/>
      <c r="N44" s="11" t="n"/>
      <c r="O44" s="11" t="n"/>
      <c r="P44" s="11" t="n"/>
      <c r="Q44" s="12" t="n"/>
      <c r="R44" s="115" t="n"/>
      <c r="S44" s="70">
        <f>IF(DADOS!$CZ$17=0,"—",IF(DADOS!$CZ$22=0,"Sem requisito de Força",IF(DADOS!$CZ$37=1,"Falta Força: "&amp;DADOS!$CZ$5&amp;" de "&amp;DADOS!$CZ$22,"Força "&amp;DADOS!$CZ$5&amp;" de "&amp;DADOS!$CZ$22)))</f>
        <v/>
      </c>
      <c r="T44" s="11" t="n"/>
      <c r="U44" s="11" t="n"/>
      <c r="V44" s="11" t="n"/>
      <c r="W44" s="11" t="n"/>
      <c r="X44" s="11" t="n"/>
      <c r="Y44" s="12" t="n"/>
      <c r="Z44" s="70">
        <f>IF(DADOS!$CZ$19=1,"Trava Selo de gesto","Sem escudo")</f>
        <v/>
      </c>
      <c r="AA44" s="11" t="n"/>
      <c r="AB44" s="11" t="n"/>
      <c r="AC44" s="11" t="n"/>
      <c r="AD44" s="11" t="n"/>
      <c r="AE44" s="11" t="n"/>
      <c r="AF44" s="12" t="n"/>
      <c r="AG44" s="115" t="n"/>
      <c r="AH44" s="70">
        <f>IF(DADOS!$CZ$27=0,"—",IF(DADOS!$CZ$35=1,"Liberado no "&amp;$AB$11,"Pede "&amp;DADOS!$CZ$33))</f>
        <v/>
      </c>
      <c r="AI44" s="11" t="n"/>
      <c r="AJ44" s="11" t="n"/>
      <c r="AK44" s="11" t="n"/>
      <c r="AL44" s="11" t="n"/>
      <c r="AM44" s="11" t="n"/>
      <c r="AN44" s="12" t="n"/>
      <c r="AO44" s="70">
        <f>IF(DADOS!$CZ$27=0,"—",IF(DADOS!$CZ$30=0,"Sem requisito de Força",IF(DADOS!$CZ$38=1,"Falta Força: "&amp;DADOS!$CZ$5&amp;" de "&amp;DADOS!$CZ$30,"Força "&amp;DADOS!$CZ$5&amp;" de "&amp;DADOS!$CZ$30)))</f>
        <v/>
      </c>
      <c r="AP44" s="11" t="n"/>
      <c r="AQ44" s="11" t="n"/>
      <c r="AR44" s="11" t="n"/>
      <c r="AS44" s="11" t="n"/>
      <c r="AT44" s="12" t="n"/>
      <c r="AU44" s="115" t="n"/>
      <c r="AV44" s="115" t="n"/>
      <c r="AW44" s="127" t="n"/>
      <c r="AX44" s="127" t="n"/>
      <c r="AY44" s="119" t="n"/>
      <c r="AZ44" s="119" t="n"/>
      <c r="BA44" s="119">
        <f>IF($AX44="","",IFERROR(FLOOR(ROUND(VLOOKUP($AX44,DADOS!$CL$5:$CM$10,2,FALSE)*IF($AY44="",1,VLOOKUP($AY44,DADOS!$CO$5:$CP$7,2,FALSE))*IF($AZ44="",1,VLOOKUP($AZ44,DADOS!$CR$5:$CS$9,2,FALSE)),4),12.5),""))</f>
        <v/>
      </c>
      <c r="BB44" s="115" t="n"/>
      <c r="BC44" s="127" t="n"/>
      <c r="BD44" s="127" t="n"/>
      <c r="BE44" s="119" t="n"/>
      <c r="BF44" s="119" t="n"/>
      <c r="BG44" s="119">
        <f>IF($BD44="","",IFERROR(FLOOR(ROUND(VLOOKUP($BD44,DADOS!$CL$5:$CM$10,2,FALSE)*IF($BE44="",1,VLOOKUP($BE44,DADOS!$CO$5:$CP$7,2,FALSE))*IF($BF44="",1,VLOOKUP($BF44,DADOS!$CR$5:$CS$9,2,FALSE)),4),12.5),""))</f>
        <v/>
      </c>
      <c r="BH44" s="115" t="n"/>
      <c r="BI44" s="127" t="n"/>
      <c r="BJ44" s="127" t="n"/>
      <c r="BK44" s="119" t="n"/>
      <c r="BL44" s="119" t="n"/>
      <c r="BM44" s="119">
        <f>IF($BJ44="","",IFERROR(FLOOR(ROUND(VLOOKUP($BJ44,DADOS!$CL$5:$CM$10,2,FALSE)*IF($BK44="",1,VLOOKUP($BK44,DADOS!$CO$5:$CP$7,2,FALSE))*IF($BL44="",1,VLOOKUP($BL44,DADOS!$CR$5:$CS$9,2,FALSE)),4),12.5),""))</f>
        <v/>
      </c>
      <c r="BN44" s="115" t="n"/>
      <c r="BO44" s="127" t="n"/>
      <c r="BP44" s="127" t="n"/>
      <c r="BQ44" s="119" t="n"/>
      <c r="BR44" s="119" t="n"/>
      <c r="BS44" s="119">
        <f>IF($BP44="","",IFERROR(FLOOR(ROUND(VLOOKUP($BP44,DADOS!$CL$5:$CM$10,2,FALSE)*IF($BQ44="",1,VLOOKUP($BQ44,DADOS!$CO$5:$CP$7,2,FALSE))*IF($BR44="",1,VLOOKUP($BR44,DADOS!$CR$5:$CS$9,2,FALSE)),4),12.5),""))</f>
        <v/>
      </c>
      <c r="BT44" s="115" t="n"/>
    </row>
    <row r="45">
      <c r="B45" s="17" t="n"/>
      <c r="C45" s="115" t="n"/>
      <c r="D45" s="115" t="n"/>
      <c r="E45" s="115"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c r="Y45" s="115" t="n"/>
      <c r="Z45" s="115" t="n"/>
      <c r="AA45" s="115" t="n"/>
      <c r="AB45" s="115" t="n"/>
      <c r="AC45" s="115" t="n"/>
      <c r="AD45" s="115" t="n"/>
      <c r="AE45" s="115" t="n"/>
      <c r="AF45" s="115" t="n"/>
      <c r="AG45" s="115" t="n"/>
      <c r="AH45" s="115" t="n"/>
      <c r="AI45" s="115" t="n"/>
      <c r="AJ45" s="115" t="n"/>
      <c r="AK45" s="115" t="n"/>
      <c r="AL45" s="115" t="n"/>
      <c r="AM45" s="115" t="n"/>
      <c r="AN45" s="115" t="n"/>
      <c r="AO45" s="115" t="n"/>
      <c r="AP45" s="115" t="n"/>
      <c r="AQ45" s="115" t="n"/>
      <c r="AR45" s="115" t="n"/>
      <c r="AS45" s="115" t="n"/>
      <c r="AT45" s="115" t="n"/>
      <c r="AU45" s="115" t="n"/>
      <c r="AV45" s="115" t="n"/>
      <c r="AW45" s="127" t="n"/>
      <c r="AX45" s="127" t="n"/>
      <c r="AY45" s="119" t="n"/>
      <c r="AZ45" s="119" t="n"/>
      <c r="BA45" s="119">
        <f>IF($AX45="","",IFERROR(FLOOR(ROUND(VLOOKUP($AX45,DADOS!$CL$5:$CM$10,2,FALSE)*IF($AY45="",1,VLOOKUP($AY45,DADOS!$CO$5:$CP$7,2,FALSE))*IF($AZ45="",1,VLOOKUP($AZ45,DADOS!$CR$5:$CS$9,2,FALSE)),4),12.5),""))</f>
        <v/>
      </c>
      <c r="BB45" s="115" t="n"/>
      <c r="BC45" s="127" t="n"/>
      <c r="BD45" s="127" t="n"/>
      <c r="BE45" s="119" t="n"/>
      <c r="BF45" s="119" t="n"/>
      <c r="BG45" s="119">
        <f>IF($BD45="","",IFERROR(FLOOR(ROUND(VLOOKUP($BD45,DADOS!$CL$5:$CM$10,2,FALSE)*IF($BE45="",1,VLOOKUP($BE45,DADOS!$CO$5:$CP$7,2,FALSE))*IF($BF45="",1,VLOOKUP($BF45,DADOS!$CR$5:$CS$9,2,FALSE)),4),12.5),""))</f>
        <v/>
      </c>
      <c r="BH45" s="115" t="n"/>
      <c r="BI45" s="127" t="n"/>
      <c r="BJ45" s="127" t="n"/>
      <c r="BK45" s="119" t="n"/>
      <c r="BL45" s="119" t="n"/>
      <c r="BM45" s="119">
        <f>IF($BJ45="","",IFERROR(FLOOR(ROUND(VLOOKUP($BJ45,DADOS!$CL$5:$CM$10,2,FALSE)*IF($BK45="",1,VLOOKUP($BK45,DADOS!$CO$5:$CP$7,2,FALSE))*IF($BL45="",1,VLOOKUP($BL45,DADOS!$CR$5:$CS$9,2,FALSE)),4),12.5),""))</f>
        <v/>
      </c>
      <c r="BN45" s="115" t="n"/>
      <c r="BO45" s="127" t="n"/>
      <c r="BP45" s="127" t="n"/>
      <c r="BQ45" s="119" t="n"/>
      <c r="BR45" s="119" t="n"/>
      <c r="BS45" s="119">
        <f>IF($BP45="","",IFERROR(FLOOR(ROUND(VLOOKUP($BP45,DADOS!$CL$5:$CM$10,2,FALSE)*IF($BQ45="",1,VLOOKUP($BQ45,DADOS!$CO$5:$CP$7,2,FALSE))*IF($BR45="",1,VLOOKUP($BR45,DADOS!$CR$5:$CS$9,2,FALSE)),4),12.5),""))</f>
        <v/>
      </c>
      <c r="BT45" s="115" t="n"/>
    </row>
    <row r="46">
      <c r="B46" s="17" t="n"/>
      <c r="C46" s="115" t="n"/>
      <c r="D46" s="118" t="inlineStr">
        <is>
          <t>TREINO EM ARMAS</t>
        </is>
      </c>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5" t="n"/>
      <c r="AU46" s="115" t="n"/>
      <c r="AV46" s="115" t="n"/>
      <c r="AW46" s="127" t="n"/>
      <c r="AX46" s="127" t="n"/>
      <c r="AY46" s="119" t="n"/>
      <c r="AZ46" s="119" t="n"/>
      <c r="BA46" s="119">
        <f>IF($AX46="","",IFERROR(FLOOR(ROUND(VLOOKUP($AX46,DADOS!$CL$5:$CM$10,2,FALSE)*IF($AY46="",1,VLOOKUP($AY46,DADOS!$CO$5:$CP$7,2,FALSE))*IF($AZ46="",1,VLOOKUP($AZ46,DADOS!$CR$5:$CS$9,2,FALSE)),4),12.5),""))</f>
        <v/>
      </c>
      <c r="BB46" s="115" t="n"/>
      <c r="BC46" s="127" t="n"/>
      <c r="BD46" s="127" t="n"/>
      <c r="BE46" s="119" t="n"/>
      <c r="BF46" s="119" t="n"/>
      <c r="BG46" s="119">
        <f>IF($BD46="","",IFERROR(FLOOR(ROUND(VLOOKUP($BD46,DADOS!$CL$5:$CM$10,2,FALSE)*IF($BE46="",1,VLOOKUP($BE46,DADOS!$CO$5:$CP$7,2,FALSE))*IF($BF46="",1,VLOOKUP($BF46,DADOS!$CR$5:$CS$9,2,FALSE)),4),12.5),""))</f>
        <v/>
      </c>
      <c r="BH46" s="115" t="n"/>
      <c r="BI46" s="127" t="n"/>
      <c r="BJ46" s="127" t="n"/>
      <c r="BK46" s="119" t="n"/>
      <c r="BL46" s="119" t="n"/>
      <c r="BM46" s="119">
        <f>IF($BJ46="","",IFERROR(FLOOR(ROUND(VLOOKUP($BJ46,DADOS!$CL$5:$CM$10,2,FALSE)*IF($BK46="",1,VLOOKUP($BK46,DADOS!$CO$5:$CP$7,2,FALSE))*IF($BL46="",1,VLOOKUP($BL46,DADOS!$CR$5:$CS$9,2,FALSE)),4),12.5),""))</f>
        <v/>
      </c>
      <c r="BN46" s="115" t="n"/>
      <c r="BO46" s="127" t="n"/>
      <c r="BP46" s="127" t="n"/>
      <c r="BQ46" s="119" t="n"/>
      <c r="BR46" s="119" t="n"/>
      <c r="BS46" s="119">
        <f>IF($BP46="","",IFERROR(FLOOR(ROUND(VLOOKUP($BP46,DADOS!$CL$5:$CM$10,2,FALSE)*IF($BQ46="",1,VLOOKUP($BQ46,DADOS!$CO$5:$CP$7,2,FALSE))*IF($BR46="",1,VLOOKUP($BR46,DADOS!$CR$5:$CS$9,2,FALSE)),4),12.5),""))</f>
        <v/>
      </c>
      <c r="BT46" s="115" t="n"/>
    </row>
    <row r="47">
      <c r="B47" s="17" t="n"/>
      <c r="C47" s="115" t="n"/>
      <c r="D47" s="18" t="n"/>
      <c r="E47" s="19" t="n"/>
      <c r="F47" s="19" t="n"/>
      <c r="G47" s="19" t="n"/>
      <c r="H47" s="19" t="n"/>
      <c r="I47" s="19" t="n"/>
      <c r="J47" s="19" t="n"/>
      <c r="K47" s="19" t="n"/>
      <c r="L47" s="19" t="n"/>
      <c r="M47" s="19" t="n"/>
      <c r="N47" s="19" t="n"/>
      <c r="O47" s="19" t="n"/>
      <c r="P47" s="19" t="n"/>
      <c r="Q47" s="19" t="n"/>
      <c r="R47" s="19" t="n"/>
      <c r="S47" s="19" t="n"/>
      <c r="T47" s="19" t="n"/>
      <c r="U47" s="19" t="n"/>
      <c r="V47" s="19" t="n"/>
      <c r="W47" s="19" t="n"/>
      <c r="X47" s="19" t="n"/>
      <c r="Y47" s="19" t="n"/>
      <c r="Z47" s="19" t="n"/>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20" t="n"/>
      <c r="AU47" s="115" t="n"/>
      <c r="AV47" s="115" t="n"/>
      <c r="AW47" s="127" t="n"/>
      <c r="AX47" s="127" t="n"/>
      <c r="AY47" s="119" t="n"/>
      <c r="AZ47" s="119" t="n"/>
      <c r="BA47" s="119">
        <f>IF($AX47="","",IFERROR(FLOOR(ROUND(VLOOKUP($AX47,DADOS!$CL$5:$CM$10,2,FALSE)*IF($AY47="",1,VLOOKUP($AY47,DADOS!$CO$5:$CP$7,2,FALSE))*IF($AZ47="",1,VLOOKUP($AZ47,DADOS!$CR$5:$CS$9,2,FALSE)),4),12.5),""))</f>
        <v/>
      </c>
      <c r="BB47" s="115" t="n"/>
      <c r="BC47" s="127" t="n"/>
      <c r="BD47" s="127" t="n"/>
      <c r="BE47" s="119" t="n"/>
      <c r="BF47" s="119" t="n"/>
      <c r="BG47" s="119">
        <f>IF($BD47="","",IFERROR(FLOOR(ROUND(VLOOKUP($BD47,DADOS!$CL$5:$CM$10,2,FALSE)*IF($BE47="",1,VLOOKUP($BE47,DADOS!$CO$5:$CP$7,2,FALSE))*IF($BF47="",1,VLOOKUP($BF47,DADOS!$CR$5:$CS$9,2,FALSE)),4),12.5),""))</f>
        <v/>
      </c>
      <c r="BH47" s="115" t="n"/>
      <c r="BI47" s="127" t="n"/>
      <c r="BJ47" s="127" t="n"/>
      <c r="BK47" s="119" t="n"/>
      <c r="BL47" s="119" t="n"/>
      <c r="BM47" s="119">
        <f>IF($BJ47="","",IFERROR(FLOOR(ROUND(VLOOKUP($BJ47,DADOS!$CL$5:$CM$10,2,FALSE)*IF($BK47="",1,VLOOKUP($BK47,DADOS!$CO$5:$CP$7,2,FALSE))*IF($BL47="",1,VLOOKUP($BL47,DADOS!$CR$5:$CS$9,2,FALSE)),4),12.5),""))</f>
        <v/>
      </c>
      <c r="BN47" s="115" t="n"/>
      <c r="BO47" s="127" t="n"/>
      <c r="BP47" s="127" t="n"/>
      <c r="BQ47" s="119" t="n"/>
      <c r="BR47" s="119" t="n"/>
      <c r="BS47" s="119">
        <f>IF($BP47="","",IFERROR(FLOOR(ROUND(VLOOKUP($BP47,DADOS!$CL$5:$CM$10,2,FALSE)*IF($BQ47="",1,VLOOKUP($BQ47,DADOS!$CO$5:$CP$7,2,FALSE))*IF($BR47="",1,VLOOKUP($BR47,DADOS!$CR$5:$CS$9,2,FALSE)),4),12.5),""))</f>
        <v/>
      </c>
      <c r="BT47" s="115" t="n"/>
    </row>
    <row r="48" outlineLevel="1">
      <c r="B48" s="17" t="n"/>
      <c r="C48" s="115" t="n"/>
      <c r="D48" s="52" t="b">
        <v>0</v>
      </c>
      <c r="E48" s="52" t="inlineStr">
        <is>
          <t>LÂMINA LONGA</t>
        </is>
      </c>
      <c r="F48" s="11" t="n"/>
      <c r="G48" s="11" t="n"/>
      <c r="H48" s="11" t="n"/>
      <c r="I48" s="11" t="n"/>
      <c r="J48" s="11" t="n"/>
      <c r="K48" s="11" t="n"/>
      <c r="L48" s="12" t="n"/>
      <c r="M48" s="52" t="b">
        <v>0</v>
      </c>
      <c r="N48" s="52" t="inlineStr">
        <is>
          <t>ARMA DE FOGO</t>
        </is>
      </c>
      <c r="O48" s="11" t="n"/>
      <c r="P48" s="11" t="n"/>
      <c r="Q48" s="11" t="n"/>
      <c r="R48" s="11" t="n"/>
      <c r="S48" s="11" t="n"/>
      <c r="T48" s="11" t="n"/>
      <c r="U48" s="12" t="n"/>
      <c r="V48" s="52" t="b">
        <v>0</v>
      </c>
      <c r="W48" s="52" t="inlineStr">
        <is>
          <t>PORRETE</t>
        </is>
      </c>
      <c r="X48" s="11" t="n"/>
      <c r="Y48" s="11" t="n"/>
      <c r="Z48" s="11" t="n"/>
      <c r="AA48" s="11" t="n"/>
      <c r="AB48" s="11" t="n"/>
      <c r="AC48" s="11" t="n"/>
      <c r="AD48" s="12" t="n"/>
      <c r="AE48" s="52" t="b">
        <v>0</v>
      </c>
      <c r="AF48" s="52" t="inlineStr">
        <is>
          <t>LÂMINA CURTA</t>
        </is>
      </c>
      <c r="AG48" s="11" t="n"/>
      <c r="AH48" s="11" t="n"/>
      <c r="AI48" s="11" t="n"/>
      <c r="AJ48" s="11" t="n"/>
      <c r="AK48" s="11" t="n"/>
      <c r="AL48" s="12" t="n"/>
      <c r="AM48" s="52" t="b">
        <v>0</v>
      </c>
      <c r="AN48" s="52" t="inlineStr">
        <is>
          <t>MASSA</t>
        </is>
      </c>
      <c r="AO48" s="11" t="n"/>
      <c r="AP48" s="11" t="n"/>
      <c r="AQ48" s="11" t="n"/>
      <c r="AR48" s="11" t="n"/>
      <c r="AS48" s="11" t="n"/>
      <c r="AT48" s="12" t="n"/>
      <c r="AU48" s="115" t="n"/>
      <c r="AV48" s="115" t="n"/>
      <c r="AW48" s="127" t="n"/>
      <c r="AX48" s="127" t="n"/>
      <c r="AY48" s="119" t="n"/>
      <c r="AZ48" s="119" t="n"/>
      <c r="BA48" s="119">
        <f>IF($AX48="","",IFERROR(FLOOR(ROUND(VLOOKUP($AX48,DADOS!$CL$5:$CM$10,2,FALSE)*IF($AY48="",1,VLOOKUP($AY48,DADOS!$CO$5:$CP$7,2,FALSE))*IF($AZ48="",1,VLOOKUP($AZ48,DADOS!$CR$5:$CS$9,2,FALSE)),4),12.5),""))</f>
        <v/>
      </c>
      <c r="BB48" s="115" t="n"/>
      <c r="BC48" s="127" t="n"/>
      <c r="BD48" s="127" t="n"/>
      <c r="BE48" s="119" t="n"/>
      <c r="BF48" s="119" t="n"/>
      <c r="BG48" s="119">
        <f>IF($BD48="","",IFERROR(FLOOR(ROUND(VLOOKUP($BD48,DADOS!$CL$5:$CM$10,2,FALSE)*IF($BE48="",1,VLOOKUP($BE48,DADOS!$CO$5:$CP$7,2,FALSE))*IF($BF48="",1,VLOOKUP($BF48,DADOS!$CR$5:$CS$9,2,FALSE)),4),12.5),""))</f>
        <v/>
      </c>
      <c r="BH48" s="115" t="n"/>
      <c r="BI48" s="127" t="n"/>
      <c r="BJ48" s="127" t="n"/>
      <c r="BK48" s="119" t="n"/>
      <c r="BL48" s="119" t="n"/>
      <c r="BM48" s="119">
        <f>IF($BJ48="","",IFERROR(FLOOR(ROUND(VLOOKUP($BJ48,DADOS!$CL$5:$CM$10,2,FALSE)*IF($BK48="",1,VLOOKUP($BK48,DADOS!$CO$5:$CP$7,2,FALSE))*IF($BL48="",1,VLOOKUP($BL48,DADOS!$CR$5:$CS$9,2,FALSE)),4),12.5),""))</f>
        <v/>
      </c>
      <c r="BN48" s="115" t="n"/>
      <c r="BO48" s="127" t="n"/>
      <c r="BP48" s="127" t="n"/>
      <c r="BQ48" s="119" t="n"/>
      <c r="BR48" s="119" t="n"/>
      <c r="BS48" s="119">
        <f>IF($BP48="","",IFERROR(FLOOR(ROUND(VLOOKUP($BP48,DADOS!$CL$5:$CM$10,2,FALSE)*IF($BQ48="",1,VLOOKUP($BQ48,DADOS!$CO$5:$CP$7,2,FALSE))*IF($BR48="",1,VLOOKUP($BR48,DADOS!$CR$5:$CS$9,2,FALSE)),4),12.5),""))</f>
        <v/>
      </c>
      <c r="BT48" s="115" t="n"/>
    </row>
    <row r="49" outlineLevel="1">
      <c r="B49" s="17" t="n"/>
      <c r="C49" s="115" t="n"/>
      <c r="D49" s="119" t="b">
        <v>0</v>
      </c>
      <c r="E49" s="127" t="inlineStr">
        <is>
          <t>Espada Longa</t>
        </is>
      </c>
      <c r="F49" s="11" t="n"/>
      <c r="G49" s="11" t="n"/>
      <c r="H49" s="11" t="n"/>
      <c r="I49" s="11" t="n"/>
      <c r="J49" s="11" t="n"/>
      <c r="K49" s="11" t="n"/>
      <c r="L49" s="12" t="n"/>
      <c r="M49" s="119" t="b">
        <v>0</v>
      </c>
      <c r="N49" s="127" t="inlineStr">
        <is>
          <t>Espingarda</t>
        </is>
      </c>
      <c r="O49" s="11" t="n"/>
      <c r="P49" s="11" t="n"/>
      <c r="Q49" s="11" t="n"/>
      <c r="R49" s="11" t="n"/>
      <c r="S49" s="11" t="n"/>
      <c r="T49" s="11" t="n"/>
      <c r="U49" s="12" t="n"/>
      <c r="V49" s="119" t="b">
        <v>0</v>
      </c>
      <c r="W49" s="127" t="inlineStr">
        <is>
          <t>Bastão</t>
        </is>
      </c>
      <c r="X49" s="11" t="n"/>
      <c r="Y49" s="11" t="n"/>
      <c r="Z49" s="11" t="n"/>
      <c r="AA49" s="11" t="n"/>
      <c r="AB49" s="11" t="n"/>
      <c r="AC49" s="11" t="n"/>
      <c r="AD49" s="12" t="n"/>
      <c r="AE49" s="119" t="b">
        <v>0</v>
      </c>
      <c r="AF49" s="127" t="inlineStr">
        <is>
          <t>Canivete</t>
        </is>
      </c>
      <c r="AG49" s="11" t="n"/>
      <c r="AH49" s="11" t="n"/>
      <c r="AI49" s="11" t="n"/>
      <c r="AJ49" s="11" t="n"/>
      <c r="AK49" s="11" t="n"/>
      <c r="AL49" s="12" t="n"/>
      <c r="AM49" s="119" t="b">
        <v>0</v>
      </c>
      <c r="AN49" s="127" t="inlineStr">
        <is>
          <t>Kanabō</t>
        </is>
      </c>
      <c r="AO49" s="11" t="n"/>
      <c r="AP49" s="11" t="n"/>
      <c r="AQ49" s="11" t="n"/>
      <c r="AR49" s="11" t="n"/>
      <c r="AS49" s="11" t="n"/>
      <c r="AT49" s="12" t="n"/>
      <c r="AU49" s="115" t="n"/>
      <c r="AV49" s="115" t="n"/>
      <c r="AW49" s="127" t="n"/>
      <c r="AX49" s="127" t="n"/>
      <c r="AY49" s="119" t="n"/>
      <c r="AZ49" s="119" t="n"/>
      <c r="BA49" s="119">
        <f>IF($AX49="","",IFERROR(FLOOR(ROUND(VLOOKUP($AX49,DADOS!$CL$5:$CM$10,2,FALSE)*IF($AY49="",1,VLOOKUP($AY49,DADOS!$CO$5:$CP$7,2,FALSE))*IF($AZ49="",1,VLOOKUP($AZ49,DADOS!$CR$5:$CS$9,2,FALSE)),4),12.5),""))</f>
        <v/>
      </c>
      <c r="BB49" s="115" t="n"/>
      <c r="BC49" s="127" t="n"/>
      <c r="BD49" s="127" t="n"/>
      <c r="BE49" s="119" t="n"/>
      <c r="BF49" s="119" t="n"/>
      <c r="BG49" s="119">
        <f>IF($BD49="","",IFERROR(FLOOR(ROUND(VLOOKUP($BD49,DADOS!$CL$5:$CM$10,2,FALSE)*IF($BE49="",1,VLOOKUP($BE49,DADOS!$CO$5:$CP$7,2,FALSE))*IF($BF49="",1,VLOOKUP($BF49,DADOS!$CR$5:$CS$9,2,FALSE)),4),12.5),""))</f>
        <v/>
      </c>
      <c r="BH49" s="115" t="n"/>
      <c r="BI49" s="127" t="n"/>
      <c r="BJ49" s="127" t="n"/>
      <c r="BK49" s="119" t="n"/>
      <c r="BL49" s="119" t="n"/>
      <c r="BM49" s="119">
        <f>IF($BJ49="","",IFERROR(FLOOR(ROUND(VLOOKUP($BJ49,DADOS!$CL$5:$CM$10,2,FALSE)*IF($BK49="",1,VLOOKUP($BK49,DADOS!$CO$5:$CP$7,2,FALSE))*IF($BL49="",1,VLOOKUP($BL49,DADOS!$CR$5:$CS$9,2,FALSE)),4),12.5),""))</f>
        <v/>
      </c>
      <c r="BN49" s="115" t="n"/>
      <c r="BO49" s="127" t="n"/>
      <c r="BP49" s="127" t="n"/>
      <c r="BQ49" s="119" t="n"/>
      <c r="BR49" s="119" t="n"/>
      <c r="BS49" s="119">
        <f>IF($BP49="","",IFERROR(FLOOR(ROUND(VLOOKUP($BP49,DADOS!$CL$5:$CM$10,2,FALSE)*IF($BQ49="",1,VLOOKUP($BQ49,DADOS!$CO$5:$CP$7,2,FALSE))*IF($BR49="",1,VLOOKUP($BR49,DADOS!$CR$5:$CS$9,2,FALSE)),4),12.5),""))</f>
        <v/>
      </c>
      <c r="BT49" s="115" t="n"/>
    </row>
    <row r="50" outlineLevel="1">
      <c r="B50" s="17" t="n"/>
      <c r="C50" s="115" t="n"/>
      <c r="D50" s="119" t="b">
        <v>0</v>
      </c>
      <c r="E50" s="127" t="inlineStr">
        <is>
          <t>Espadão</t>
        </is>
      </c>
      <c r="F50" s="11" t="n"/>
      <c r="G50" s="11" t="n"/>
      <c r="H50" s="11" t="n"/>
      <c r="I50" s="11" t="n"/>
      <c r="J50" s="11" t="n"/>
      <c r="K50" s="11" t="n"/>
      <c r="L50" s="12" t="n"/>
      <c r="M50" s="119" t="b">
        <v>0</v>
      </c>
      <c r="N50" s="127" t="inlineStr">
        <is>
          <t>Metralhadora Pesada</t>
        </is>
      </c>
      <c r="O50" s="11" t="n"/>
      <c r="P50" s="11" t="n"/>
      <c r="Q50" s="11" t="n"/>
      <c r="R50" s="11" t="n"/>
      <c r="S50" s="11" t="n"/>
      <c r="T50" s="11" t="n"/>
      <c r="U50" s="12" t="n"/>
      <c r="V50" s="119" t="b">
        <v>0</v>
      </c>
      <c r="W50" s="127" t="inlineStr">
        <is>
          <t>Bō</t>
        </is>
      </c>
      <c r="X50" s="11" t="n"/>
      <c r="Y50" s="11" t="n"/>
      <c r="Z50" s="11" t="n"/>
      <c r="AA50" s="11" t="n"/>
      <c r="AB50" s="11" t="n"/>
      <c r="AC50" s="11" t="n"/>
      <c r="AD50" s="12" t="n"/>
      <c r="AE50" s="119" t="b">
        <v>0</v>
      </c>
      <c r="AF50" s="127" t="inlineStr">
        <is>
          <t>Faca</t>
        </is>
      </c>
      <c r="AG50" s="11" t="n"/>
      <c r="AH50" s="11" t="n"/>
      <c r="AI50" s="11" t="n"/>
      <c r="AJ50" s="11" t="n"/>
      <c r="AK50" s="11" t="n"/>
      <c r="AL50" s="12" t="n"/>
      <c r="AM50" s="119" t="b">
        <v>0</v>
      </c>
      <c r="AN50" s="127" t="inlineStr">
        <is>
          <t>Maça</t>
        </is>
      </c>
      <c r="AO50" s="11" t="n"/>
      <c r="AP50" s="11" t="n"/>
      <c r="AQ50" s="11" t="n"/>
      <c r="AR50" s="11" t="n"/>
      <c r="AS50" s="11" t="n"/>
      <c r="AT50" s="12" t="n"/>
      <c r="AU50" s="115" t="n"/>
      <c r="AV50" s="115" t="n"/>
      <c r="AW50" s="127" t="n"/>
      <c r="AX50" s="127" t="n"/>
      <c r="AY50" s="119" t="n"/>
      <c r="AZ50" s="119" t="n"/>
      <c r="BA50" s="119">
        <f>IF($AX50="","",IFERROR(FLOOR(ROUND(VLOOKUP($AX50,DADOS!$CL$5:$CM$10,2,FALSE)*IF($AY50="",1,VLOOKUP($AY50,DADOS!$CO$5:$CP$7,2,FALSE))*IF($AZ50="",1,VLOOKUP($AZ50,DADOS!$CR$5:$CS$9,2,FALSE)),4),12.5),""))</f>
        <v/>
      </c>
      <c r="BB50" s="115" t="n"/>
      <c r="BC50" s="127" t="n"/>
      <c r="BD50" s="127" t="n"/>
      <c r="BE50" s="119" t="n"/>
      <c r="BF50" s="119" t="n"/>
      <c r="BG50" s="119">
        <f>IF($BD50="","",IFERROR(FLOOR(ROUND(VLOOKUP($BD50,DADOS!$CL$5:$CM$10,2,FALSE)*IF($BE50="",1,VLOOKUP($BE50,DADOS!$CO$5:$CP$7,2,FALSE))*IF($BF50="",1,VLOOKUP($BF50,DADOS!$CR$5:$CS$9,2,FALSE)),4),12.5),""))</f>
        <v/>
      </c>
      <c r="BH50" s="115" t="n"/>
      <c r="BI50" s="127" t="n"/>
      <c r="BJ50" s="127" t="n"/>
      <c r="BK50" s="119" t="n"/>
      <c r="BL50" s="119" t="n"/>
      <c r="BM50" s="119">
        <f>IF($BJ50="","",IFERROR(FLOOR(ROUND(VLOOKUP($BJ50,DADOS!$CL$5:$CM$10,2,FALSE)*IF($BK50="",1,VLOOKUP($BK50,DADOS!$CO$5:$CP$7,2,FALSE))*IF($BL50="",1,VLOOKUP($BL50,DADOS!$CR$5:$CS$9,2,FALSE)),4),12.5),""))</f>
        <v/>
      </c>
      <c r="BN50" s="115" t="n"/>
      <c r="BO50" s="127" t="n"/>
      <c r="BP50" s="127" t="n"/>
      <c r="BQ50" s="119" t="n"/>
      <c r="BR50" s="119" t="n"/>
      <c r="BS50" s="119">
        <f>IF($BP50="","",IFERROR(FLOOR(ROUND(VLOOKUP($BP50,DADOS!$CL$5:$CM$10,2,FALSE)*IF($BQ50="",1,VLOOKUP($BQ50,DADOS!$CO$5:$CP$7,2,FALSE))*IF($BR50="",1,VLOOKUP($BR50,DADOS!$CR$5:$CS$9,2,FALSE)),4),12.5),""))</f>
        <v/>
      </c>
      <c r="BT50" s="115" t="n"/>
    </row>
    <row r="51" outlineLevel="1">
      <c r="B51" s="17" t="n"/>
      <c r="C51" s="115" t="n"/>
      <c r="D51" s="119" t="b">
        <v>0</v>
      </c>
      <c r="E51" s="127" t="inlineStr">
        <is>
          <t>Katana</t>
        </is>
      </c>
      <c r="F51" s="11" t="n"/>
      <c r="G51" s="11" t="n"/>
      <c r="H51" s="11" t="n"/>
      <c r="I51" s="11" t="n"/>
      <c r="J51" s="11" t="n"/>
      <c r="K51" s="11" t="n"/>
      <c r="L51" s="12" t="n"/>
      <c r="M51" s="119" t="b">
        <v>0</v>
      </c>
      <c r="N51" s="127" t="inlineStr">
        <is>
          <t>Pistola</t>
        </is>
      </c>
      <c r="O51" s="11" t="n"/>
      <c r="P51" s="11" t="n"/>
      <c r="Q51" s="11" t="n"/>
      <c r="R51" s="11" t="n"/>
      <c r="S51" s="11" t="n"/>
      <c r="T51" s="11" t="n"/>
      <c r="U51" s="12" t="n"/>
      <c r="V51" s="119" t="b">
        <v>0</v>
      </c>
      <c r="W51" s="127" t="inlineStr">
        <is>
          <t>Cassetete</t>
        </is>
      </c>
      <c r="X51" s="11" t="n"/>
      <c r="Y51" s="11" t="n"/>
      <c r="Z51" s="11" t="n"/>
      <c r="AA51" s="11" t="n"/>
      <c r="AB51" s="11" t="n"/>
      <c r="AC51" s="11" t="n"/>
      <c r="AD51" s="12" t="n"/>
      <c r="AE51" s="119" t="b">
        <v>0</v>
      </c>
      <c r="AF51" s="127" t="inlineStr">
        <is>
          <t>Punhal</t>
        </is>
      </c>
      <c r="AG51" s="11" t="n"/>
      <c r="AH51" s="11" t="n"/>
      <c r="AI51" s="11" t="n"/>
      <c r="AJ51" s="11" t="n"/>
      <c r="AK51" s="11" t="n"/>
      <c r="AL51" s="12" t="n"/>
      <c r="AM51" s="119" t="b">
        <v>0</v>
      </c>
      <c r="AN51" s="127" t="inlineStr">
        <is>
          <t>Marreta</t>
        </is>
      </c>
      <c r="AO51" s="11" t="n"/>
      <c r="AP51" s="11" t="n"/>
      <c r="AQ51" s="11" t="n"/>
      <c r="AR51" s="11" t="n"/>
      <c r="AS51" s="11" t="n"/>
      <c r="AT51" s="12" t="n"/>
      <c r="AU51" s="115" t="n"/>
      <c r="AV51" s="115" t="n"/>
      <c r="AW51" s="127" t="n"/>
      <c r="AX51" s="127" t="n"/>
      <c r="AY51" s="119" t="n"/>
      <c r="AZ51" s="119" t="n"/>
      <c r="BA51" s="119">
        <f>IF($AX51="","",IFERROR(FLOOR(ROUND(VLOOKUP($AX51,DADOS!$CL$5:$CM$10,2,FALSE)*IF($AY51="",1,VLOOKUP($AY51,DADOS!$CO$5:$CP$7,2,FALSE))*IF($AZ51="",1,VLOOKUP($AZ51,DADOS!$CR$5:$CS$9,2,FALSE)),4),12.5),""))</f>
        <v/>
      </c>
      <c r="BB51" s="115" t="n"/>
      <c r="BC51" s="127" t="n"/>
      <c r="BD51" s="127" t="n"/>
      <c r="BE51" s="119" t="n"/>
      <c r="BF51" s="119" t="n"/>
      <c r="BG51" s="119">
        <f>IF($BD51="","",IFERROR(FLOOR(ROUND(VLOOKUP($BD51,DADOS!$CL$5:$CM$10,2,FALSE)*IF($BE51="",1,VLOOKUP($BE51,DADOS!$CO$5:$CP$7,2,FALSE))*IF($BF51="",1,VLOOKUP($BF51,DADOS!$CR$5:$CS$9,2,FALSE)),4),12.5),""))</f>
        <v/>
      </c>
      <c r="BH51" s="115" t="n"/>
      <c r="BI51" s="127" t="n"/>
      <c r="BJ51" s="127" t="n"/>
      <c r="BK51" s="119" t="n"/>
      <c r="BL51" s="119" t="n"/>
      <c r="BM51" s="119">
        <f>IF($BJ51="","",IFERROR(FLOOR(ROUND(VLOOKUP($BJ51,DADOS!$CL$5:$CM$10,2,FALSE)*IF($BK51="",1,VLOOKUP($BK51,DADOS!$CO$5:$CP$7,2,FALSE))*IF($BL51="",1,VLOOKUP($BL51,DADOS!$CR$5:$CS$9,2,FALSE)),4),12.5),""))</f>
        <v/>
      </c>
      <c r="BN51" s="115" t="n"/>
      <c r="BO51" s="127" t="n"/>
      <c r="BP51" s="127" t="n"/>
      <c r="BQ51" s="119" t="n"/>
      <c r="BR51" s="119" t="n"/>
      <c r="BS51" s="119">
        <f>IF($BP51="","",IFERROR(FLOOR(ROUND(VLOOKUP($BP51,DADOS!$CL$5:$CM$10,2,FALSE)*IF($BQ51="",1,VLOOKUP($BQ51,DADOS!$CO$5:$CP$7,2,FALSE))*IF($BR51="",1,VLOOKUP($BR51,DADOS!$CR$5:$CS$9,2,FALSE)),4),12.5),""))</f>
        <v/>
      </c>
      <c r="BT51" s="115" t="n"/>
    </row>
    <row r="52" outlineLevel="1">
      <c r="A52" s="8" t="n"/>
      <c r="B52" s="22" t="n"/>
      <c r="C52" s="115" t="n"/>
      <c r="D52" s="119" t="b">
        <v>0</v>
      </c>
      <c r="E52" s="127" t="inlineStr">
        <is>
          <t>Machete</t>
        </is>
      </c>
      <c r="F52" s="11" t="n"/>
      <c r="G52" s="11" t="n"/>
      <c r="H52" s="11" t="n"/>
      <c r="I52" s="11" t="n"/>
      <c r="J52" s="11" t="n"/>
      <c r="K52" s="11" t="n"/>
      <c r="L52" s="12" t="n"/>
      <c r="M52" s="119" t="b">
        <v>0</v>
      </c>
      <c r="N52" s="127" t="inlineStr">
        <is>
          <t>Revólver</t>
        </is>
      </c>
      <c r="O52" s="11" t="n"/>
      <c r="P52" s="11" t="n"/>
      <c r="Q52" s="11" t="n"/>
      <c r="R52" s="11" t="n"/>
      <c r="S52" s="11" t="n"/>
      <c r="T52" s="11" t="n"/>
      <c r="U52" s="12" t="n"/>
      <c r="V52" s="119" t="b">
        <v>0</v>
      </c>
      <c r="W52" s="127" t="inlineStr">
        <is>
          <t>Nunchaku</t>
        </is>
      </c>
      <c r="X52" s="11" t="n"/>
      <c r="Y52" s="11" t="n"/>
      <c r="Z52" s="11" t="n"/>
      <c r="AA52" s="11" t="n"/>
      <c r="AB52" s="11" t="n"/>
      <c r="AC52" s="11" t="n"/>
      <c r="AD52" s="12" t="n"/>
      <c r="AE52" s="119" t="b">
        <v>0</v>
      </c>
      <c r="AF52" s="127" t="inlineStr">
        <is>
          <t>Sai</t>
        </is>
      </c>
      <c r="AG52" s="11" t="n"/>
      <c r="AH52" s="11" t="n"/>
      <c r="AI52" s="11" t="n"/>
      <c r="AJ52" s="11" t="n"/>
      <c r="AK52" s="11" t="n"/>
      <c r="AL52" s="12" t="n"/>
      <c r="AM52" s="119" t="b">
        <v>0</v>
      </c>
      <c r="AN52" s="127" t="inlineStr">
        <is>
          <t>Maul</t>
        </is>
      </c>
      <c r="AO52" s="11" t="n"/>
      <c r="AP52" s="11" t="n"/>
      <c r="AQ52" s="11" t="n"/>
      <c r="AR52" s="11" t="n"/>
      <c r="AS52" s="11" t="n"/>
      <c r="AT52" s="12" t="n"/>
      <c r="AU52" s="115" t="n"/>
      <c r="AV52" s="115" t="n"/>
      <c r="AW52" s="127" t="n"/>
      <c r="AX52" s="127" t="n"/>
      <c r="AY52" s="119" t="n"/>
      <c r="AZ52" s="119" t="n"/>
      <c r="BA52" s="119">
        <f>IF($AX52="","",IFERROR(FLOOR(ROUND(VLOOKUP($AX52,DADOS!$CL$5:$CM$10,2,FALSE)*IF($AY52="",1,VLOOKUP($AY52,DADOS!$CO$5:$CP$7,2,FALSE))*IF($AZ52="",1,VLOOKUP($AZ52,DADOS!$CR$5:$CS$9,2,FALSE)),4),12.5),""))</f>
        <v/>
      </c>
      <c r="BB52" s="115" t="n"/>
      <c r="BC52" s="127" t="n"/>
      <c r="BD52" s="127" t="n"/>
      <c r="BE52" s="119" t="n"/>
      <c r="BF52" s="119" t="n"/>
      <c r="BG52" s="119">
        <f>IF($BD52="","",IFERROR(FLOOR(ROUND(VLOOKUP($BD52,DADOS!$CL$5:$CM$10,2,FALSE)*IF($BE52="",1,VLOOKUP($BE52,DADOS!$CO$5:$CP$7,2,FALSE))*IF($BF52="",1,VLOOKUP($BF52,DADOS!$CR$5:$CS$9,2,FALSE)),4),12.5),""))</f>
        <v/>
      </c>
      <c r="BH52" s="115" t="n"/>
      <c r="BI52" s="127" t="n"/>
      <c r="BJ52" s="127" t="n"/>
      <c r="BK52" s="119" t="n"/>
      <c r="BL52" s="119" t="n"/>
      <c r="BM52" s="119">
        <f>IF($BJ52="","",IFERROR(FLOOR(ROUND(VLOOKUP($BJ52,DADOS!$CL$5:$CM$10,2,FALSE)*IF($BK52="",1,VLOOKUP($BK52,DADOS!$CO$5:$CP$7,2,FALSE))*IF($BL52="",1,VLOOKUP($BL52,DADOS!$CR$5:$CS$9,2,FALSE)),4),12.5),""))</f>
        <v/>
      </c>
      <c r="BN52" s="115" t="n"/>
      <c r="BO52" s="127" t="n"/>
      <c r="BP52" s="127" t="n"/>
      <c r="BQ52" s="119" t="n"/>
      <c r="BR52" s="119" t="n"/>
      <c r="BS52" s="119">
        <f>IF($BP52="","",IFERROR(FLOOR(ROUND(VLOOKUP($BP52,DADOS!$CL$5:$CM$10,2,FALSE)*IF($BQ52="",1,VLOOKUP($BQ52,DADOS!$CO$5:$CP$7,2,FALSE))*IF($BR52="",1,VLOOKUP($BR52,DADOS!$CR$5:$CS$9,2,FALSE)),4),12.5),""))</f>
        <v/>
      </c>
      <c r="BT52" s="115" t="n"/>
    </row>
    <row r="53" outlineLevel="1">
      <c r="A53" s="8" t="n"/>
      <c r="B53" s="22" t="n"/>
      <c r="C53" s="115" t="n"/>
      <c r="D53" s="119" t="b">
        <v>0</v>
      </c>
      <c r="E53" s="127" t="inlineStr">
        <is>
          <t>Nodachi</t>
        </is>
      </c>
      <c r="F53" s="11" t="n"/>
      <c r="G53" s="11" t="n"/>
      <c r="H53" s="11" t="n"/>
      <c r="I53" s="11" t="n"/>
      <c r="J53" s="11" t="n"/>
      <c r="K53" s="11" t="n"/>
      <c r="L53" s="12" t="n"/>
      <c r="M53" s="119" t="b">
        <v>0</v>
      </c>
      <c r="N53" s="127" t="inlineStr">
        <is>
          <t>Rifle</t>
        </is>
      </c>
      <c r="O53" s="11" t="n"/>
      <c r="P53" s="11" t="n"/>
      <c r="Q53" s="11" t="n"/>
      <c r="R53" s="11" t="n"/>
      <c r="S53" s="11" t="n"/>
      <c r="T53" s="11" t="n"/>
      <c r="U53" s="12" t="n"/>
      <c r="V53" s="119" t="b">
        <v>0</v>
      </c>
      <c r="W53" s="127" t="inlineStr">
        <is>
          <t>Tonfa</t>
        </is>
      </c>
      <c r="X53" s="11" t="n"/>
      <c r="Y53" s="11" t="n"/>
      <c r="Z53" s="11" t="n"/>
      <c r="AA53" s="11" t="n"/>
      <c r="AB53" s="11" t="n"/>
      <c r="AC53" s="11" t="n"/>
      <c r="AD53" s="12" t="n"/>
      <c r="AE53" s="119" t="b">
        <v>0</v>
      </c>
      <c r="AF53" s="127" t="inlineStr">
        <is>
          <t>Tanto</t>
        </is>
      </c>
      <c r="AG53" s="11" t="n"/>
      <c r="AH53" s="11" t="n"/>
      <c r="AI53" s="11" t="n"/>
      <c r="AJ53" s="11" t="n"/>
      <c r="AK53" s="11" t="n"/>
      <c r="AL53" s="12" t="n"/>
      <c r="AM53" s="119" t="b">
        <v>0</v>
      </c>
      <c r="AN53" s="127" t="inlineStr">
        <is>
          <t>Taco</t>
        </is>
      </c>
      <c r="AO53" s="11" t="n"/>
      <c r="AP53" s="11" t="n"/>
      <c r="AQ53" s="11" t="n"/>
      <c r="AR53" s="11" t="n"/>
      <c r="AS53" s="11" t="n"/>
      <c r="AT53" s="12" t="n"/>
      <c r="AU53" s="115" t="n"/>
      <c r="AV53" s="115" t="n"/>
      <c r="AW53" s="127" t="n"/>
      <c r="AX53" s="127" t="n"/>
      <c r="AY53" s="119" t="n"/>
      <c r="AZ53" s="119" t="n"/>
      <c r="BA53" s="119">
        <f>IF($AX53="","",IFERROR(FLOOR(ROUND(VLOOKUP($AX53,DADOS!$CL$5:$CM$10,2,FALSE)*IF($AY53="",1,VLOOKUP($AY53,DADOS!$CO$5:$CP$7,2,FALSE))*IF($AZ53="",1,VLOOKUP($AZ53,DADOS!$CR$5:$CS$9,2,FALSE)),4),12.5),""))</f>
        <v/>
      </c>
      <c r="BB53" s="115" t="n"/>
      <c r="BC53" s="127" t="n"/>
      <c r="BD53" s="127" t="n"/>
      <c r="BE53" s="119" t="n"/>
      <c r="BF53" s="119" t="n"/>
      <c r="BG53" s="119">
        <f>IF($BD53="","",IFERROR(FLOOR(ROUND(VLOOKUP($BD53,DADOS!$CL$5:$CM$10,2,FALSE)*IF($BE53="",1,VLOOKUP($BE53,DADOS!$CO$5:$CP$7,2,FALSE))*IF($BF53="",1,VLOOKUP($BF53,DADOS!$CR$5:$CS$9,2,FALSE)),4),12.5),""))</f>
        <v/>
      </c>
      <c r="BH53" s="115" t="n"/>
      <c r="BI53" s="127" t="n"/>
      <c r="BJ53" s="127" t="n"/>
      <c r="BK53" s="119" t="n"/>
      <c r="BL53" s="119" t="n"/>
      <c r="BM53" s="119">
        <f>IF($BJ53="","",IFERROR(FLOOR(ROUND(VLOOKUP($BJ53,DADOS!$CL$5:$CM$10,2,FALSE)*IF($BK53="",1,VLOOKUP($BK53,DADOS!$CO$5:$CP$7,2,FALSE))*IF($BL53="",1,VLOOKUP($BL53,DADOS!$CR$5:$CS$9,2,FALSE)),4),12.5),""))</f>
        <v/>
      </c>
      <c r="BN53" s="115" t="n"/>
      <c r="BO53" s="127" t="n"/>
      <c r="BP53" s="127" t="n"/>
      <c r="BQ53" s="119" t="n"/>
      <c r="BR53" s="119" t="n"/>
      <c r="BS53" s="119">
        <f>IF($BP53="","",IFERROR(FLOOR(ROUND(VLOOKUP($BP53,DADOS!$CL$5:$CM$10,2,FALSE)*IF($BQ53="",1,VLOOKUP($BQ53,DADOS!$CO$5:$CP$7,2,FALSE))*IF($BR53="",1,VLOOKUP($BR53,DADOS!$CR$5:$CS$9,2,FALSE)),4),12.5),""))</f>
        <v/>
      </c>
      <c r="BT53" s="115" t="n"/>
    </row>
    <row r="54" outlineLevel="1">
      <c r="A54" s="8" t="n"/>
      <c r="B54" s="22" t="n"/>
      <c r="C54" s="115" t="n"/>
      <c r="D54" s="119" t="b">
        <v>0</v>
      </c>
      <c r="E54" s="127" t="inlineStr">
        <is>
          <t>Odachi</t>
        </is>
      </c>
      <c r="F54" s="11" t="n"/>
      <c r="G54" s="11" t="n"/>
      <c r="H54" s="11" t="n"/>
      <c r="I54" s="11" t="n"/>
      <c r="J54" s="11" t="n"/>
      <c r="K54" s="11" t="n"/>
      <c r="L54" s="12" t="n"/>
      <c r="M54" s="119" t="b">
        <v>0</v>
      </c>
      <c r="N54" s="127" t="inlineStr">
        <is>
          <t>Rifle de Precisão</t>
        </is>
      </c>
      <c r="O54" s="11" t="n"/>
      <c r="P54" s="11" t="n"/>
      <c r="Q54" s="11" t="n"/>
      <c r="R54" s="11" t="n"/>
      <c r="S54" s="11" t="n"/>
      <c r="T54" s="11" t="n"/>
      <c r="U54" s="12" t="n"/>
      <c r="V54" s="52" t="b">
        <v>0</v>
      </c>
      <c r="W54" s="52" t="inlineStr">
        <is>
          <t>CEIFA</t>
        </is>
      </c>
      <c r="X54" s="11" t="n"/>
      <c r="Y54" s="11" t="n"/>
      <c r="Z54" s="11" t="n"/>
      <c r="AA54" s="11" t="n"/>
      <c r="AB54" s="11" t="n"/>
      <c r="AC54" s="11" t="n"/>
      <c r="AD54" s="12" t="n"/>
      <c r="AE54" s="52" t="b">
        <v>0</v>
      </c>
      <c r="AF54" s="52" t="inlineStr">
        <is>
          <t>FLEXÍVEL</t>
        </is>
      </c>
      <c r="AG54" s="11" t="n"/>
      <c r="AH54" s="11" t="n"/>
      <c r="AI54" s="11" t="n"/>
      <c r="AJ54" s="11" t="n"/>
      <c r="AK54" s="11" t="n"/>
      <c r="AL54" s="12" t="n"/>
      <c r="AM54" s="52" t="b">
        <v>0</v>
      </c>
      <c r="AN54" s="52" t="inlineStr">
        <is>
          <t>ARMAS LONGAS</t>
        </is>
      </c>
      <c r="AO54" s="11" t="n"/>
      <c r="AP54" s="11" t="n"/>
      <c r="AQ54" s="11" t="n"/>
      <c r="AR54" s="11" t="n"/>
      <c r="AS54" s="11" t="n"/>
      <c r="AT54" s="12" t="n"/>
      <c r="AU54" s="115" t="n"/>
      <c r="AV54" s="115" t="n"/>
      <c r="AW54" s="127" t="n"/>
      <c r="AX54" s="127" t="n"/>
      <c r="AY54" s="119" t="n"/>
      <c r="AZ54" s="119" t="n"/>
      <c r="BA54" s="119">
        <f>IF($AX54="","",IFERROR(FLOOR(ROUND(VLOOKUP($AX54,DADOS!$CL$5:$CM$10,2,FALSE)*IF($AY54="",1,VLOOKUP($AY54,DADOS!$CO$5:$CP$7,2,FALSE))*IF($AZ54="",1,VLOOKUP($AZ54,DADOS!$CR$5:$CS$9,2,FALSE)),4),12.5),""))</f>
        <v/>
      </c>
      <c r="BB54" s="115" t="n"/>
      <c r="BC54" s="127" t="n"/>
      <c r="BD54" s="127" t="n"/>
      <c r="BE54" s="119" t="n"/>
      <c r="BF54" s="119" t="n"/>
      <c r="BG54" s="119">
        <f>IF($BD54="","",IFERROR(FLOOR(ROUND(VLOOKUP($BD54,DADOS!$CL$5:$CM$10,2,FALSE)*IF($BE54="",1,VLOOKUP($BE54,DADOS!$CO$5:$CP$7,2,FALSE))*IF($BF54="",1,VLOOKUP($BF54,DADOS!$CR$5:$CS$9,2,FALSE)),4),12.5),""))</f>
        <v/>
      </c>
      <c r="BH54" s="115" t="n"/>
      <c r="BI54" s="127" t="n"/>
      <c r="BJ54" s="127" t="n"/>
      <c r="BK54" s="119" t="n"/>
      <c r="BL54" s="119" t="n"/>
      <c r="BM54" s="119">
        <f>IF($BJ54="","",IFERROR(FLOOR(ROUND(VLOOKUP($BJ54,DADOS!$CL$5:$CM$10,2,FALSE)*IF($BK54="",1,VLOOKUP($BK54,DADOS!$CO$5:$CP$7,2,FALSE))*IF($BL54="",1,VLOOKUP($BL54,DADOS!$CR$5:$CS$9,2,FALSE)),4),12.5),""))</f>
        <v/>
      </c>
      <c r="BN54" s="115" t="n"/>
      <c r="BO54" s="127" t="n"/>
      <c r="BP54" s="127" t="n"/>
      <c r="BQ54" s="119" t="n"/>
      <c r="BR54" s="119" t="n"/>
      <c r="BS54" s="119">
        <f>IF($BP54="","",IFERROR(FLOOR(ROUND(VLOOKUP($BP54,DADOS!$CL$5:$CM$10,2,FALSE)*IF($BQ54="",1,VLOOKUP($BQ54,DADOS!$CO$5:$CP$7,2,FALSE))*IF($BR54="",1,VLOOKUP($BR54,DADOS!$CR$5:$CS$9,2,FALSE)),4),12.5),""))</f>
        <v/>
      </c>
      <c r="BT54" s="115" t="n"/>
    </row>
    <row r="55" outlineLevel="1">
      <c r="A55" s="8" t="n"/>
      <c r="B55" s="22" t="n"/>
      <c r="C55" s="115" t="n"/>
      <c r="D55" s="119" t="b">
        <v>0</v>
      </c>
      <c r="E55" s="127" t="inlineStr">
        <is>
          <t>Rapieira</t>
        </is>
      </c>
      <c r="F55" s="11" t="n"/>
      <c r="G55" s="11" t="n"/>
      <c r="H55" s="11" t="n"/>
      <c r="I55" s="11" t="n"/>
      <c r="J55" s="11" t="n"/>
      <c r="K55" s="11" t="n"/>
      <c r="L55" s="12" t="n"/>
      <c r="M55" s="119" t="b">
        <v>0</v>
      </c>
      <c r="N55" s="127" t="inlineStr">
        <is>
          <t>Submetralhadora</t>
        </is>
      </c>
      <c r="O55" s="11" t="n"/>
      <c r="P55" s="11" t="n"/>
      <c r="Q55" s="11" t="n"/>
      <c r="R55" s="11" t="n"/>
      <c r="S55" s="11" t="n"/>
      <c r="T55" s="11" t="n"/>
      <c r="U55" s="12" t="n"/>
      <c r="V55" s="119" t="b">
        <v>0</v>
      </c>
      <c r="W55" s="127" t="inlineStr">
        <is>
          <t>Foice</t>
        </is>
      </c>
      <c r="X55" s="11" t="n"/>
      <c r="Y55" s="11" t="n"/>
      <c r="Z55" s="11" t="n"/>
      <c r="AA55" s="11" t="n"/>
      <c r="AB55" s="11" t="n"/>
      <c r="AC55" s="11" t="n"/>
      <c r="AD55" s="12" t="n"/>
      <c r="AE55" s="119" t="b">
        <v>0</v>
      </c>
      <c r="AF55" s="127" t="inlineStr">
        <is>
          <t>Chicote</t>
        </is>
      </c>
      <c r="AG55" s="11" t="n"/>
      <c r="AH55" s="11" t="n"/>
      <c r="AI55" s="11" t="n"/>
      <c r="AJ55" s="11" t="n"/>
      <c r="AK55" s="11" t="n"/>
      <c r="AL55" s="12" t="n"/>
      <c r="AM55" s="119" t="b">
        <v>0</v>
      </c>
      <c r="AN55" s="127" t="inlineStr">
        <is>
          <t>Lança</t>
        </is>
      </c>
      <c r="AO55" s="11" t="n"/>
      <c r="AP55" s="11" t="n"/>
      <c r="AQ55" s="11" t="n"/>
      <c r="AR55" s="11" t="n"/>
      <c r="AS55" s="11" t="n"/>
      <c r="AT55" s="12" t="n"/>
      <c r="AU55" s="115" t="n"/>
      <c r="AV55" s="115" t="n"/>
      <c r="AW55" s="127" t="n"/>
      <c r="AX55" s="127" t="n"/>
      <c r="AY55" s="119" t="n"/>
      <c r="AZ55" s="119" t="n"/>
      <c r="BA55" s="119">
        <f>IF($AX55="","",IFERROR(FLOOR(ROUND(VLOOKUP($AX55,DADOS!$CL$5:$CM$10,2,FALSE)*IF($AY55="",1,VLOOKUP($AY55,DADOS!$CO$5:$CP$7,2,FALSE))*IF($AZ55="",1,VLOOKUP($AZ55,DADOS!$CR$5:$CS$9,2,FALSE)),4),12.5),""))</f>
        <v/>
      </c>
      <c r="BB55" s="115" t="n"/>
      <c r="BC55" s="127" t="n"/>
      <c r="BD55" s="127" t="n"/>
      <c r="BE55" s="119" t="n"/>
      <c r="BF55" s="119" t="n"/>
      <c r="BG55" s="119">
        <f>IF($BD55="","",IFERROR(FLOOR(ROUND(VLOOKUP($BD55,DADOS!$CL$5:$CM$10,2,FALSE)*IF($BE55="",1,VLOOKUP($BE55,DADOS!$CO$5:$CP$7,2,FALSE))*IF($BF55="",1,VLOOKUP($BF55,DADOS!$CR$5:$CS$9,2,FALSE)),4),12.5),""))</f>
        <v/>
      </c>
      <c r="BH55" s="115" t="n"/>
      <c r="BI55" s="127" t="n"/>
      <c r="BJ55" s="127" t="n"/>
      <c r="BK55" s="119" t="n"/>
      <c r="BL55" s="119" t="n"/>
      <c r="BM55" s="119">
        <f>IF($BJ55="","",IFERROR(FLOOR(ROUND(VLOOKUP($BJ55,DADOS!$CL$5:$CM$10,2,FALSE)*IF($BK55="",1,VLOOKUP($BK55,DADOS!$CO$5:$CP$7,2,FALSE))*IF($BL55="",1,VLOOKUP($BL55,DADOS!$CR$5:$CS$9,2,FALSE)),4),12.5),""))</f>
        <v/>
      </c>
      <c r="BN55" s="115" t="n"/>
      <c r="BO55" s="127" t="n"/>
      <c r="BP55" s="127" t="n"/>
      <c r="BQ55" s="119" t="n"/>
      <c r="BR55" s="119" t="n"/>
      <c r="BS55" s="119">
        <f>IF($BP55="","",IFERROR(FLOOR(ROUND(VLOOKUP($BP55,DADOS!$CL$5:$CM$10,2,FALSE)*IF($BQ55="",1,VLOOKUP($BQ55,DADOS!$CO$5:$CP$7,2,FALSE))*IF($BR55="",1,VLOOKUP($BR55,DADOS!$CR$5:$CS$9,2,FALSE)),4),12.5),""))</f>
        <v/>
      </c>
      <c r="BT55" s="115" t="n"/>
    </row>
    <row r="56" outlineLevel="1">
      <c r="A56" s="8" t="n"/>
      <c r="B56" s="22" t="n"/>
      <c r="C56" s="115" t="n"/>
      <c r="D56" s="119" t="b">
        <v>0</v>
      </c>
      <c r="E56" s="127" t="inlineStr">
        <is>
          <t>Wakizashi</t>
        </is>
      </c>
      <c r="F56" s="11" t="n"/>
      <c r="G56" s="11" t="n"/>
      <c r="H56" s="11" t="n"/>
      <c r="I56" s="11" t="n"/>
      <c r="J56" s="11" t="n"/>
      <c r="K56" s="11" t="n"/>
      <c r="L56" s="12" t="n"/>
      <c r="M56" s="52" t="b">
        <v>0</v>
      </c>
      <c r="N56" s="52" t="inlineStr">
        <is>
          <t>ARREMESSO</t>
        </is>
      </c>
      <c r="O56" s="11" t="n"/>
      <c r="P56" s="11" t="n"/>
      <c r="Q56" s="11" t="n"/>
      <c r="R56" s="11" t="n"/>
      <c r="S56" s="11" t="n"/>
      <c r="T56" s="11" t="n"/>
      <c r="U56" s="12" t="n"/>
      <c r="V56" s="119" t="b">
        <v>0</v>
      </c>
      <c r="W56" s="127" t="inlineStr">
        <is>
          <t>Kama</t>
        </is>
      </c>
      <c r="X56" s="11" t="n"/>
      <c r="Y56" s="11" t="n"/>
      <c r="Z56" s="11" t="n"/>
      <c r="AA56" s="11" t="n"/>
      <c r="AB56" s="11" t="n"/>
      <c r="AC56" s="11" t="n"/>
      <c r="AD56" s="12" t="n"/>
      <c r="AE56" s="119" t="b">
        <v>0</v>
      </c>
      <c r="AF56" s="127" t="inlineStr">
        <is>
          <t>Corrente</t>
        </is>
      </c>
      <c r="AG56" s="11" t="n"/>
      <c r="AH56" s="11" t="n"/>
      <c r="AI56" s="11" t="n"/>
      <c r="AJ56" s="11" t="n"/>
      <c r="AK56" s="11" t="n"/>
      <c r="AL56" s="12" t="n"/>
      <c r="AM56" s="119" t="b">
        <v>0</v>
      </c>
      <c r="AN56" s="127" t="inlineStr">
        <is>
          <t>Naginata</t>
        </is>
      </c>
      <c r="AO56" s="11" t="n"/>
      <c r="AP56" s="11" t="n"/>
      <c r="AQ56" s="11" t="n"/>
      <c r="AR56" s="11" t="n"/>
      <c r="AS56" s="11" t="n"/>
      <c r="AT56" s="12" t="n"/>
      <c r="AU56" s="115" t="n"/>
      <c r="AV56" s="115" t="n"/>
      <c r="AW56" s="127" t="n"/>
      <c r="AX56" s="127" t="n"/>
      <c r="AY56" s="119" t="n"/>
      <c r="AZ56" s="119" t="n"/>
      <c r="BA56" s="119">
        <f>IF($AX56="","",IFERROR(FLOOR(ROUND(VLOOKUP($AX56,DADOS!$CL$5:$CM$10,2,FALSE)*IF($AY56="",1,VLOOKUP($AY56,DADOS!$CO$5:$CP$7,2,FALSE))*IF($AZ56="",1,VLOOKUP($AZ56,DADOS!$CR$5:$CS$9,2,FALSE)),4),12.5),""))</f>
        <v/>
      </c>
      <c r="BB56" s="115" t="n"/>
      <c r="BC56" s="127" t="n"/>
      <c r="BD56" s="127" t="n"/>
      <c r="BE56" s="119" t="n"/>
      <c r="BF56" s="119" t="n"/>
      <c r="BG56" s="119">
        <f>IF($BD56="","",IFERROR(FLOOR(ROUND(VLOOKUP($BD56,DADOS!$CL$5:$CM$10,2,FALSE)*IF($BE56="",1,VLOOKUP($BE56,DADOS!$CO$5:$CP$7,2,FALSE))*IF($BF56="",1,VLOOKUP($BF56,DADOS!$CR$5:$CS$9,2,FALSE)),4),12.5),""))</f>
        <v/>
      </c>
      <c r="BH56" s="115" t="n"/>
      <c r="BI56" s="127" t="n"/>
      <c r="BJ56" s="127" t="n"/>
      <c r="BK56" s="119" t="n"/>
      <c r="BL56" s="119" t="n"/>
      <c r="BM56" s="119">
        <f>IF($BJ56="","",IFERROR(FLOOR(ROUND(VLOOKUP($BJ56,DADOS!$CL$5:$CM$10,2,FALSE)*IF($BK56="",1,VLOOKUP($BK56,DADOS!$CO$5:$CP$7,2,FALSE))*IF($BL56="",1,VLOOKUP($BL56,DADOS!$CR$5:$CS$9,2,FALSE)),4),12.5),""))</f>
        <v/>
      </c>
      <c r="BN56" s="115" t="n"/>
      <c r="BO56" s="127" t="n"/>
      <c r="BP56" s="127" t="n"/>
      <c r="BQ56" s="119" t="n"/>
      <c r="BR56" s="119" t="n"/>
      <c r="BS56" s="119">
        <f>IF($BP56="","",IFERROR(FLOOR(ROUND(VLOOKUP($BP56,DADOS!$CL$5:$CM$10,2,FALSE)*IF($BQ56="",1,VLOOKUP($BQ56,DADOS!$CO$5:$CP$7,2,FALSE))*IF($BR56="",1,VLOOKUP($BR56,DADOS!$CR$5:$CS$9,2,FALSE)),4),12.5),""))</f>
        <v/>
      </c>
      <c r="BT56" s="115" t="n"/>
    </row>
    <row r="57" outlineLevel="1">
      <c r="A57" s="8" t="n"/>
      <c r="B57" s="22" t="n"/>
      <c r="C57" s="115" t="n"/>
      <c r="D57" s="52" t="b">
        <v>0</v>
      </c>
      <c r="E57" s="52" t="inlineStr">
        <is>
          <t>MACHADO</t>
        </is>
      </c>
      <c r="F57" s="11" t="n"/>
      <c r="G57" s="11" t="n"/>
      <c r="H57" s="11" t="n"/>
      <c r="I57" s="11" t="n"/>
      <c r="J57" s="11" t="n"/>
      <c r="K57" s="11" t="n"/>
      <c r="L57" s="12" t="n"/>
      <c r="M57" s="119" t="b">
        <v>0</v>
      </c>
      <c r="N57" s="127" t="inlineStr">
        <is>
          <t>Chakram</t>
        </is>
      </c>
      <c r="O57" s="11" t="n"/>
      <c r="P57" s="11" t="n"/>
      <c r="Q57" s="11" t="n"/>
      <c r="R57" s="11" t="n"/>
      <c r="S57" s="11" t="n"/>
      <c r="T57" s="11" t="n"/>
      <c r="U57" s="12" t="n"/>
      <c r="V57" s="119" t="b">
        <v>0</v>
      </c>
      <c r="W57" s="127" t="inlineStr">
        <is>
          <t>Kusarigama</t>
        </is>
      </c>
      <c r="X57" s="11" t="n"/>
      <c r="Y57" s="11" t="n"/>
      <c r="Z57" s="11" t="n"/>
      <c r="AA57" s="11" t="n"/>
      <c r="AB57" s="11" t="n"/>
      <c r="AC57" s="11" t="n"/>
      <c r="AD57" s="12" t="n"/>
      <c r="AE57" s="119" t="b">
        <v>0</v>
      </c>
      <c r="AF57" s="127" t="inlineStr">
        <is>
          <t>Manriki</t>
        </is>
      </c>
      <c r="AG57" s="11" t="n"/>
      <c r="AH57" s="11" t="n"/>
      <c r="AI57" s="11" t="n"/>
      <c r="AJ57" s="11" t="n"/>
      <c r="AK57" s="11" t="n"/>
      <c r="AL57" s="12" t="n"/>
      <c r="AM57" s="119" t="b">
        <v>0</v>
      </c>
      <c r="AN57" s="127" t="inlineStr">
        <is>
          <t>Yari</t>
        </is>
      </c>
      <c r="AO57" s="11" t="n"/>
      <c r="AP57" s="11" t="n"/>
      <c r="AQ57" s="11" t="n"/>
      <c r="AR57" s="11" t="n"/>
      <c r="AS57" s="11" t="n"/>
      <c r="AT57" s="12" t="n"/>
      <c r="AU57" s="115" t="n"/>
      <c r="AV57" s="115" t="n"/>
      <c r="AW57" s="127" t="n"/>
      <c r="AX57" s="127" t="n"/>
      <c r="AY57" s="119" t="n"/>
      <c r="AZ57" s="119" t="n"/>
      <c r="BA57" s="119">
        <f>IF($AX57="","",IFERROR(FLOOR(ROUND(VLOOKUP($AX57,DADOS!$CL$5:$CM$10,2,FALSE)*IF($AY57="",1,VLOOKUP($AY57,DADOS!$CO$5:$CP$7,2,FALSE))*IF($AZ57="",1,VLOOKUP($AZ57,DADOS!$CR$5:$CS$9,2,FALSE)),4),12.5),""))</f>
        <v/>
      </c>
      <c r="BB57" s="115" t="n"/>
      <c r="BC57" s="127" t="n"/>
      <c r="BD57" s="127" t="n"/>
      <c r="BE57" s="119" t="n"/>
      <c r="BF57" s="119" t="n"/>
      <c r="BG57" s="119">
        <f>IF($BD57="","",IFERROR(FLOOR(ROUND(VLOOKUP($BD57,DADOS!$CL$5:$CM$10,2,FALSE)*IF($BE57="",1,VLOOKUP($BE57,DADOS!$CO$5:$CP$7,2,FALSE))*IF($BF57="",1,VLOOKUP($BF57,DADOS!$CR$5:$CS$9,2,FALSE)),4),12.5),""))</f>
        <v/>
      </c>
      <c r="BH57" s="115" t="n"/>
      <c r="BI57" s="127" t="n"/>
      <c r="BJ57" s="127" t="n"/>
      <c r="BK57" s="119" t="n"/>
      <c r="BL57" s="119" t="n"/>
      <c r="BM57" s="119">
        <f>IF($BJ57="","",IFERROR(FLOOR(ROUND(VLOOKUP($BJ57,DADOS!$CL$5:$CM$10,2,FALSE)*IF($BK57="",1,VLOOKUP($BK57,DADOS!$CO$5:$CP$7,2,FALSE))*IF($BL57="",1,VLOOKUP($BL57,DADOS!$CR$5:$CS$9,2,FALSE)),4),12.5),""))</f>
        <v/>
      </c>
      <c r="BN57" s="115" t="n"/>
      <c r="BO57" s="127" t="n"/>
      <c r="BP57" s="127" t="n"/>
      <c r="BQ57" s="119" t="n"/>
      <c r="BR57" s="119" t="n"/>
      <c r="BS57" s="119">
        <f>IF($BP57="","",IFERROR(FLOOR(ROUND(VLOOKUP($BP57,DADOS!$CL$5:$CM$10,2,FALSE)*IF($BQ57="",1,VLOOKUP($BQ57,DADOS!$CO$5:$CP$7,2,FALSE))*IF($BR57="",1,VLOOKUP($BR57,DADOS!$CR$5:$CS$9,2,FALSE)),4),12.5),""))</f>
        <v/>
      </c>
      <c r="BT57" s="115" t="n"/>
    </row>
    <row r="58" outlineLevel="1">
      <c r="A58" s="8" t="n"/>
      <c r="B58" s="22" t="n"/>
      <c r="C58" s="115" t="n"/>
      <c r="D58" s="119" t="b">
        <v>0</v>
      </c>
      <c r="E58" s="127" t="inlineStr">
        <is>
          <t>Machadinha</t>
        </is>
      </c>
      <c r="F58" s="11" t="n"/>
      <c r="G58" s="11" t="n"/>
      <c r="H58" s="11" t="n"/>
      <c r="I58" s="11" t="n"/>
      <c r="J58" s="11" t="n"/>
      <c r="K58" s="11" t="n"/>
      <c r="L58" s="12" t="n"/>
      <c r="M58" s="119" t="b">
        <v>0</v>
      </c>
      <c r="N58" s="127" t="inlineStr">
        <is>
          <t>Kunai</t>
        </is>
      </c>
      <c r="O58" s="11" t="n"/>
      <c r="P58" s="11" t="n"/>
      <c r="Q58" s="11" t="n"/>
      <c r="R58" s="11" t="n"/>
      <c r="S58" s="11" t="n"/>
      <c r="T58" s="11" t="n"/>
      <c r="U58" s="12" t="n"/>
      <c r="V58" s="52" t="b">
        <v>0</v>
      </c>
      <c r="W58" s="52" t="inlineStr">
        <is>
          <t>BALESTRA</t>
        </is>
      </c>
      <c r="X58" s="11" t="n"/>
      <c r="Y58" s="11" t="n"/>
      <c r="Z58" s="11" t="n"/>
      <c r="AA58" s="11" t="n"/>
      <c r="AB58" s="11" t="n"/>
      <c r="AC58" s="11" t="n"/>
      <c r="AD58" s="12" t="n"/>
      <c r="AE58" s="52" t="b">
        <v>0</v>
      </c>
      <c r="AF58" s="52" t="inlineStr">
        <is>
          <t>MANOPLA</t>
        </is>
      </c>
      <c r="AG58" s="11" t="n"/>
      <c r="AH58" s="11" t="n"/>
      <c r="AI58" s="11" t="n"/>
      <c r="AJ58" s="11" t="n"/>
      <c r="AK58" s="11" t="n"/>
      <c r="AL58" s="12" t="n"/>
      <c r="AM58" s="52" t="b">
        <v>0</v>
      </c>
      <c r="AN58" s="52" t="inlineStr">
        <is>
          <t>YUMI</t>
        </is>
      </c>
      <c r="AO58" s="11" t="n"/>
      <c r="AP58" s="11" t="n"/>
      <c r="AQ58" s="11" t="n"/>
      <c r="AR58" s="11" t="n"/>
      <c r="AS58" s="11" t="n"/>
      <c r="AT58" s="12" t="n"/>
      <c r="AU58" s="115" t="n"/>
      <c r="AV58" s="115" t="n"/>
      <c r="AW58" s="127" t="n"/>
      <c r="AX58" s="127" t="n"/>
      <c r="AY58" s="119" t="n"/>
      <c r="AZ58" s="119" t="n"/>
      <c r="BA58" s="119">
        <f>IF($AX58="","",IFERROR(FLOOR(ROUND(VLOOKUP($AX58,DADOS!$CL$5:$CM$10,2,FALSE)*IF($AY58="",1,VLOOKUP($AY58,DADOS!$CO$5:$CP$7,2,FALSE))*IF($AZ58="",1,VLOOKUP($AZ58,DADOS!$CR$5:$CS$9,2,FALSE)),4),12.5),""))</f>
        <v/>
      </c>
      <c r="BB58" s="115" t="n"/>
      <c r="BC58" s="127" t="n"/>
      <c r="BD58" s="127" t="n"/>
      <c r="BE58" s="119" t="n"/>
      <c r="BF58" s="119" t="n"/>
      <c r="BG58" s="119">
        <f>IF($BD58="","",IFERROR(FLOOR(ROUND(VLOOKUP($BD58,DADOS!$CL$5:$CM$10,2,FALSE)*IF($BE58="",1,VLOOKUP($BE58,DADOS!$CO$5:$CP$7,2,FALSE))*IF($BF58="",1,VLOOKUP($BF58,DADOS!$CR$5:$CS$9,2,FALSE)),4),12.5),""))</f>
        <v/>
      </c>
      <c r="BH58" s="115" t="n"/>
      <c r="BI58" s="127" t="n"/>
      <c r="BJ58" s="127" t="n"/>
      <c r="BK58" s="119" t="n"/>
      <c r="BL58" s="119" t="n"/>
      <c r="BM58" s="119">
        <f>IF($BJ58="","",IFERROR(FLOOR(ROUND(VLOOKUP($BJ58,DADOS!$CL$5:$CM$10,2,FALSE)*IF($BK58="",1,VLOOKUP($BK58,DADOS!$CO$5:$CP$7,2,FALSE))*IF($BL58="",1,VLOOKUP($BL58,DADOS!$CR$5:$CS$9,2,FALSE)),4),12.5),""))</f>
        <v/>
      </c>
      <c r="BN58" s="115" t="n"/>
      <c r="BO58" s="127" t="n"/>
      <c r="BP58" s="127" t="n"/>
      <c r="BQ58" s="119" t="n"/>
      <c r="BR58" s="119" t="n"/>
      <c r="BS58" s="119">
        <f>IF($BP58="","",IFERROR(FLOOR(ROUND(VLOOKUP($BP58,DADOS!$CL$5:$CM$10,2,FALSE)*IF($BQ58="",1,VLOOKUP($BQ58,DADOS!$CO$5:$CP$7,2,FALSE))*IF($BR58="",1,VLOOKUP($BR58,DADOS!$CR$5:$CS$9,2,FALSE)),4),12.5),""))</f>
        <v/>
      </c>
      <c r="BT58" s="115" t="n"/>
    </row>
    <row r="59" outlineLevel="1">
      <c r="A59" s="8" t="n"/>
      <c r="B59" s="22" t="n"/>
      <c r="C59" s="115" t="n"/>
      <c r="D59" s="119" t="b">
        <v>0</v>
      </c>
      <c r="E59" s="127" t="inlineStr">
        <is>
          <t>Machado</t>
        </is>
      </c>
      <c r="F59" s="11" t="n"/>
      <c r="G59" s="11" t="n"/>
      <c r="H59" s="11" t="n"/>
      <c r="I59" s="11" t="n"/>
      <c r="J59" s="11" t="n"/>
      <c r="K59" s="11" t="n"/>
      <c r="L59" s="12" t="n"/>
      <c r="M59" s="119" t="b">
        <v>0</v>
      </c>
      <c r="N59" s="127" t="inlineStr">
        <is>
          <t>Shuriken</t>
        </is>
      </c>
      <c r="O59" s="11" t="n"/>
      <c r="P59" s="11" t="n"/>
      <c r="Q59" s="11" t="n"/>
      <c r="R59" s="11" t="n"/>
      <c r="S59" s="11" t="n"/>
      <c r="T59" s="11" t="n"/>
      <c r="U59" s="12" t="n"/>
      <c r="V59" s="119" t="b">
        <v>0</v>
      </c>
      <c r="W59" s="127" t="inlineStr">
        <is>
          <t>Besta</t>
        </is>
      </c>
      <c r="X59" s="11" t="n"/>
      <c r="Y59" s="11" t="n"/>
      <c r="Z59" s="11" t="n"/>
      <c r="AA59" s="11" t="n"/>
      <c r="AB59" s="11" t="n"/>
      <c r="AC59" s="11" t="n"/>
      <c r="AD59" s="12" t="n"/>
      <c r="AE59" s="119" t="b">
        <v>0</v>
      </c>
      <c r="AF59" s="127" t="inlineStr">
        <is>
          <t>Soqueira</t>
        </is>
      </c>
      <c r="AG59" s="11" t="n"/>
      <c r="AH59" s="11" t="n"/>
      <c r="AI59" s="11" t="n"/>
      <c r="AJ59" s="11" t="n"/>
      <c r="AK59" s="11" t="n"/>
      <c r="AL59" s="12" t="n"/>
      <c r="AM59" s="119" t="b">
        <v>0</v>
      </c>
      <c r="AN59" s="127" t="inlineStr">
        <is>
          <t>Daikyū</t>
        </is>
      </c>
      <c r="AO59" s="11" t="n"/>
      <c r="AP59" s="11" t="n"/>
      <c r="AQ59" s="11" t="n"/>
      <c r="AR59" s="11" t="n"/>
      <c r="AS59" s="11" t="n"/>
      <c r="AT59" s="12" t="n"/>
      <c r="AU59" s="115" t="n"/>
      <c r="AV59" s="115" t="n"/>
      <c r="AW59" s="127" t="n"/>
      <c r="AX59" s="127" t="n"/>
      <c r="AY59" s="119" t="n"/>
      <c r="AZ59" s="119" t="n"/>
      <c r="BA59" s="119">
        <f>IF($AX59="","",IFERROR(FLOOR(ROUND(VLOOKUP($AX59,DADOS!$CL$5:$CM$10,2,FALSE)*IF($AY59="",1,VLOOKUP($AY59,DADOS!$CO$5:$CP$7,2,FALSE))*IF($AZ59="",1,VLOOKUP($AZ59,DADOS!$CR$5:$CS$9,2,FALSE)),4),12.5),""))</f>
        <v/>
      </c>
      <c r="BB59" s="115" t="n"/>
      <c r="BC59" s="127" t="n"/>
      <c r="BD59" s="127" t="n"/>
      <c r="BE59" s="119" t="n"/>
      <c r="BF59" s="119" t="n"/>
      <c r="BG59" s="119">
        <f>IF($BD59="","",IFERROR(FLOOR(ROUND(VLOOKUP($BD59,DADOS!$CL$5:$CM$10,2,FALSE)*IF($BE59="",1,VLOOKUP($BE59,DADOS!$CO$5:$CP$7,2,FALSE))*IF($BF59="",1,VLOOKUP($BF59,DADOS!$CR$5:$CS$9,2,FALSE)),4),12.5),""))</f>
        <v/>
      </c>
      <c r="BH59" s="115" t="n"/>
      <c r="BI59" s="127" t="n"/>
      <c r="BJ59" s="127" t="n"/>
      <c r="BK59" s="119" t="n"/>
      <c r="BL59" s="119" t="n"/>
      <c r="BM59" s="119">
        <f>IF($BJ59="","",IFERROR(FLOOR(ROUND(VLOOKUP($BJ59,DADOS!$CL$5:$CM$10,2,FALSE)*IF($BK59="",1,VLOOKUP($BK59,DADOS!$CO$5:$CP$7,2,FALSE))*IF($BL59="",1,VLOOKUP($BL59,DADOS!$CR$5:$CS$9,2,FALSE)),4),12.5),""))</f>
        <v/>
      </c>
      <c r="BN59" s="115" t="n"/>
      <c r="BO59" s="127" t="n"/>
      <c r="BP59" s="127" t="n"/>
      <c r="BQ59" s="119" t="n"/>
      <c r="BR59" s="119" t="n"/>
      <c r="BS59" s="119">
        <f>IF($BP59="","",IFERROR(FLOOR(ROUND(VLOOKUP($BP59,DADOS!$CL$5:$CM$10,2,FALSE)*IF($BQ59="",1,VLOOKUP($BQ59,DADOS!$CO$5:$CP$7,2,FALSE))*IF($BR59="",1,VLOOKUP($BR59,DADOS!$CR$5:$CS$9,2,FALSE)),4),12.5),""))</f>
        <v/>
      </c>
      <c r="BT59" s="115" t="n"/>
    </row>
    <row r="60" outlineLevel="1">
      <c r="A60" s="8" t="n"/>
      <c r="B60" s="22" t="n"/>
      <c r="C60" s="115" t="n"/>
      <c r="D60" s="119" t="b">
        <v>0</v>
      </c>
      <c r="E60" s="127" t="inlineStr">
        <is>
          <t>Machado de Guerra</t>
        </is>
      </c>
      <c r="F60" s="11" t="n"/>
      <c r="G60" s="11" t="n"/>
      <c r="H60" s="11" t="n"/>
      <c r="I60" s="11" t="n"/>
      <c r="J60" s="11" t="n"/>
      <c r="K60" s="11" t="n"/>
      <c r="L60" s="12" t="n"/>
      <c r="M60" s="119" t="b">
        <v>0</v>
      </c>
      <c r="N60" s="127" t="inlineStr">
        <is>
          <t>Tessen</t>
        </is>
      </c>
      <c r="O60" s="11" t="n"/>
      <c r="P60" s="11" t="n"/>
      <c r="Q60" s="11" t="n"/>
      <c r="R60" s="11" t="n"/>
      <c r="S60" s="11" t="n"/>
      <c r="T60" s="11" t="n"/>
      <c r="U60" s="12" t="n"/>
      <c r="V60" s="119" t="b">
        <v>0</v>
      </c>
      <c r="W60" s="127" t="inlineStr">
        <is>
          <t>Besta de Uma Mão</t>
        </is>
      </c>
      <c r="X60" s="11" t="n"/>
      <c r="Y60" s="11" t="n"/>
      <c r="Z60" s="11" t="n"/>
      <c r="AA60" s="11" t="n"/>
      <c r="AB60" s="11" t="n"/>
      <c r="AC60" s="11" t="n"/>
      <c r="AD60" s="12" t="n"/>
      <c r="AE60" s="119" t="b">
        <v>0</v>
      </c>
      <c r="AF60" s="127" t="inlineStr">
        <is>
          <t>Tekko</t>
        </is>
      </c>
      <c r="AG60" s="11" t="n"/>
      <c r="AH60" s="11" t="n"/>
      <c r="AI60" s="11" t="n"/>
      <c r="AJ60" s="11" t="n"/>
      <c r="AK60" s="11" t="n"/>
      <c r="AL60" s="12" t="n"/>
      <c r="AM60" s="119" t="b">
        <v>0</v>
      </c>
      <c r="AN60" s="127" t="inlineStr">
        <is>
          <t>Hankyū</t>
        </is>
      </c>
      <c r="AO60" s="11" t="n"/>
      <c r="AP60" s="11" t="n"/>
      <c r="AQ60" s="11" t="n"/>
      <c r="AR60" s="11" t="n"/>
      <c r="AS60" s="11" t="n"/>
      <c r="AT60" s="12" t="n"/>
      <c r="AU60" s="115" t="n"/>
      <c r="AV60" s="115" t="n"/>
      <c r="AW60" s="127" t="n"/>
      <c r="AX60" s="127" t="n"/>
      <c r="AY60" s="119" t="n"/>
      <c r="AZ60" s="119" t="n"/>
      <c r="BA60" s="119">
        <f>IF($AX60="","",IFERROR(FLOOR(ROUND(VLOOKUP($AX60,DADOS!$CL$5:$CM$10,2,FALSE)*IF($AY60="",1,VLOOKUP($AY60,DADOS!$CO$5:$CP$7,2,FALSE))*IF($AZ60="",1,VLOOKUP($AZ60,DADOS!$CR$5:$CS$9,2,FALSE)),4),12.5),""))</f>
        <v/>
      </c>
      <c r="BB60" s="115" t="n"/>
      <c r="BC60" s="127" t="n"/>
      <c r="BD60" s="127" t="n"/>
      <c r="BE60" s="119" t="n"/>
      <c r="BF60" s="119" t="n"/>
      <c r="BG60" s="119">
        <f>IF($BD60="","",IFERROR(FLOOR(ROUND(VLOOKUP($BD60,DADOS!$CL$5:$CM$10,2,FALSE)*IF($BE60="",1,VLOOKUP($BE60,DADOS!$CO$5:$CP$7,2,FALSE))*IF($BF60="",1,VLOOKUP($BF60,DADOS!$CR$5:$CS$9,2,FALSE)),4),12.5),""))</f>
        <v/>
      </c>
      <c r="BH60" s="115" t="n"/>
      <c r="BI60" s="127" t="n"/>
      <c r="BJ60" s="127" t="n"/>
      <c r="BK60" s="119" t="n"/>
      <c r="BL60" s="119" t="n"/>
      <c r="BM60" s="119">
        <f>IF($BJ60="","",IFERROR(FLOOR(ROUND(VLOOKUP($BJ60,DADOS!$CL$5:$CM$10,2,FALSE)*IF($BK60="",1,VLOOKUP($BK60,DADOS!$CO$5:$CP$7,2,FALSE))*IF($BL60="",1,VLOOKUP($BL60,DADOS!$CR$5:$CS$9,2,FALSE)),4),12.5),""))</f>
        <v/>
      </c>
      <c r="BN60" s="115" t="n"/>
      <c r="BO60" s="127" t="n"/>
      <c r="BP60" s="127" t="n"/>
      <c r="BQ60" s="119" t="n"/>
      <c r="BR60" s="119" t="n"/>
      <c r="BS60" s="119">
        <f>IF($BP60="","",IFERROR(FLOOR(ROUND(VLOOKUP($BP60,DADOS!$CL$5:$CM$10,2,FALSE)*IF($BQ60="",1,VLOOKUP($BQ60,DADOS!$CO$5:$CP$7,2,FALSE))*IF($BR60="",1,VLOOKUP($BR60,DADOS!$CR$5:$CS$9,2,FALSE)),4),12.5),""))</f>
        <v/>
      </c>
      <c r="BT60" s="115" t="n"/>
    </row>
    <row r="61">
      <c r="A61" s="8" t="n"/>
      <c r="B61" s="22" t="n"/>
      <c r="C61" s="115" t="n"/>
      <c r="D61" s="115" t="n"/>
      <c r="E61" s="115"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c r="Y61" s="115" t="n"/>
      <c r="Z61" s="115" t="n"/>
      <c r="AA61" s="115" t="n"/>
      <c r="AB61" s="115" t="n"/>
      <c r="AC61" s="115" t="n"/>
      <c r="AD61" s="115" t="n"/>
      <c r="AE61" s="115" t="n"/>
      <c r="AF61" s="115" t="n"/>
      <c r="AG61" s="115" t="n"/>
      <c r="AH61" s="115" t="n"/>
      <c r="AI61" s="115" t="n"/>
      <c r="AJ61" s="115" t="n"/>
      <c r="AK61" s="115" t="n"/>
      <c r="AL61" s="115" t="n"/>
      <c r="AM61" s="115" t="n"/>
      <c r="AN61" s="115" t="n"/>
      <c r="AO61" s="115" t="n"/>
      <c r="AP61" s="115" t="n"/>
      <c r="AQ61" s="115" t="n"/>
      <c r="AR61" s="115" t="n"/>
      <c r="AS61" s="115" t="n"/>
      <c r="AT61" s="115" t="n"/>
      <c r="AU61" s="115" t="n"/>
      <c r="AV61" s="115" t="n"/>
      <c r="AW61" s="127" t="n"/>
      <c r="AX61" s="127" t="n"/>
      <c r="AY61" s="119" t="n"/>
      <c r="AZ61" s="119" t="n"/>
      <c r="BA61" s="119">
        <f>IF($AX61="","",IFERROR(FLOOR(ROUND(VLOOKUP($AX61,DADOS!$CL$5:$CM$10,2,FALSE)*IF($AY61="",1,VLOOKUP($AY61,DADOS!$CO$5:$CP$7,2,FALSE))*IF($AZ61="",1,VLOOKUP($AZ61,DADOS!$CR$5:$CS$9,2,FALSE)),4),12.5),""))</f>
        <v/>
      </c>
      <c r="BB61" s="115" t="n"/>
      <c r="BC61" s="127" t="n"/>
      <c r="BD61" s="127" t="n"/>
      <c r="BE61" s="119" t="n"/>
      <c r="BF61" s="119" t="n"/>
      <c r="BG61" s="119">
        <f>IF($BD61="","",IFERROR(FLOOR(ROUND(VLOOKUP($BD61,DADOS!$CL$5:$CM$10,2,FALSE)*IF($BE61="",1,VLOOKUP($BE61,DADOS!$CO$5:$CP$7,2,FALSE))*IF($BF61="",1,VLOOKUP($BF61,DADOS!$CR$5:$CS$9,2,FALSE)),4),12.5),""))</f>
        <v/>
      </c>
      <c r="BH61" s="115" t="n"/>
      <c r="BI61" s="127" t="n"/>
      <c r="BJ61" s="127" t="n"/>
      <c r="BK61" s="119" t="n"/>
      <c r="BL61" s="119" t="n"/>
      <c r="BM61" s="119">
        <f>IF($BJ61="","",IFERROR(FLOOR(ROUND(VLOOKUP($BJ61,DADOS!$CL$5:$CM$10,2,FALSE)*IF($BK61="",1,VLOOKUP($BK61,DADOS!$CO$5:$CP$7,2,FALSE))*IF($BL61="",1,VLOOKUP($BL61,DADOS!$CR$5:$CS$9,2,FALSE)),4),12.5),""))</f>
        <v/>
      </c>
      <c r="BN61" s="115" t="n"/>
      <c r="BO61" s="127" t="n"/>
      <c r="BP61" s="127" t="n"/>
      <c r="BQ61" s="119" t="n"/>
      <c r="BR61" s="119" t="n"/>
      <c r="BS61" s="119">
        <f>IF($BP61="","",IFERROR(FLOOR(ROUND(VLOOKUP($BP61,DADOS!$CL$5:$CM$10,2,FALSE)*IF($BQ61="",1,VLOOKUP($BQ61,DADOS!$CO$5:$CP$7,2,FALSE))*IF($BR61="",1,VLOOKUP($BR61,DADOS!$CR$5:$CS$9,2,FALSE)),4),12.5),""))</f>
        <v/>
      </c>
      <c r="BT61" s="115" t="n"/>
    </row>
    <row r="62">
      <c r="A62" s="8" t="n"/>
      <c r="B62" s="22" t="n"/>
      <c r="C62" s="115" t="n"/>
      <c r="D62" s="52" t="inlineStr">
        <is>
          <t>CARGA · LIMITE 5 + FORÇA</t>
        </is>
      </c>
      <c r="E62" s="11" t="n"/>
      <c r="F62" s="11" t="n"/>
      <c r="G62" s="11" t="n"/>
      <c r="H62" s="11" t="n"/>
      <c r="I62" s="11" t="n"/>
      <c r="J62" s="11" t="n"/>
      <c r="K62" s="11" t="n"/>
      <c r="L62" s="11" t="n"/>
      <c r="M62" s="12" t="n"/>
      <c r="N62" s="115" t="n"/>
      <c r="O62" s="52" t="inlineStr">
        <is>
          <t>IENES</t>
        </is>
      </c>
      <c r="P62" s="11" t="n"/>
      <c r="Q62" s="11" t="n"/>
      <c r="R62" s="11" t="n"/>
      <c r="S62" s="11" t="n"/>
      <c r="T62" s="11" t="n"/>
      <c r="U62" s="12" t="n"/>
      <c r="V62" s="115" t="n"/>
      <c r="W62" s="52" t="inlineStr">
        <is>
          <t>SALÁRIO POR MÊS</t>
        </is>
      </c>
      <c r="X62" s="11" t="n"/>
      <c r="Y62" s="11" t="n"/>
      <c r="Z62" s="11" t="n"/>
      <c r="AA62" s="11" t="n"/>
      <c r="AB62" s="11" t="n"/>
      <c r="AC62" s="11" t="n"/>
      <c r="AD62" s="12" t="n"/>
      <c r="AE62" s="115" t="n"/>
      <c r="AF62" s="52" t="inlineStr">
        <is>
          <t>REQUISITO DE FORÇA</t>
        </is>
      </c>
      <c r="AG62" s="11" t="n"/>
      <c r="AH62" s="11" t="n"/>
      <c r="AI62" s="11" t="n"/>
      <c r="AJ62" s="11" t="n"/>
      <c r="AK62" s="11" t="n"/>
      <c r="AL62" s="12" t="n"/>
      <c r="AM62" s="115" t="n"/>
      <c r="AN62" s="52" t="inlineStr">
        <is>
          <t>SITUAÇÃO DO TRAJE</t>
        </is>
      </c>
      <c r="AO62" s="11" t="n"/>
      <c r="AP62" s="11" t="n"/>
      <c r="AQ62" s="11" t="n"/>
      <c r="AR62" s="11" t="n"/>
      <c r="AS62" s="11" t="n"/>
      <c r="AT62" s="12" t="n"/>
      <c r="AU62" s="115" t="n"/>
      <c r="AV62" s="115" t="n"/>
      <c r="AW62" s="127" t="n"/>
      <c r="AX62" s="127" t="n"/>
      <c r="AY62" s="119" t="n"/>
      <c r="AZ62" s="119" t="n"/>
      <c r="BA62" s="119">
        <f>IF($AX62="","",IFERROR(FLOOR(ROUND(VLOOKUP($AX62,DADOS!$CL$5:$CM$10,2,FALSE)*IF($AY62="",1,VLOOKUP($AY62,DADOS!$CO$5:$CP$7,2,FALSE))*IF($AZ62="",1,VLOOKUP($AZ62,DADOS!$CR$5:$CS$9,2,FALSE)),4),12.5),""))</f>
        <v/>
      </c>
      <c r="BB62" s="115" t="n"/>
      <c r="BC62" s="127" t="n"/>
      <c r="BD62" s="127" t="n"/>
      <c r="BE62" s="119" t="n"/>
      <c r="BF62" s="119" t="n"/>
      <c r="BG62" s="119">
        <f>IF($BD62="","",IFERROR(FLOOR(ROUND(VLOOKUP($BD62,DADOS!$CL$5:$CM$10,2,FALSE)*IF($BE62="",1,VLOOKUP($BE62,DADOS!$CO$5:$CP$7,2,FALSE))*IF($BF62="",1,VLOOKUP($BF62,DADOS!$CR$5:$CS$9,2,FALSE)),4),12.5),""))</f>
        <v/>
      </c>
      <c r="BH62" s="115" t="n"/>
      <c r="BI62" s="127" t="n"/>
      <c r="BJ62" s="127" t="n"/>
      <c r="BK62" s="119" t="n"/>
      <c r="BL62" s="119" t="n"/>
      <c r="BM62" s="119">
        <f>IF($BJ62="","",IFERROR(FLOOR(ROUND(VLOOKUP($BJ62,DADOS!$CL$5:$CM$10,2,FALSE)*IF($BK62="",1,VLOOKUP($BK62,DADOS!$CO$5:$CP$7,2,FALSE))*IF($BL62="",1,VLOOKUP($BL62,DADOS!$CR$5:$CS$9,2,FALSE)),4),12.5),""))</f>
        <v/>
      </c>
      <c r="BN62" s="115" t="n"/>
      <c r="BO62" s="127" t="n"/>
      <c r="BP62" s="127" t="n"/>
      <c r="BQ62" s="119" t="n"/>
      <c r="BR62" s="119" t="n"/>
      <c r="BS62" s="119">
        <f>IF($BP62="","",IFERROR(FLOOR(ROUND(VLOOKUP($BP62,DADOS!$CL$5:$CM$10,2,FALSE)*IF($BQ62="",1,VLOOKUP($BQ62,DADOS!$CO$5:$CP$7,2,FALSE))*IF($BR62="",1,VLOOKUP($BR62,DADOS!$CR$5:$CS$9,2,FALSE)),4),12.5),""))</f>
        <v/>
      </c>
      <c r="BT62" s="115" t="n"/>
    </row>
    <row r="63">
      <c r="A63" s="8" t="n"/>
      <c r="B63" s="22" t="n"/>
      <c r="C63" s="115" t="n"/>
      <c r="D63" s="89">
        <f>DADOS!$CZ$40&amp;" de "&amp;DADOS!$CZ$41&amp;IF(DADOS!$CZ$42=1," · acima","")</f>
        <v/>
      </c>
      <c r="E63" s="14" t="n"/>
      <c r="F63" s="14" t="n"/>
      <c r="G63" s="14" t="n"/>
      <c r="H63" s="15" t="n"/>
      <c r="I63" s="127">
        <f>IFERROR(SPARKLINE(MIN(DADOS!$CZ$40,DADOS!$CZ$41),{"charttype","bar";"max",DADOS!$CZ$41;"color1",IF(DADOS!$CZ$42=1,"#C2334D",DADOS!$CZ$48)}),"")</f>
        <v/>
      </c>
      <c r="J63" s="14" t="n"/>
      <c r="K63" s="14" t="n"/>
      <c r="L63" s="14" t="n"/>
      <c r="M63" s="15" t="n"/>
      <c r="N63" s="115" t="n"/>
      <c r="O63" s="136" t="n">
        <v>150000</v>
      </c>
      <c r="P63" s="14" t="n"/>
      <c r="Q63" s="14" t="n"/>
      <c r="R63" s="14" t="n"/>
      <c r="S63" s="14" t="n"/>
      <c r="T63" s="14" t="n"/>
      <c r="U63" s="15" t="n"/>
      <c r="V63" s="115" t="n"/>
      <c r="W63" s="89">
        <f>IFERROR(VLOOKUP($AB$11,DADOS!$CF$5:$CH$9,2,FALSE),"—")</f>
        <v/>
      </c>
      <c r="X63" s="14" t="n"/>
      <c r="Y63" s="14" t="n"/>
      <c r="Z63" s="14" t="n"/>
      <c r="AA63" s="14" t="n"/>
      <c r="AB63" s="14" t="n"/>
      <c r="AC63" s="14" t="n"/>
      <c r="AD63" s="15" t="n"/>
      <c r="AE63" s="115" t="n"/>
      <c r="AF63" s="80">
        <f>IF(DADOS!$CZ$36+DADOS!$CZ$37+DADOS!$CZ$38=0,"Cumprido","Não cumprido")</f>
        <v/>
      </c>
      <c r="AG63" s="14" t="n"/>
      <c r="AH63" s="14" t="n"/>
      <c r="AI63" s="14" t="n"/>
      <c r="AJ63" s="14" t="n"/>
      <c r="AK63" s="14" t="n"/>
      <c r="AL63" s="15" t="n"/>
      <c r="AM63" s="115" t="n"/>
      <c r="AN63" s="80" t="n"/>
      <c r="AO63" s="14" t="n"/>
      <c r="AP63" s="14" t="n"/>
      <c r="AQ63" s="14" t="n"/>
      <c r="AR63" s="14" t="n"/>
      <c r="AS63" s="14" t="n"/>
      <c r="AT63" s="15" t="n"/>
      <c r="AU63" s="115" t="n"/>
      <c r="AV63" s="115" t="n"/>
      <c r="AW63" s="127" t="n"/>
      <c r="AX63" s="127" t="n"/>
      <c r="AY63" s="119" t="n"/>
      <c r="AZ63" s="119" t="n"/>
      <c r="BA63" s="119">
        <f>IF($AX63="","",IFERROR(FLOOR(ROUND(VLOOKUP($AX63,DADOS!$CL$5:$CM$10,2,FALSE)*IF($AY63="",1,VLOOKUP($AY63,DADOS!$CO$5:$CP$7,2,FALSE))*IF($AZ63="",1,VLOOKUP($AZ63,DADOS!$CR$5:$CS$9,2,FALSE)),4),12.5),""))</f>
        <v/>
      </c>
      <c r="BB63" s="115" t="n"/>
      <c r="BC63" s="127" t="n"/>
      <c r="BD63" s="127" t="n"/>
      <c r="BE63" s="119" t="n"/>
      <c r="BF63" s="119" t="n"/>
      <c r="BG63" s="119">
        <f>IF($BD63="","",IFERROR(FLOOR(ROUND(VLOOKUP($BD63,DADOS!$CL$5:$CM$10,2,FALSE)*IF($BE63="",1,VLOOKUP($BE63,DADOS!$CO$5:$CP$7,2,FALSE))*IF($BF63="",1,VLOOKUP($BF63,DADOS!$CR$5:$CS$9,2,FALSE)),4),12.5),""))</f>
        <v/>
      </c>
      <c r="BH63" s="115" t="n"/>
      <c r="BI63" s="127" t="n"/>
      <c r="BJ63" s="127" t="n"/>
      <c r="BK63" s="119" t="n"/>
      <c r="BL63" s="119" t="n"/>
      <c r="BM63" s="119">
        <f>IF($BJ63="","",IFERROR(FLOOR(ROUND(VLOOKUP($BJ63,DADOS!$CL$5:$CM$10,2,FALSE)*IF($BK63="",1,VLOOKUP($BK63,DADOS!$CO$5:$CP$7,2,FALSE))*IF($BL63="",1,VLOOKUP($BL63,DADOS!$CR$5:$CS$9,2,FALSE)),4),12.5),""))</f>
        <v/>
      </c>
      <c r="BN63" s="115" t="n"/>
      <c r="BO63" s="127" t="n"/>
      <c r="BP63" s="127" t="n"/>
      <c r="BQ63" s="119" t="n"/>
      <c r="BR63" s="119" t="n"/>
      <c r="BS63" s="119">
        <f>IF($BP63="","",IFERROR(FLOOR(ROUND(VLOOKUP($BP63,DADOS!$CL$5:$CM$10,2,FALSE)*IF($BQ63="",1,VLOOKUP($BQ63,DADOS!$CO$5:$CP$7,2,FALSE))*IF($BR63="",1,VLOOKUP($BR63,DADOS!$CR$5:$CS$9,2,FALSE)),4),12.5),""))</f>
        <v/>
      </c>
      <c r="BT63" s="115" t="n"/>
    </row>
    <row r="64">
      <c r="A64" s="8" t="n"/>
      <c r="B64" s="22" t="n"/>
      <c r="C64" s="115" t="n"/>
      <c r="D64" s="18" t="n"/>
      <c r="E64" s="19" t="n"/>
      <c r="F64" s="19" t="n"/>
      <c r="G64" s="19" t="n"/>
      <c r="H64" s="20" t="n"/>
      <c r="I64" s="18" t="n"/>
      <c r="J64" s="19" t="n"/>
      <c r="K64" s="19" t="n"/>
      <c r="L64" s="19" t="n"/>
      <c r="M64" s="20" t="n"/>
      <c r="N64" s="115" t="n"/>
      <c r="O64" s="18" t="n"/>
      <c r="P64" s="19" t="n"/>
      <c r="Q64" s="19" t="n"/>
      <c r="R64" s="19" t="n"/>
      <c r="S64" s="19" t="n"/>
      <c r="T64" s="19" t="n"/>
      <c r="U64" s="20" t="n"/>
      <c r="V64" s="115" t="n"/>
      <c r="W64" s="18" t="n"/>
      <c r="X64" s="19" t="n"/>
      <c r="Y64" s="19" t="n"/>
      <c r="Z64" s="19" t="n"/>
      <c r="AA64" s="19" t="n"/>
      <c r="AB64" s="19" t="n"/>
      <c r="AC64" s="19" t="n"/>
      <c r="AD64" s="20" t="n"/>
      <c r="AE64" s="115" t="n"/>
      <c r="AF64" s="18" t="n"/>
      <c r="AG64" s="19" t="n"/>
      <c r="AH64" s="19" t="n"/>
      <c r="AI64" s="19" t="n"/>
      <c r="AJ64" s="19" t="n"/>
      <c r="AK64" s="19" t="n"/>
      <c r="AL64" s="20" t="n"/>
      <c r="AM64" s="115" t="n"/>
      <c r="AN64" s="18" t="n"/>
      <c r="AO64" s="19" t="n"/>
      <c r="AP64" s="19" t="n"/>
      <c r="AQ64" s="19" t="n"/>
      <c r="AR64" s="19" t="n"/>
      <c r="AS64" s="19" t="n"/>
      <c r="AT64" s="20" t="n"/>
      <c r="AU64" s="115" t="n"/>
      <c r="AV64" s="115" t="n"/>
      <c r="AW64" s="127" t="n"/>
      <c r="AX64" s="127" t="n"/>
      <c r="AY64" s="119" t="n"/>
      <c r="AZ64" s="119" t="n"/>
      <c r="BA64" s="119">
        <f>IF($AX64="","",IFERROR(FLOOR(ROUND(VLOOKUP($AX64,DADOS!$CL$5:$CM$10,2,FALSE)*IF($AY64="",1,VLOOKUP($AY64,DADOS!$CO$5:$CP$7,2,FALSE))*IF($AZ64="",1,VLOOKUP($AZ64,DADOS!$CR$5:$CS$9,2,FALSE)),4),12.5),""))</f>
        <v/>
      </c>
      <c r="BB64" s="115" t="n"/>
      <c r="BC64" s="127" t="n"/>
      <c r="BD64" s="127" t="n"/>
      <c r="BE64" s="119" t="n"/>
      <c r="BF64" s="119" t="n"/>
      <c r="BG64" s="119">
        <f>IF($BD64="","",IFERROR(FLOOR(ROUND(VLOOKUP($BD64,DADOS!$CL$5:$CM$10,2,FALSE)*IF($BE64="",1,VLOOKUP($BE64,DADOS!$CO$5:$CP$7,2,FALSE))*IF($BF64="",1,VLOOKUP($BF64,DADOS!$CR$5:$CS$9,2,FALSE)),4),12.5),""))</f>
        <v/>
      </c>
      <c r="BH64" s="115" t="n"/>
      <c r="BI64" s="127" t="n"/>
      <c r="BJ64" s="127" t="n"/>
      <c r="BK64" s="119" t="n"/>
      <c r="BL64" s="119" t="n"/>
      <c r="BM64" s="119">
        <f>IF($BJ64="","",IFERROR(FLOOR(ROUND(VLOOKUP($BJ64,DADOS!$CL$5:$CM$10,2,FALSE)*IF($BK64="",1,VLOOKUP($BK64,DADOS!$CO$5:$CP$7,2,FALSE))*IF($BL64="",1,VLOOKUP($BL64,DADOS!$CR$5:$CS$9,2,FALSE)),4),12.5),""))</f>
        <v/>
      </c>
      <c r="BN64" s="115" t="n"/>
      <c r="BO64" s="127" t="n"/>
      <c r="BP64" s="127" t="n"/>
      <c r="BQ64" s="119" t="n"/>
      <c r="BR64" s="119" t="n"/>
      <c r="BS64" s="119">
        <f>IF($BP64="","",IFERROR(FLOOR(ROUND(VLOOKUP($BP64,DADOS!$CL$5:$CM$10,2,FALSE)*IF($BQ64="",1,VLOOKUP($BQ64,DADOS!$CO$5:$CP$7,2,FALSE))*IF($BR64="",1,VLOOKUP($BR64,DADOS!$CR$5:$CS$9,2,FALSE)),4),12.5),""))</f>
        <v/>
      </c>
      <c r="BT64" s="115" t="n"/>
    </row>
    <row r="65">
      <c r="A65" s="8" t="n"/>
      <c r="B65" s="22" t="n"/>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c r="Y65" s="115" t="n"/>
      <c r="Z65" s="115" t="n"/>
      <c r="AA65" s="115" t="n"/>
      <c r="AB65" s="115" t="n"/>
      <c r="AC65" s="115" t="n"/>
      <c r="AD65" s="115" t="n"/>
      <c r="AE65" s="115" t="n"/>
      <c r="AF65" s="115" t="n"/>
      <c r="AG65" s="115" t="n"/>
      <c r="AH65" s="115" t="n"/>
      <c r="AI65" s="115" t="n"/>
      <c r="AJ65" s="115" t="n"/>
      <c r="AK65" s="115" t="n"/>
      <c r="AL65" s="115" t="n"/>
      <c r="AM65" s="115" t="n"/>
      <c r="AN65" s="115" t="n"/>
      <c r="AO65" s="115" t="n"/>
      <c r="AP65" s="115" t="n"/>
      <c r="AQ65" s="115" t="n"/>
      <c r="AR65" s="115" t="n"/>
      <c r="AS65" s="115" t="n"/>
      <c r="AT65" s="115" t="n"/>
      <c r="AU65" s="115" t="n"/>
      <c r="AV65" s="115" t="n"/>
      <c r="AW65" s="115" t="n"/>
      <c r="AX65" s="115" t="n"/>
      <c r="AY65" s="115" t="n"/>
      <c r="AZ65" s="115" t="n"/>
      <c r="BA65" s="115" t="n"/>
      <c r="BB65" s="115" t="n"/>
      <c r="BC65" s="115" t="n"/>
      <c r="BD65" s="115" t="n"/>
      <c r="BE65" s="115" t="n"/>
      <c r="BF65" s="115" t="n"/>
      <c r="BG65" s="115" t="n"/>
      <c r="BH65" s="115" t="n"/>
      <c r="BI65" s="115" t="n"/>
      <c r="BJ65" s="115" t="n"/>
      <c r="BK65" s="115" t="n"/>
      <c r="BL65" s="115" t="n"/>
      <c r="BM65" s="115" t="n"/>
      <c r="BN65" s="115" t="n"/>
      <c r="BO65" s="115" t="n"/>
      <c r="BP65" s="115" t="n"/>
      <c r="BQ65" s="115" t="n"/>
      <c r="BR65" s="115" t="n"/>
      <c r="BS65" s="115" t="n"/>
      <c r="BT65" s="115" t="n"/>
    </row>
    <row r="66">
      <c r="A66" s="8" t="n"/>
      <c r="B66" s="22" t="n"/>
      <c r="C66" s="115" t="n"/>
      <c r="D66" s="118" t="inlineStr">
        <is>
          <t>EQUIPÁVEIS GUARDADOS</t>
        </is>
      </c>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5" t="n"/>
      <c r="AU66" s="115" t="n"/>
      <c r="AV66" s="115" t="n"/>
      <c r="AW66" s="118" t="inlineStr">
        <is>
          <t>NÍVEIS</t>
        </is>
      </c>
      <c r="AX66" s="14" t="n"/>
      <c r="AY66" s="14" t="n"/>
      <c r="AZ66" s="14" t="n"/>
      <c r="BA66" s="14" t="n"/>
      <c r="BB66" s="14" t="n"/>
      <c r="BC66" s="14" t="n"/>
      <c r="BD66" s="14" t="n"/>
      <c r="BE66" s="14" t="n"/>
      <c r="BF66" s="14" t="n"/>
      <c r="BG66" s="15" t="n"/>
      <c r="BH66" s="115" t="n"/>
      <c r="BI66" s="115" t="n"/>
      <c r="BJ66" s="115" t="n"/>
      <c r="BK66" s="115" t="n"/>
      <c r="BL66" s="115" t="n"/>
      <c r="BM66" s="115" t="n"/>
      <c r="BN66" s="115" t="n"/>
      <c r="BO66" s="115" t="n"/>
      <c r="BP66" s="115" t="n"/>
      <c r="BQ66" s="115" t="n"/>
      <c r="BR66" s="115" t="n"/>
      <c r="BS66" s="115" t="n"/>
      <c r="BT66" s="115" t="n"/>
    </row>
    <row r="67">
      <c r="A67" s="8" t="n"/>
      <c r="B67" s="22" t="n"/>
      <c r="C67" s="115" t="n"/>
      <c r="D67" s="18" t="n"/>
      <c r="E67" s="19" t="n"/>
      <c r="F67" s="19" t="n"/>
      <c r="G67" s="19" t="n"/>
      <c r="H67" s="19" t="n"/>
      <c r="I67" s="19" t="n"/>
      <c r="J67" s="19" t="n"/>
      <c r="K67" s="19" t="n"/>
      <c r="L67" s="19" t="n"/>
      <c r="M67" s="19" t="n"/>
      <c r="N67" s="19" t="n"/>
      <c r="O67" s="19" t="n"/>
      <c r="P67" s="19" t="n"/>
      <c r="Q67" s="19" t="n"/>
      <c r="R67" s="19" t="n"/>
      <c r="S67" s="19" t="n"/>
      <c r="T67" s="19" t="n"/>
      <c r="U67" s="19" t="n"/>
      <c r="V67" s="19" t="n"/>
      <c r="W67" s="19" t="n"/>
      <c r="X67" s="19" t="n"/>
      <c r="Y67" s="19" t="n"/>
      <c r="Z67" s="19" t="n"/>
      <c r="AA67" s="19" t="n"/>
      <c r="AB67" s="19" t="n"/>
      <c r="AC67" s="19" t="n"/>
      <c r="AD67" s="19" t="n"/>
      <c r="AE67" s="19" t="n"/>
      <c r="AF67" s="19" t="n"/>
      <c r="AG67" s="19" t="n"/>
      <c r="AH67" s="19" t="n"/>
      <c r="AI67" s="19" t="n"/>
      <c r="AJ67" s="19" t="n"/>
      <c r="AK67" s="19" t="n"/>
      <c r="AL67" s="19" t="n"/>
      <c r="AM67" s="19" t="n"/>
      <c r="AN67" s="19" t="n"/>
      <c r="AO67" s="19" t="n"/>
      <c r="AP67" s="19" t="n"/>
      <c r="AQ67" s="19" t="n"/>
      <c r="AR67" s="19" t="n"/>
      <c r="AS67" s="19" t="n"/>
      <c r="AT67" s="20" t="n"/>
      <c r="AU67" s="115" t="n"/>
      <c r="AV67" s="115" t="n"/>
      <c r="AW67" s="18" t="n"/>
      <c r="AX67" s="19" t="n"/>
      <c r="AY67" s="19" t="n"/>
      <c r="AZ67" s="19" t="n"/>
      <c r="BA67" s="19" t="n"/>
      <c r="BB67" s="19" t="n"/>
      <c r="BC67" s="19" t="n"/>
      <c r="BD67" s="19" t="n"/>
      <c r="BE67" s="19" t="n"/>
      <c r="BF67" s="19" t="n"/>
      <c r="BG67" s="20" t="n"/>
      <c r="BH67" s="115" t="n"/>
      <c r="BI67" s="115" t="n"/>
      <c r="BJ67" s="115" t="n"/>
      <c r="BK67" s="115" t="n"/>
      <c r="BL67" s="115" t="n"/>
      <c r="BM67" s="115" t="n"/>
      <c r="BN67" s="115" t="n"/>
      <c r="BO67" s="115" t="n"/>
      <c r="BP67" s="115" t="n"/>
      <c r="BQ67" s="115" t="n"/>
      <c r="BR67" s="115" t="n"/>
      <c r="BS67" s="115" t="n"/>
      <c r="BT67" s="115" t="n"/>
    </row>
    <row r="68">
      <c r="A68" s="8" t="n"/>
      <c r="B68" s="22" t="n"/>
      <c r="C68" s="115" t="n"/>
      <c r="D68" s="52" t="inlineStr">
        <is>
          <t>EQUIPÁVEL</t>
        </is>
      </c>
      <c r="E68" s="11" t="n"/>
      <c r="F68" s="11" t="n"/>
      <c r="G68" s="11" t="n"/>
      <c r="H68" s="11" t="n"/>
      <c r="I68" s="11" t="n"/>
      <c r="J68" s="12" t="n"/>
      <c r="K68" s="52" t="inlineStr">
        <is>
          <t>QTD.</t>
        </is>
      </c>
      <c r="L68" s="12" t="n"/>
      <c r="M68" s="52" t="inlineStr">
        <is>
          <t>CATEGORIA</t>
        </is>
      </c>
      <c r="N68" s="11" t="n"/>
      <c r="O68" s="11" t="n"/>
      <c r="P68" s="11" t="n"/>
      <c r="Q68" s="11" t="n"/>
      <c r="R68" s="12" t="n"/>
      <c r="S68" s="52" t="inlineStr">
        <is>
          <t>MÃO</t>
        </is>
      </c>
      <c r="T68" s="12" t="n"/>
      <c r="U68" s="52" t="inlineStr">
        <is>
          <t>DADO</t>
        </is>
      </c>
      <c r="V68" s="12" t="n"/>
      <c r="W68" s="52" t="inlineStr">
        <is>
          <t>PROPRIEDADES</t>
        </is>
      </c>
      <c r="X68" s="11" t="n"/>
      <c r="Y68" s="11" t="n"/>
      <c r="Z68" s="11" t="n"/>
      <c r="AA68" s="11" t="n"/>
      <c r="AB68" s="11" t="n"/>
      <c r="AC68" s="11" t="n"/>
      <c r="AD68" s="12" t="n"/>
      <c r="AE68" s="52" t="inlineStr">
        <is>
          <t>FORÇA</t>
        </is>
      </c>
      <c r="AF68" s="12" t="n"/>
      <c r="AG68" s="52" t="inlineStr">
        <is>
          <t>VOL.</t>
        </is>
      </c>
      <c r="AH68" s="12" t="n"/>
      <c r="AI68" s="52" t="inlineStr">
        <is>
          <t>GRAU</t>
        </is>
      </c>
      <c r="AJ68" s="12" t="n"/>
      <c r="AK68" s="52" t="inlineStr">
        <is>
          <t>ESTIGMA</t>
        </is>
      </c>
      <c r="AL68" s="11" t="n"/>
      <c r="AM68" s="11" t="n"/>
      <c r="AN68" s="11" t="n"/>
      <c r="AO68" s="11" t="n"/>
      <c r="AP68" s="12" t="n"/>
      <c r="AQ68" s="52" t="inlineStr">
        <is>
          <t>DESGASTE</t>
        </is>
      </c>
      <c r="AR68" s="11" t="n"/>
      <c r="AS68" s="11" t="n"/>
      <c r="AT68" s="12" t="n"/>
      <c r="AU68" s="115" t="n"/>
      <c r="AV68" s="115" t="n"/>
      <c r="AW68" s="52" t="inlineStr">
        <is>
          <t>NÍVEL</t>
        </is>
      </c>
      <c r="AX68" s="52" t="inlineStr">
        <is>
          <t>PARA SUBIR</t>
        </is>
      </c>
      <c r="AY68" s="12" t="n"/>
      <c r="AZ68" s="52" t="inlineStr">
        <is>
          <t>ACUMULADO</t>
        </is>
      </c>
      <c r="BA68" s="12" t="n"/>
      <c r="BB68" s="115" t="n"/>
      <c r="BC68" s="52" t="inlineStr">
        <is>
          <t>NÍVEL</t>
        </is>
      </c>
      <c r="BD68" s="52" t="inlineStr">
        <is>
          <t>PARA SUBIR</t>
        </is>
      </c>
      <c r="BE68" s="12" t="n"/>
      <c r="BF68" s="52" t="inlineStr">
        <is>
          <t>ACUMULADO</t>
        </is>
      </c>
      <c r="BG68" s="12" t="n"/>
      <c r="BH68" s="115" t="n"/>
      <c r="BI68" s="115" t="n"/>
      <c r="BJ68" s="115" t="n"/>
      <c r="BK68" s="115" t="n"/>
      <c r="BL68" s="115" t="n"/>
      <c r="BM68" s="115" t="n"/>
      <c r="BN68" s="115" t="n"/>
      <c r="BO68" s="115" t="n"/>
      <c r="BP68" s="115" t="n"/>
      <c r="BQ68" s="115" t="n"/>
      <c r="BR68" s="115" t="n"/>
      <c r="BS68" s="115" t="n"/>
      <c r="BT68" s="115" t="n"/>
    </row>
    <row r="69">
      <c r="A69" s="8" t="n"/>
      <c r="B69" s="22" t="n"/>
      <c r="C69" s="115" t="n"/>
      <c r="D69" s="127" t="n"/>
      <c r="E69" s="11" t="n"/>
      <c r="F69" s="11" t="n"/>
      <c r="G69" s="11" t="n"/>
      <c r="H69" s="11" t="n"/>
      <c r="I69" s="11" t="n"/>
      <c r="J69" s="12" t="n"/>
      <c r="K69" s="119" t="n"/>
      <c r="L69" s="12" t="n"/>
      <c r="M69" s="127">
        <f>IF($D69="","",IFERROR(VLOOKUP($D69,DADOS!$BD$5:$BN$59,2,FALSE),""))</f>
        <v/>
      </c>
      <c r="N69" s="11" t="n"/>
      <c r="O69" s="11" t="n"/>
      <c r="P69" s="11" t="n"/>
      <c r="Q69" s="11" t="n"/>
      <c r="R69" s="12" t="n"/>
      <c r="S69" s="119">
        <f>IF($D69="","",IFERROR(VLOOKUP($D69,DADOS!$BD$5:$BN$59,3,FALSE),""))</f>
        <v/>
      </c>
      <c r="T69" s="12" t="n"/>
      <c r="U69" s="119">
        <f>IF($D69="","",IFERROR(VLOOKUP($D69,DADOS!$BD$5:$BN$59,4,FALSE),""))</f>
        <v/>
      </c>
      <c r="V69" s="12" t="n"/>
      <c r="W69" s="127">
        <f>IF($D69="","",IFERROR(VLOOKUP($D69,DADOS!$BD$5:$BN$59,5,FALSE),""))</f>
        <v/>
      </c>
      <c r="X69" s="11" t="n"/>
      <c r="Y69" s="11" t="n"/>
      <c r="Z69" s="11" t="n"/>
      <c r="AA69" s="11" t="n"/>
      <c r="AB69" s="11" t="n"/>
      <c r="AC69" s="11" t="n"/>
      <c r="AD69" s="12" t="n"/>
      <c r="AE69" s="119">
        <f>IF($D69="","",IFERROR(VLOOKUP($D69,DADOS!$BD$5:$BN$59,6,FALSE),""))</f>
        <v/>
      </c>
      <c r="AF69" s="12" t="n"/>
      <c r="AG69" s="119">
        <f>IF($D69="","",IFERROR(IF($K69="",1,$K69)*VLOOKUP($D69,DADOS!$BD$5:$BN$59,7,FALSE),""))</f>
        <v/>
      </c>
      <c r="AH69" s="12" t="n"/>
      <c r="AI69" s="119" t="n"/>
      <c r="AJ69" s="12" t="n"/>
      <c r="AK69" s="127" t="n"/>
      <c r="AL69" s="11" t="n"/>
      <c r="AM69" s="11" t="n"/>
      <c r="AN69" s="11" t="n"/>
      <c r="AO69" s="11" t="n"/>
      <c r="AP69" s="12" t="n"/>
      <c r="AQ69" s="119" t="n"/>
      <c r="AR69" s="11" t="n"/>
      <c r="AS69" s="11" t="n"/>
      <c r="AT69" s="12" t="n"/>
      <c r="AU69" s="115" t="n"/>
      <c r="AV69" s="115" t="n"/>
      <c r="AW69" s="119">
        <f>IF(DADOS!$CZ$45=2,"▸ 2",2)</f>
        <v/>
      </c>
      <c r="AX69" s="119" t="inlineStr">
        <is>
          <t>200</t>
        </is>
      </c>
      <c r="AY69" s="12" t="n"/>
      <c r="AZ69" s="119" t="inlineStr">
        <is>
          <t>0</t>
        </is>
      </c>
      <c r="BA69" s="12" t="n"/>
      <c r="BB69" s="115" t="n"/>
      <c r="BC69" s="119">
        <f>IF(DADOS!$CZ$45=17,"▸ 17",17)</f>
        <v/>
      </c>
      <c r="BD69" s="119" t="inlineStr">
        <is>
          <t>1.300</t>
        </is>
      </c>
      <c r="BE69" s="12" t="n"/>
      <c r="BF69" s="119" t="inlineStr">
        <is>
          <t>10.400</t>
        </is>
      </c>
      <c r="BG69" s="12" t="n"/>
      <c r="BH69" s="115" t="n"/>
      <c r="BI69" s="115" t="n"/>
      <c r="BJ69" s="115" t="n"/>
      <c r="BK69" s="115" t="n"/>
      <c r="BL69" s="115" t="n"/>
      <c r="BM69" s="115" t="n"/>
      <c r="BN69" s="115" t="n"/>
      <c r="BO69" s="115" t="n"/>
      <c r="BP69" s="115" t="n"/>
      <c r="BQ69" s="115" t="n"/>
      <c r="BR69" s="115" t="n"/>
      <c r="BS69" s="115" t="n"/>
      <c r="BT69" s="115" t="n"/>
    </row>
    <row r="70">
      <c r="A70" s="8" t="n"/>
      <c r="B70" s="22" t="n"/>
      <c r="C70" s="115" t="n"/>
      <c r="D70" s="127" t="n"/>
      <c r="E70" s="11" t="n"/>
      <c r="F70" s="11" t="n"/>
      <c r="G70" s="11" t="n"/>
      <c r="H70" s="11" t="n"/>
      <c r="I70" s="11" t="n"/>
      <c r="J70" s="12" t="n"/>
      <c r="K70" s="119" t="n"/>
      <c r="L70" s="12" t="n"/>
      <c r="M70" s="127">
        <f>IF($D70="","",IFERROR(VLOOKUP($D70,DADOS!$BD$5:$BN$59,2,FALSE),""))</f>
        <v/>
      </c>
      <c r="N70" s="11" t="n"/>
      <c r="O70" s="11" t="n"/>
      <c r="P70" s="11" t="n"/>
      <c r="Q70" s="11" t="n"/>
      <c r="R70" s="12" t="n"/>
      <c r="S70" s="119">
        <f>IF($D70="","",IFERROR(VLOOKUP($D70,DADOS!$BD$5:$BN$59,3,FALSE),""))</f>
        <v/>
      </c>
      <c r="T70" s="12" t="n"/>
      <c r="U70" s="119">
        <f>IF($D70="","",IFERROR(VLOOKUP($D70,DADOS!$BD$5:$BN$59,4,FALSE),""))</f>
        <v/>
      </c>
      <c r="V70" s="12" t="n"/>
      <c r="W70" s="127">
        <f>IF($D70="","",IFERROR(VLOOKUP($D70,DADOS!$BD$5:$BN$59,5,FALSE),""))</f>
        <v/>
      </c>
      <c r="X70" s="11" t="n"/>
      <c r="Y70" s="11" t="n"/>
      <c r="Z70" s="11" t="n"/>
      <c r="AA70" s="11" t="n"/>
      <c r="AB70" s="11" t="n"/>
      <c r="AC70" s="11" t="n"/>
      <c r="AD70" s="12" t="n"/>
      <c r="AE70" s="119">
        <f>IF($D70="","",IFERROR(VLOOKUP($D70,DADOS!$BD$5:$BN$59,6,FALSE),""))</f>
        <v/>
      </c>
      <c r="AF70" s="12" t="n"/>
      <c r="AG70" s="119">
        <f>IF($D70="","",IFERROR(IF($K70="",1,$K70)*VLOOKUP($D70,DADOS!$BD$5:$BN$59,7,FALSE),""))</f>
        <v/>
      </c>
      <c r="AH70" s="12" t="n"/>
      <c r="AI70" s="119" t="n"/>
      <c r="AJ70" s="12" t="n"/>
      <c r="AK70" s="127" t="n"/>
      <c r="AL70" s="11" t="n"/>
      <c r="AM70" s="11" t="n"/>
      <c r="AN70" s="11" t="n"/>
      <c r="AO70" s="11" t="n"/>
      <c r="AP70" s="12" t="n"/>
      <c r="AQ70" s="119" t="n"/>
      <c r="AR70" s="11" t="n"/>
      <c r="AS70" s="11" t="n"/>
      <c r="AT70" s="12" t="n"/>
      <c r="AU70" s="115" t="n"/>
      <c r="AV70" s="115" t="n"/>
      <c r="AW70" s="119">
        <f>IF(DADOS!$CZ$45=3,"▸ 3",3)</f>
        <v/>
      </c>
      <c r="AX70" s="119" t="inlineStr">
        <is>
          <t>300</t>
        </is>
      </c>
      <c r="AY70" s="12" t="n"/>
      <c r="AZ70" s="119" t="inlineStr">
        <is>
          <t>200</t>
        </is>
      </c>
      <c r="BA70" s="12" t="n"/>
      <c r="BB70" s="115" t="n"/>
      <c r="BC70" s="119">
        <f>IF(DADOS!$CZ$45=18,"▸ 18",18)</f>
        <v/>
      </c>
      <c r="BD70" s="119" t="inlineStr">
        <is>
          <t>1.300</t>
        </is>
      </c>
      <c r="BE70" s="12" t="n"/>
      <c r="BF70" s="119" t="inlineStr">
        <is>
          <t>11.700</t>
        </is>
      </c>
      <c r="BG70" s="12" t="n"/>
      <c r="BH70" s="115" t="n"/>
      <c r="BI70" s="115" t="n"/>
      <c r="BJ70" s="115" t="n"/>
      <c r="BK70" s="115" t="n"/>
      <c r="BL70" s="115" t="n"/>
      <c r="BM70" s="115" t="n"/>
      <c r="BN70" s="115" t="n"/>
      <c r="BO70" s="115" t="n"/>
      <c r="BP70" s="115" t="n"/>
      <c r="BQ70" s="115" t="n"/>
      <c r="BR70" s="115" t="n"/>
      <c r="BS70" s="115" t="n"/>
      <c r="BT70" s="115" t="n"/>
    </row>
    <row r="71">
      <c r="A71" s="8" t="n"/>
      <c r="B71" s="22" t="n"/>
      <c r="C71" s="115" t="n"/>
      <c r="D71" s="127" t="n"/>
      <c r="E71" s="11" t="n"/>
      <c r="F71" s="11" t="n"/>
      <c r="G71" s="11" t="n"/>
      <c r="H71" s="11" t="n"/>
      <c r="I71" s="11" t="n"/>
      <c r="J71" s="12" t="n"/>
      <c r="K71" s="119" t="n"/>
      <c r="L71" s="12" t="n"/>
      <c r="M71" s="127">
        <f>IF($D71="","",IFERROR(VLOOKUP($D71,DADOS!$BD$5:$BN$59,2,FALSE),""))</f>
        <v/>
      </c>
      <c r="N71" s="11" t="n"/>
      <c r="O71" s="11" t="n"/>
      <c r="P71" s="11" t="n"/>
      <c r="Q71" s="11" t="n"/>
      <c r="R71" s="12" t="n"/>
      <c r="S71" s="119">
        <f>IF($D71="","",IFERROR(VLOOKUP($D71,DADOS!$BD$5:$BN$59,3,FALSE),""))</f>
        <v/>
      </c>
      <c r="T71" s="12" t="n"/>
      <c r="U71" s="119">
        <f>IF($D71="","",IFERROR(VLOOKUP($D71,DADOS!$BD$5:$BN$59,4,FALSE),""))</f>
        <v/>
      </c>
      <c r="V71" s="12" t="n"/>
      <c r="W71" s="127">
        <f>IF($D71="","",IFERROR(VLOOKUP($D71,DADOS!$BD$5:$BN$59,5,FALSE),""))</f>
        <v/>
      </c>
      <c r="X71" s="11" t="n"/>
      <c r="Y71" s="11" t="n"/>
      <c r="Z71" s="11" t="n"/>
      <c r="AA71" s="11" t="n"/>
      <c r="AB71" s="11" t="n"/>
      <c r="AC71" s="11" t="n"/>
      <c r="AD71" s="12" t="n"/>
      <c r="AE71" s="119">
        <f>IF($D71="","",IFERROR(VLOOKUP($D71,DADOS!$BD$5:$BN$59,6,FALSE),""))</f>
        <v/>
      </c>
      <c r="AF71" s="12" t="n"/>
      <c r="AG71" s="119">
        <f>IF($D71="","",IFERROR(IF($K71="",1,$K71)*VLOOKUP($D71,DADOS!$BD$5:$BN$59,7,FALSE),""))</f>
        <v/>
      </c>
      <c r="AH71" s="12" t="n"/>
      <c r="AI71" s="119" t="n"/>
      <c r="AJ71" s="12" t="n"/>
      <c r="AK71" s="127" t="n"/>
      <c r="AL71" s="11" t="n"/>
      <c r="AM71" s="11" t="n"/>
      <c r="AN71" s="11" t="n"/>
      <c r="AO71" s="11" t="n"/>
      <c r="AP71" s="12" t="n"/>
      <c r="AQ71" s="119" t="n"/>
      <c r="AR71" s="11" t="n"/>
      <c r="AS71" s="11" t="n"/>
      <c r="AT71" s="12" t="n"/>
      <c r="AU71" s="115" t="n"/>
      <c r="AV71" s="115" t="n"/>
      <c r="AW71" s="119">
        <f>IF(DADOS!$CZ$45=4,"▸ 4",4)</f>
        <v/>
      </c>
      <c r="AX71" s="119" t="inlineStr">
        <is>
          <t>300</t>
        </is>
      </c>
      <c r="AY71" s="12" t="n"/>
      <c r="AZ71" s="119" t="inlineStr">
        <is>
          <t>500</t>
        </is>
      </c>
      <c r="BA71" s="12" t="n"/>
      <c r="BB71" s="115" t="n"/>
      <c r="BC71" s="119">
        <f>IF(DADOS!$CZ$45=19,"▸ 19",19)</f>
        <v/>
      </c>
      <c r="BD71" s="119" t="inlineStr">
        <is>
          <t>1.300</t>
        </is>
      </c>
      <c r="BE71" s="12" t="n"/>
      <c r="BF71" s="119" t="inlineStr">
        <is>
          <t>13.000</t>
        </is>
      </c>
      <c r="BG71" s="12" t="n"/>
      <c r="BH71" s="115" t="n"/>
      <c r="BI71" s="115" t="n"/>
      <c r="BJ71" s="115" t="n"/>
      <c r="BK71" s="115" t="n"/>
      <c r="BL71" s="115" t="n"/>
      <c r="BM71" s="115" t="n"/>
      <c r="BN71" s="115" t="n"/>
      <c r="BO71" s="115" t="n"/>
      <c r="BP71" s="115" t="n"/>
      <c r="BQ71" s="115" t="n"/>
      <c r="BR71" s="115" t="n"/>
      <c r="BS71" s="115" t="n"/>
      <c r="BT71" s="115" t="n"/>
    </row>
    <row r="72">
      <c r="A72" s="8" t="n"/>
      <c r="B72" s="22" t="n"/>
      <c r="C72" s="115" t="n"/>
      <c r="D72" s="127" t="n"/>
      <c r="E72" s="11" t="n"/>
      <c r="F72" s="11" t="n"/>
      <c r="G72" s="11" t="n"/>
      <c r="H72" s="11" t="n"/>
      <c r="I72" s="11" t="n"/>
      <c r="J72" s="12" t="n"/>
      <c r="K72" s="119" t="n"/>
      <c r="L72" s="12" t="n"/>
      <c r="M72" s="127">
        <f>IF($D72="","",IFERROR(VLOOKUP($D72,DADOS!$BD$5:$BN$59,2,FALSE),""))</f>
        <v/>
      </c>
      <c r="N72" s="11" t="n"/>
      <c r="O72" s="11" t="n"/>
      <c r="P72" s="11" t="n"/>
      <c r="Q72" s="11" t="n"/>
      <c r="R72" s="12" t="n"/>
      <c r="S72" s="119">
        <f>IF($D72="","",IFERROR(VLOOKUP($D72,DADOS!$BD$5:$BN$59,3,FALSE),""))</f>
        <v/>
      </c>
      <c r="T72" s="12" t="n"/>
      <c r="U72" s="119">
        <f>IF($D72="","",IFERROR(VLOOKUP($D72,DADOS!$BD$5:$BN$59,4,FALSE),""))</f>
        <v/>
      </c>
      <c r="V72" s="12" t="n"/>
      <c r="W72" s="127">
        <f>IF($D72="","",IFERROR(VLOOKUP($D72,DADOS!$BD$5:$BN$59,5,FALSE),""))</f>
        <v/>
      </c>
      <c r="X72" s="11" t="n"/>
      <c r="Y72" s="11" t="n"/>
      <c r="Z72" s="11" t="n"/>
      <c r="AA72" s="11" t="n"/>
      <c r="AB72" s="11" t="n"/>
      <c r="AC72" s="11" t="n"/>
      <c r="AD72" s="12" t="n"/>
      <c r="AE72" s="119">
        <f>IF($D72="","",IFERROR(VLOOKUP($D72,DADOS!$BD$5:$BN$59,6,FALSE),""))</f>
        <v/>
      </c>
      <c r="AF72" s="12" t="n"/>
      <c r="AG72" s="119">
        <f>IF($D72="","",IFERROR(IF($K72="",1,$K72)*VLOOKUP($D72,DADOS!$BD$5:$BN$59,7,FALSE),""))</f>
        <v/>
      </c>
      <c r="AH72" s="12" t="n"/>
      <c r="AI72" s="119" t="n"/>
      <c r="AJ72" s="12" t="n"/>
      <c r="AK72" s="127" t="n"/>
      <c r="AL72" s="11" t="n"/>
      <c r="AM72" s="11" t="n"/>
      <c r="AN72" s="11" t="n"/>
      <c r="AO72" s="11" t="n"/>
      <c r="AP72" s="12" t="n"/>
      <c r="AQ72" s="119" t="n"/>
      <c r="AR72" s="11" t="n"/>
      <c r="AS72" s="11" t="n"/>
      <c r="AT72" s="12" t="n"/>
      <c r="AU72" s="115" t="n"/>
      <c r="AV72" s="115" t="n"/>
      <c r="AW72" s="119">
        <f>IF(DADOS!$CZ$45=5,"▸ 5",5)</f>
        <v/>
      </c>
      <c r="AX72" s="119" t="inlineStr">
        <is>
          <t>500</t>
        </is>
      </c>
      <c r="AY72" s="12" t="n"/>
      <c r="AZ72" s="119" t="inlineStr">
        <is>
          <t>800</t>
        </is>
      </c>
      <c r="BA72" s="12" t="n"/>
      <c r="BB72" s="115" t="n"/>
      <c r="BC72" s="119">
        <f>IF(DADOS!$CZ$45=20,"▸ 20",20)</f>
        <v/>
      </c>
      <c r="BD72" s="119" t="inlineStr">
        <is>
          <t>1.500 e um feito</t>
        </is>
      </c>
      <c r="BE72" s="12" t="n"/>
      <c r="BF72" s="119" t="inlineStr">
        <is>
          <t>14.300</t>
        </is>
      </c>
      <c r="BG72" s="12" t="n"/>
      <c r="BH72" s="115" t="n"/>
      <c r="BI72" s="115" t="n"/>
      <c r="BJ72" s="115" t="n"/>
      <c r="BK72" s="115" t="n"/>
      <c r="BL72" s="115" t="n"/>
      <c r="BM72" s="115" t="n"/>
      <c r="BN72" s="115" t="n"/>
      <c r="BO72" s="115" t="n"/>
      <c r="BP72" s="115" t="n"/>
      <c r="BQ72" s="115" t="n"/>
      <c r="BR72" s="115" t="n"/>
      <c r="BS72" s="115" t="n"/>
      <c r="BT72" s="115" t="n"/>
    </row>
    <row r="73">
      <c r="A73" s="8" t="n"/>
      <c r="B73" s="22" t="n"/>
      <c r="C73" s="115" t="n"/>
      <c r="D73" s="127" t="n"/>
      <c r="E73" s="11" t="n"/>
      <c r="F73" s="11" t="n"/>
      <c r="G73" s="11" t="n"/>
      <c r="H73" s="11" t="n"/>
      <c r="I73" s="11" t="n"/>
      <c r="J73" s="12" t="n"/>
      <c r="K73" s="119" t="n"/>
      <c r="L73" s="12" t="n"/>
      <c r="M73" s="127">
        <f>IF($D73="","",IFERROR(VLOOKUP($D73,DADOS!$BD$5:$BN$59,2,FALSE),""))</f>
        <v/>
      </c>
      <c r="N73" s="11" t="n"/>
      <c r="O73" s="11" t="n"/>
      <c r="P73" s="11" t="n"/>
      <c r="Q73" s="11" t="n"/>
      <c r="R73" s="12" t="n"/>
      <c r="S73" s="119">
        <f>IF($D73="","",IFERROR(VLOOKUP($D73,DADOS!$BD$5:$BN$59,3,FALSE),""))</f>
        <v/>
      </c>
      <c r="T73" s="12" t="n"/>
      <c r="U73" s="119">
        <f>IF($D73="","",IFERROR(VLOOKUP($D73,DADOS!$BD$5:$BN$59,4,FALSE),""))</f>
        <v/>
      </c>
      <c r="V73" s="12" t="n"/>
      <c r="W73" s="127">
        <f>IF($D73="","",IFERROR(VLOOKUP($D73,DADOS!$BD$5:$BN$59,5,FALSE),""))</f>
        <v/>
      </c>
      <c r="X73" s="11" t="n"/>
      <c r="Y73" s="11" t="n"/>
      <c r="Z73" s="11" t="n"/>
      <c r="AA73" s="11" t="n"/>
      <c r="AB73" s="11" t="n"/>
      <c r="AC73" s="11" t="n"/>
      <c r="AD73" s="12" t="n"/>
      <c r="AE73" s="119">
        <f>IF($D73="","",IFERROR(VLOOKUP($D73,DADOS!$BD$5:$BN$59,6,FALSE),""))</f>
        <v/>
      </c>
      <c r="AF73" s="12" t="n"/>
      <c r="AG73" s="119">
        <f>IF($D73="","",IFERROR(IF($K73="",1,$K73)*VLOOKUP($D73,DADOS!$BD$5:$BN$59,7,FALSE),""))</f>
        <v/>
      </c>
      <c r="AH73" s="12" t="n"/>
      <c r="AI73" s="119" t="n"/>
      <c r="AJ73" s="12" t="n"/>
      <c r="AK73" s="127" t="n"/>
      <c r="AL73" s="11" t="n"/>
      <c r="AM73" s="11" t="n"/>
      <c r="AN73" s="11" t="n"/>
      <c r="AO73" s="11" t="n"/>
      <c r="AP73" s="12" t="n"/>
      <c r="AQ73" s="119" t="n"/>
      <c r="AR73" s="11" t="n"/>
      <c r="AS73" s="11" t="n"/>
      <c r="AT73" s="12" t="n"/>
      <c r="AU73" s="115" t="n"/>
      <c r="AV73" s="115" t="n"/>
      <c r="AW73" s="119">
        <f>IF(DADOS!$CZ$45=6,"▸ 6",6)</f>
        <v/>
      </c>
      <c r="AX73" s="119" t="inlineStr">
        <is>
          <t>500</t>
        </is>
      </c>
      <c r="AY73" s="12" t="n"/>
      <c r="AZ73" s="119" t="inlineStr">
        <is>
          <t>1.300</t>
        </is>
      </c>
      <c r="BA73" s="12" t="n"/>
      <c r="BB73" s="115" t="n"/>
      <c r="BC73" s="119">
        <f>IF(DADOS!$CZ$45=21,"▸ 21",21)</f>
        <v/>
      </c>
      <c r="BD73" s="119" t="inlineStr">
        <is>
          <t>1.500</t>
        </is>
      </c>
      <c r="BE73" s="12" t="n"/>
      <c r="BF73" s="119" t="inlineStr">
        <is>
          <t>15.800</t>
        </is>
      </c>
      <c r="BG73" s="12" t="n"/>
      <c r="BH73" s="115" t="n"/>
      <c r="BI73" s="115" t="n"/>
      <c r="BJ73" s="115" t="n"/>
      <c r="BK73" s="115" t="n"/>
      <c r="BL73" s="115" t="n"/>
      <c r="BM73" s="115" t="n"/>
      <c r="BN73" s="115" t="n"/>
      <c r="BO73" s="115" t="n"/>
      <c r="BP73" s="115" t="n"/>
      <c r="BQ73" s="115" t="n"/>
      <c r="BR73" s="115" t="n"/>
      <c r="BS73" s="115" t="n"/>
      <c r="BT73" s="115" t="n"/>
    </row>
    <row r="74">
      <c r="A74" s="8" t="n"/>
      <c r="B74" s="22" t="n"/>
      <c r="C74" s="115" t="n"/>
      <c r="D74" s="127" t="n"/>
      <c r="E74" s="11" t="n"/>
      <c r="F74" s="11" t="n"/>
      <c r="G74" s="11" t="n"/>
      <c r="H74" s="11" t="n"/>
      <c r="I74" s="11" t="n"/>
      <c r="J74" s="12" t="n"/>
      <c r="K74" s="119" t="n"/>
      <c r="L74" s="12" t="n"/>
      <c r="M74" s="127">
        <f>IF($D74="","",IFERROR(VLOOKUP($D74,DADOS!$BD$5:$BN$59,2,FALSE),""))</f>
        <v/>
      </c>
      <c r="N74" s="11" t="n"/>
      <c r="O74" s="11" t="n"/>
      <c r="P74" s="11" t="n"/>
      <c r="Q74" s="11" t="n"/>
      <c r="R74" s="12" t="n"/>
      <c r="S74" s="119">
        <f>IF($D74="","",IFERROR(VLOOKUP($D74,DADOS!$BD$5:$BN$59,3,FALSE),""))</f>
        <v/>
      </c>
      <c r="T74" s="12" t="n"/>
      <c r="U74" s="119">
        <f>IF($D74="","",IFERROR(VLOOKUP($D74,DADOS!$BD$5:$BN$59,4,FALSE),""))</f>
        <v/>
      </c>
      <c r="V74" s="12" t="n"/>
      <c r="W74" s="127">
        <f>IF($D74="","",IFERROR(VLOOKUP($D74,DADOS!$BD$5:$BN$59,5,FALSE),""))</f>
        <v/>
      </c>
      <c r="X74" s="11" t="n"/>
      <c r="Y74" s="11" t="n"/>
      <c r="Z74" s="11" t="n"/>
      <c r="AA74" s="11" t="n"/>
      <c r="AB74" s="11" t="n"/>
      <c r="AC74" s="11" t="n"/>
      <c r="AD74" s="12" t="n"/>
      <c r="AE74" s="119">
        <f>IF($D74="","",IFERROR(VLOOKUP($D74,DADOS!$BD$5:$BN$59,6,FALSE),""))</f>
        <v/>
      </c>
      <c r="AF74" s="12" t="n"/>
      <c r="AG74" s="119">
        <f>IF($D74="","",IFERROR(IF($K74="",1,$K74)*VLOOKUP($D74,DADOS!$BD$5:$BN$59,7,FALSE),""))</f>
        <v/>
      </c>
      <c r="AH74" s="12" t="n"/>
      <c r="AI74" s="119" t="n"/>
      <c r="AJ74" s="12" t="n"/>
      <c r="AK74" s="127" t="n"/>
      <c r="AL74" s="11" t="n"/>
      <c r="AM74" s="11" t="n"/>
      <c r="AN74" s="11" t="n"/>
      <c r="AO74" s="11" t="n"/>
      <c r="AP74" s="12" t="n"/>
      <c r="AQ74" s="119" t="n"/>
      <c r="AR74" s="11" t="n"/>
      <c r="AS74" s="11" t="n"/>
      <c r="AT74" s="12" t="n"/>
      <c r="AU74" s="115" t="n"/>
      <c r="AV74" s="115" t="n"/>
      <c r="AW74" s="119">
        <f>IF(DADOS!$CZ$45=7,"▸ 7",7)</f>
        <v/>
      </c>
      <c r="AX74" s="119" t="inlineStr">
        <is>
          <t>500</t>
        </is>
      </c>
      <c r="AY74" s="12" t="n"/>
      <c r="AZ74" s="119" t="inlineStr">
        <is>
          <t>1.800</t>
        </is>
      </c>
      <c r="BA74" s="12" t="n"/>
      <c r="BB74" s="115" t="n"/>
      <c r="BC74" s="119">
        <f>IF(DADOS!$CZ$45=22,"▸ 22",22)</f>
        <v/>
      </c>
      <c r="BD74" s="119" t="inlineStr">
        <is>
          <t>1.500</t>
        </is>
      </c>
      <c r="BE74" s="12" t="n"/>
      <c r="BF74" s="119" t="inlineStr">
        <is>
          <t>17.300</t>
        </is>
      </c>
      <c r="BG74" s="12" t="n"/>
      <c r="BH74" s="115" t="n"/>
      <c r="BI74" s="115" t="n"/>
      <c r="BJ74" s="115" t="n"/>
      <c r="BK74" s="115" t="n"/>
      <c r="BL74" s="115" t="n"/>
      <c r="BM74" s="115" t="n"/>
      <c r="BN74" s="115" t="n"/>
      <c r="BO74" s="115" t="n"/>
      <c r="BP74" s="115" t="n"/>
      <c r="BQ74" s="115" t="n"/>
      <c r="BR74" s="115" t="n"/>
      <c r="BS74" s="115" t="n"/>
      <c r="BT74" s="115" t="n"/>
    </row>
    <row r="75">
      <c r="A75" s="8" t="n"/>
      <c r="B75" s="22" t="n"/>
      <c r="C75" s="115" t="n"/>
      <c r="D75" s="127" t="n"/>
      <c r="E75" s="11" t="n"/>
      <c r="F75" s="11" t="n"/>
      <c r="G75" s="11" t="n"/>
      <c r="H75" s="11" t="n"/>
      <c r="I75" s="11" t="n"/>
      <c r="J75" s="12" t="n"/>
      <c r="K75" s="119" t="n"/>
      <c r="L75" s="12" t="n"/>
      <c r="M75" s="127" t="n"/>
      <c r="N75" s="11" t="n"/>
      <c r="O75" s="11" t="n"/>
      <c r="P75" s="11" t="n"/>
      <c r="Q75" s="11" t="n"/>
      <c r="R75" s="12" t="n"/>
      <c r="S75" s="119" t="n"/>
      <c r="T75" s="12" t="n"/>
      <c r="U75" s="119" t="n"/>
      <c r="V75" s="12" t="n"/>
      <c r="W75" s="127" t="n"/>
      <c r="X75" s="11" t="n"/>
      <c r="Y75" s="11" t="n"/>
      <c r="Z75" s="11" t="n"/>
      <c r="AA75" s="11" t="n"/>
      <c r="AB75" s="11" t="n"/>
      <c r="AC75" s="11" t="n"/>
      <c r="AD75" s="12" t="n"/>
      <c r="AE75" s="119" t="n"/>
      <c r="AF75" s="12" t="n"/>
      <c r="AG75" s="119" t="n"/>
      <c r="AH75" s="12" t="n"/>
      <c r="AI75" s="119" t="n"/>
      <c r="AJ75" s="12" t="n"/>
      <c r="AK75" s="127" t="n"/>
      <c r="AL75" s="11" t="n"/>
      <c r="AM75" s="11" t="n"/>
      <c r="AN75" s="11" t="n"/>
      <c r="AO75" s="11" t="n"/>
      <c r="AP75" s="12" t="n"/>
      <c r="AQ75" s="119" t="n"/>
      <c r="AR75" s="11" t="n"/>
      <c r="AS75" s="11" t="n"/>
      <c r="AT75" s="12" t="n"/>
      <c r="AU75" s="115" t="n"/>
      <c r="AV75" s="115" t="n"/>
      <c r="AW75" s="119">
        <f>IF(DADOS!$CZ$45=8,"▸ 8",8)</f>
        <v/>
      </c>
      <c r="AX75" s="119" t="inlineStr">
        <is>
          <t>700</t>
        </is>
      </c>
      <c r="AY75" s="12" t="n"/>
      <c r="AZ75" s="119" t="inlineStr">
        <is>
          <t>2.300</t>
        </is>
      </c>
      <c r="BA75" s="12" t="n"/>
      <c r="BB75" s="115" t="n"/>
      <c r="BC75" s="119">
        <f>IF(DADOS!$CZ$45=23,"▸ 23",23)</f>
        <v/>
      </c>
      <c r="BD75" s="119" t="inlineStr">
        <is>
          <t>1.700</t>
        </is>
      </c>
      <c r="BE75" s="12" t="n"/>
      <c r="BF75" s="119" t="inlineStr">
        <is>
          <t>18.800</t>
        </is>
      </c>
      <c r="BG75" s="12" t="n"/>
      <c r="BH75" s="115" t="n"/>
      <c r="BI75" s="115" t="n"/>
      <c r="BJ75" s="115" t="n"/>
      <c r="BK75" s="115" t="n"/>
      <c r="BL75" s="115" t="n"/>
      <c r="BM75" s="115" t="n"/>
      <c r="BN75" s="115" t="n"/>
      <c r="BO75" s="115" t="n"/>
      <c r="BP75" s="115" t="n"/>
      <c r="BQ75" s="115" t="n"/>
      <c r="BR75" s="115" t="n"/>
      <c r="BS75" s="115" t="n"/>
      <c r="BT75" s="115" t="n"/>
    </row>
    <row r="76">
      <c r="A76" s="8" t="n"/>
      <c r="B76" s="22" t="n"/>
      <c r="C76" s="115" t="n"/>
      <c r="D76" s="127" t="n"/>
      <c r="E76" s="11" t="n"/>
      <c r="F76" s="11" t="n"/>
      <c r="G76" s="11" t="n"/>
      <c r="H76" s="11" t="n"/>
      <c r="I76" s="11" t="n"/>
      <c r="J76" s="12" t="n"/>
      <c r="K76" s="119" t="n"/>
      <c r="L76" s="12" t="n"/>
      <c r="M76" s="127" t="n"/>
      <c r="N76" s="11" t="n"/>
      <c r="O76" s="11" t="n"/>
      <c r="P76" s="11" t="n"/>
      <c r="Q76" s="11" t="n"/>
      <c r="R76" s="12" t="n"/>
      <c r="S76" s="119" t="n"/>
      <c r="T76" s="12" t="n"/>
      <c r="U76" s="119" t="n"/>
      <c r="V76" s="12" t="n"/>
      <c r="W76" s="127" t="n"/>
      <c r="X76" s="11" t="n"/>
      <c r="Y76" s="11" t="n"/>
      <c r="Z76" s="11" t="n"/>
      <c r="AA76" s="11" t="n"/>
      <c r="AB76" s="11" t="n"/>
      <c r="AC76" s="11" t="n"/>
      <c r="AD76" s="12" t="n"/>
      <c r="AE76" s="119" t="n"/>
      <c r="AF76" s="12" t="n"/>
      <c r="AG76" s="119" t="n"/>
      <c r="AH76" s="12" t="n"/>
      <c r="AI76" s="119" t="n"/>
      <c r="AJ76" s="12" t="n"/>
      <c r="AK76" s="127" t="n"/>
      <c r="AL76" s="11" t="n"/>
      <c r="AM76" s="11" t="n"/>
      <c r="AN76" s="11" t="n"/>
      <c r="AO76" s="11" t="n"/>
      <c r="AP76" s="12" t="n"/>
      <c r="AQ76" s="119" t="n"/>
      <c r="AR76" s="11" t="n"/>
      <c r="AS76" s="11" t="n"/>
      <c r="AT76" s="12" t="n"/>
      <c r="AU76" s="115" t="n"/>
      <c r="AV76" s="115" t="n"/>
      <c r="AW76" s="119">
        <f>IF(DADOS!$CZ$45=9,"▸ 9",9)</f>
        <v/>
      </c>
      <c r="AX76" s="119" t="inlineStr">
        <is>
          <t>700</t>
        </is>
      </c>
      <c r="AY76" s="12" t="n"/>
      <c r="AZ76" s="119" t="inlineStr">
        <is>
          <t>3.000</t>
        </is>
      </c>
      <c r="BA76" s="12" t="n"/>
      <c r="BB76" s="115" t="n"/>
      <c r="BC76" s="119">
        <f>IF(DADOS!$CZ$45=24,"▸ 24",24)</f>
        <v/>
      </c>
      <c r="BD76" s="119" t="inlineStr">
        <is>
          <t>1.700</t>
        </is>
      </c>
      <c r="BE76" s="12" t="n"/>
      <c r="BF76" s="119" t="inlineStr">
        <is>
          <t>20.500</t>
        </is>
      </c>
      <c r="BG76" s="12" t="n"/>
      <c r="BH76" s="115" t="n"/>
      <c r="BI76" s="115" t="n"/>
      <c r="BJ76" s="115" t="n"/>
      <c r="BK76" s="115" t="n"/>
      <c r="BL76" s="115" t="n"/>
      <c r="BM76" s="115" t="n"/>
      <c r="BN76" s="115" t="n"/>
      <c r="BO76" s="115" t="n"/>
      <c r="BP76" s="115" t="n"/>
      <c r="BQ76" s="115" t="n"/>
      <c r="BR76" s="115" t="n"/>
      <c r="BS76" s="115" t="n"/>
      <c r="BT76" s="115" t="n"/>
    </row>
    <row r="77">
      <c r="A77" s="8" t="n"/>
      <c r="B77" s="22" t="n"/>
      <c r="C77" s="115" t="n"/>
      <c r="D77" s="115" t="n"/>
      <c r="E77" s="115" t="n"/>
      <c r="F77" s="115" t="n"/>
      <c r="G77" s="115" t="n"/>
      <c r="H77" s="115" t="n"/>
      <c r="I77" s="115" t="n"/>
      <c r="J77" s="115" t="n"/>
      <c r="K77" s="115" t="n"/>
      <c r="L77" s="115" t="n"/>
      <c r="M77" s="115" t="n"/>
      <c r="N77" s="115" t="n"/>
      <c r="O77" s="115" t="n"/>
      <c r="P77" s="115" t="n"/>
      <c r="Q77" s="115" t="n"/>
      <c r="R77" s="115" t="n"/>
      <c r="S77" s="115" t="n"/>
      <c r="T77" s="115" t="n"/>
      <c r="U77" s="115" t="n"/>
      <c r="V77" s="115" t="n"/>
      <c r="W77" s="115" t="n"/>
      <c r="X77" s="115" t="n"/>
      <c r="Y77" s="115" t="n"/>
      <c r="Z77" s="115" t="n"/>
      <c r="AA77" s="115" t="n"/>
      <c r="AB77" s="115" t="n"/>
      <c r="AC77" s="115" t="n"/>
      <c r="AD77" s="115" t="n"/>
      <c r="AE77" s="115" t="n"/>
      <c r="AF77" s="115" t="n"/>
      <c r="AG77" s="115" t="n"/>
      <c r="AH77" s="115" t="n"/>
      <c r="AI77" s="115" t="n"/>
      <c r="AJ77" s="115" t="n"/>
      <c r="AK77" s="115" t="n"/>
      <c r="AL77" s="115" t="n"/>
      <c r="AM77" s="115" t="n"/>
      <c r="AN77" s="115" t="n"/>
      <c r="AO77" s="115" t="n"/>
      <c r="AP77" s="115" t="n"/>
      <c r="AQ77" s="115" t="n"/>
      <c r="AR77" s="115" t="n"/>
      <c r="AS77" s="115" t="n"/>
      <c r="AT77" s="115" t="n"/>
      <c r="AU77" s="115" t="n"/>
      <c r="AV77" s="115" t="n"/>
      <c r="AW77" s="119">
        <f>IF(DADOS!$CZ$45=10,"▸ 10",10)</f>
        <v/>
      </c>
      <c r="AX77" s="119" t="inlineStr">
        <is>
          <t>700</t>
        </is>
      </c>
      <c r="AY77" s="12" t="n"/>
      <c r="AZ77" s="119" t="inlineStr">
        <is>
          <t>3.700</t>
        </is>
      </c>
      <c r="BA77" s="12" t="n"/>
      <c r="BB77" s="115" t="n"/>
      <c r="BC77" s="119">
        <f>IF(DADOS!$CZ$45=25,"▸ 25",25)</f>
        <v/>
      </c>
      <c r="BD77" s="119" t="inlineStr">
        <is>
          <t>1.700</t>
        </is>
      </c>
      <c r="BE77" s="12" t="n"/>
      <c r="BF77" s="119" t="inlineStr">
        <is>
          <t>22.200</t>
        </is>
      </c>
      <c r="BG77" s="12" t="n"/>
      <c r="BH77" s="115" t="n"/>
      <c r="BI77" s="115" t="n"/>
      <c r="BJ77" s="115" t="n"/>
      <c r="BK77" s="115" t="n"/>
      <c r="BL77" s="115" t="n"/>
      <c r="BM77" s="115" t="n"/>
      <c r="BN77" s="115" t="n"/>
      <c r="BO77" s="115" t="n"/>
      <c r="BP77" s="115" t="n"/>
      <c r="BQ77" s="115" t="n"/>
      <c r="BR77" s="115" t="n"/>
      <c r="BS77" s="115" t="n"/>
      <c r="BT77" s="115" t="n"/>
    </row>
    <row r="78">
      <c r="A78" s="8" t="n"/>
      <c r="B78" s="22" t="n"/>
      <c r="C78" s="115" t="n"/>
      <c r="D78" s="118" t="inlineStr">
        <is>
          <t>ITENS GUARDADOS</t>
        </is>
      </c>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5" t="n"/>
      <c r="AU78" s="115" t="n"/>
      <c r="AV78" s="115" t="n"/>
      <c r="AW78" s="119">
        <f>IF(DADOS!$CZ$45=11,"▸ 11",11)</f>
        <v/>
      </c>
      <c r="AX78" s="119" t="inlineStr">
        <is>
          <t>900</t>
        </is>
      </c>
      <c r="AY78" s="12" t="n"/>
      <c r="AZ78" s="119" t="inlineStr">
        <is>
          <t>4.400</t>
        </is>
      </c>
      <c r="BA78" s="12" t="n"/>
      <c r="BB78" s="115" t="n"/>
      <c r="BC78" s="119">
        <f>IF(DADOS!$CZ$45=26,"▸ 26",26)</f>
        <v/>
      </c>
      <c r="BD78" s="119" t="inlineStr">
        <is>
          <t>1.700</t>
        </is>
      </c>
      <c r="BE78" s="12" t="n"/>
      <c r="BF78" s="119" t="inlineStr">
        <is>
          <t>23.900</t>
        </is>
      </c>
      <c r="BG78" s="12" t="n"/>
      <c r="BH78" s="115" t="n"/>
      <c r="BI78" s="115" t="n"/>
      <c r="BJ78" s="115" t="n"/>
      <c r="BK78" s="115" t="n"/>
      <c r="BL78" s="115" t="n"/>
      <c r="BM78" s="115" t="n"/>
      <c r="BN78" s="115" t="n"/>
      <c r="BO78" s="115" t="n"/>
      <c r="BP78" s="115" t="n"/>
      <c r="BQ78" s="115" t="n"/>
      <c r="BR78" s="115" t="n"/>
      <c r="BS78" s="115" t="n"/>
      <c r="BT78" s="115" t="n"/>
    </row>
    <row r="79">
      <c r="A79" s="8" t="n"/>
      <c r="B79" s="22" t="n"/>
      <c r="C79" s="115" t="n"/>
      <c r="D79" s="18" t="n"/>
      <c r="E79" s="19" t="n"/>
      <c r="F79" s="19" t="n"/>
      <c r="G79" s="19" t="n"/>
      <c r="H79" s="19" t="n"/>
      <c r="I79" s="19" t="n"/>
      <c r="J79" s="19" t="n"/>
      <c r="K79" s="19" t="n"/>
      <c r="L79" s="19" t="n"/>
      <c r="M79" s="19" t="n"/>
      <c r="N79" s="19" t="n"/>
      <c r="O79" s="19" t="n"/>
      <c r="P79" s="19" t="n"/>
      <c r="Q79" s="19" t="n"/>
      <c r="R79" s="19" t="n"/>
      <c r="S79" s="19" t="n"/>
      <c r="T79" s="19" t="n"/>
      <c r="U79" s="19" t="n"/>
      <c r="V79" s="19" t="n"/>
      <c r="W79" s="19" t="n"/>
      <c r="X79" s="19" t="n"/>
      <c r="Y79" s="19" t="n"/>
      <c r="Z79" s="19" t="n"/>
      <c r="AA79" s="19" t="n"/>
      <c r="AB79" s="19" t="n"/>
      <c r="AC79" s="19" t="n"/>
      <c r="AD79" s="19" t="n"/>
      <c r="AE79" s="19" t="n"/>
      <c r="AF79" s="19" t="n"/>
      <c r="AG79" s="19" t="n"/>
      <c r="AH79" s="19" t="n"/>
      <c r="AI79" s="19" t="n"/>
      <c r="AJ79" s="19" t="n"/>
      <c r="AK79" s="19" t="n"/>
      <c r="AL79" s="19" t="n"/>
      <c r="AM79" s="19" t="n"/>
      <c r="AN79" s="19" t="n"/>
      <c r="AO79" s="19" t="n"/>
      <c r="AP79" s="19" t="n"/>
      <c r="AQ79" s="19" t="n"/>
      <c r="AR79" s="19" t="n"/>
      <c r="AS79" s="19" t="n"/>
      <c r="AT79" s="20" t="n"/>
      <c r="AU79" s="115" t="n"/>
      <c r="AV79" s="115" t="n"/>
      <c r="AW79" s="119">
        <f>IF(DADOS!$CZ$45=12,"▸ 12",12)</f>
        <v/>
      </c>
      <c r="AX79" s="119" t="inlineStr">
        <is>
          <t>900</t>
        </is>
      </c>
      <c r="AY79" s="12" t="n"/>
      <c r="AZ79" s="119" t="inlineStr">
        <is>
          <t>5.300</t>
        </is>
      </c>
      <c r="BA79" s="12" t="n"/>
      <c r="BB79" s="115" t="n"/>
      <c r="BC79" s="119">
        <f>IF(DADOS!$CZ$45=27,"▸ 27",27)</f>
        <v/>
      </c>
      <c r="BD79" s="119" t="inlineStr">
        <is>
          <t>1.700</t>
        </is>
      </c>
      <c r="BE79" s="12" t="n"/>
      <c r="BF79" s="119" t="inlineStr">
        <is>
          <t>25.600</t>
        </is>
      </c>
      <c r="BG79" s="12" t="n"/>
      <c r="BH79" s="115" t="n"/>
      <c r="BI79" s="115" t="n"/>
      <c r="BJ79" s="115" t="n"/>
      <c r="BK79" s="115" t="n"/>
      <c r="BL79" s="115" t="n"/>
      <c r="BM79" s="115" t="n"/>
      <c r="BN79" s="115" t="n"/>
      <c r="BO79" s="115" t="n"/>
      <c r="BP79" s="115" t="n"/>
      <c r="BQ79" s="115" t="n"/>
      <c r="BR79" s="115" t="n"/>
      <c r="BS79" s="115" t="n"/>
      <c r="BT79" s="115" t="n"/>
    </row>
    <row r="80">
      <c r="A80" s="8" t="n"/>
      <c r="B80" s="22" t="n"/>
      <c r="C80" s="115" t="n"/>
      <c r="D80" s="52" t="inlineStr">
        <is>
          <t>ITEM</t>
        </is>
      </c>
      <c r="E80" s="11" t="n"/>
      <c r="F80" s="11" t="n"/>
      <c r="G80" s="11" t="n"/>
      <c r="H80" s="11" t="n"/>
      <c r="I80" s="11" t="n"/>
      <c r="J80" s="11" t="n"/>
      <c r="K80" s="11" t="n"/>
      <c r="L80" s="11" t="n"/>
      <c r="M80" s="11" t="n"/>
      <c r="N80" s="11" t="n"/>
      <c r="O80" s="11" t="n"/>
      <c r="P80" s="11" t="n"/>
      <c r="Q80" s="11" t="n"/>
      <c r="R80" s="11" t="n"/>
      <c r="S80" s="12" t="n"/>
      <c r="T80" s="52" t="inlineStr">
        <is>
          <t>QTD.</t>
        </is>
      </c>
      <c r="U80" s="12" t="n"/>
      <c r="V80" s="52" t="inlineStr">
        <is>
          <t>VOL.</t>
        </is>
      </c>
      <c r="W80" s="11" t="n"/>
      <c r="X80" s="12" t="n"/>
      <c r="Y80" s="115" t="n"/>
      <c r="Z80" s="52" t="inlineStr">
        <is>
          <t>ITEM</t>
        </is>
      </c>
      <c r="AA80" s="11" t="n"/>
      <c r="AB80" s="11" t="n"/>
      <c r="AC80" s="11" t="n"/>
      <c r="AD80" s="11" t="n"/>
      <c r="AE80" s="11" t="n"/>
      <c r="AF80" s="11" t="n"/>
      <c r="AG80" s="11" t="n"/>
      <c r="AH80" s="11" t="n"/>
      <c r="AI80" s="11" t="n"/>
      <c r="AJ80" s="11" t="n"/>
      <c r="AK80" s="11" t="n"/>
      <c r="AL80" s="11" t="n"/>
      <c r="AM80" s="11" t="n"/>
      <c r="AN80" s="11" t="n"/>
      <c r="AO80" s="12" t="n"/>
      <c r="AP80" s="52" t="inlineStr">
        <is>
          <t>QTD.</t>
        </is>
      </c>
      <c r="AQ80" s="12" t="n"/>
      <c r="AR80" s="52" t="inlineStr">
        <is>
          <t>VOL.</t>
        </is>
      </c>
      <c r="AS80" s="11" t="n"/>
      <c r="AT80" s="12" t="n"/>
      <c r="AU80" s="115" t="n"/>
      <c r="AV80" s="115" t="n"/>
      <c r="AW80" s="119">
        <f>IF(DADOS!$CZ$45=13,"▸ 13",13)</f>
        <v/>
      </c>
      <c r="AX80" s="119" t="inlineStr">
        <is>
          <t>900</t>
        </is>
      </c>
      <c r="AY80" s="12" t="n"/>
      <c r="AZ80" s="119" t="inlineStr">
        <is>
          <t>6.200</t>
        </is>
      </c>
      <c r="BA80" s="12" t="n"/>
      <c r="BB80" s="115" t="n"/>
      <c r="BC80" s="119">
        <f>IF(DADOS!$CZ$45=28,"▸ 28",28)</f>
        <v/>
      </c>
      <c r="BD80" s="119" t="inlineStr">
        <is>
          <t>1.700</t>
        </is>
      </c>
      <c r="BE80" s="12" t="n"/>
      <c r="BF80" s="119" t="inlineStr">
        <is>
          <t>27.300</t>
        </is>
      </c>
      <c r="BG80" s="12" t="n"/>
      <c r="BH80" s="115" t="n"/>
      <c r="BI80" s="115" t="n"/>
      <c r="BJ80" s="115" t="n"/>
      <c r="BK80" s="115" t="n"/>
      <c r="BL80" s="115" t="n"/>
      <c r="BM80" s="115" t="n"/>
      <c r="BN80" s="115" t="n"/>
      <c r="BO80" s="115" t="n"/>
      <c r="BP80" s="115" t="n"/>
      <c r="BQ80" s="115" t="n"/>
      <c r="BR80" s="115" t="n"/>
      <c r="BS80" s="115" t="n"/>
      <c r="BT80" s="115" t="n"/>
    </row>
    <row r="81">
      <c r="A81" s="8" t="n"/>
      <c r="B81" s="22" t="n"/>
      <c r="C81" s="115" t="n"/>
      <c r="D81" s="127" t="n"/>
      <c r="E81" s="11" t="n"/>
      <c r="F81" s="11" t="n"/>
      <c r="G81" s="11" t="n"/>
      <c r="H81" s="11" t="n"/>
      <c r="I81" s="11" t="n"/>
      <c r="J81" s="11" t="n"/>
      <c r="K81" s="11" t="n"/>
      <c r="L81" s="11" t="n"/>
      <c r="M81" s="11" t="n"/>
      <c r="N81" s="11" t="n"/>
      <c r="O81" s="11" t="n"/>
      <c r="P81" s="11" t="n"/>
      <c r="Q81" s="11" t="n"/>
      <c r="R81" s="11" t="n"/>
      <c r="S81" s="12" t="n"/>
      <c r="T81" s="119" t="n"/>
      <c r="U81" s="12" t="n"/>
      <c r="V81" s="119">
        <f>IF($D81="","",IF($T81="",1,$T81)*0.1)</f>
        <v/>
      </c>
      <c r="W81" s="11" t="n"/>
      <c r="X81" s="12" t="n"/>
      <c r="Y81" s="115" t="n"/>
      <c r="Z81" s="127" t="n"/>
      <c r="AA81" s="11" t="n"/>
      <c r="AB81" s="11" t="n"/>
      <c r="AC81" s="11" t="n"/>
      <c r="AD81" s="11" t="n"/>
      <c r="AE81" s="11" t="n"/>
      <c r="AF81" s="11" t="n"/>
      <c r="AG81" s="11" t="n"/>
      <c r="AH81" s="11" t="n"/>
      <c r="AI81" s="11" t="n"/>
      <c r="AJ81" s="11" t="n"/>
      <c r="AK81" s="11" t="n"/>
      <c r="AL81" s="11" t="n"/>
      <c r="AM81" s="11" t="n"/>
      <c r="AN81" s="11" t="n"/>
      <c r="AO81" s="12" t="n"/>
      <c r="AP81" s="119" t="n"/>
      <c r="AQ81" s="12" t="n"/>
      <c r="AR81" s="119">
        <f>IF($Z81="","",IF($AP81="",1,$AP81)*0.1)</f>
        <v/>
      </c>
      <c r="AS81" s="11" t="n"/>
      <c r="AT81" s="12" t="n"/>
      <c r="AU81" s="115" t="n"/>
      <c r="AV81" s="115" t="n"/>
      <c r="AW81" s="119">
        <f>IF(DADOS!$CZ$45=14,"▸ 14",14)</f>
        <v/>
      </c>
      <c r="AX81" s="119" t="inlineStr">
        <is>
          <t>1.100</t>
        </is>
      </c>
      <c r="AY81" s="12" t="n"/>
      <c r="AZ81" s="119" t="inlineStr">
        <is>
          <t>7.100</t>
        </is>
      </c>
      <c r="BA81" s="12" t="n"/>
      <c r="BB81" s="115" t="n"/>
      <c r="BC81" s="119">
        <f>IF(DADOS!$CZ$45=29,"▸ 29",29)</f>
        <v/>
      </c>
      <c r="BD81" s="119" t="inlineStr">
        <is>
          <t>1.700</t>
        </is>
      </c>
      <c r="BE81" s="12" t="n"/>
      <c r="BF81" s="119" t="inlineStr">
        <is>
          <t>29.000</t>
        </is>
      </c>
      <c r="BG81" s="12" t="n"/>
      <c r="BH81" s="115" t="n"/>
      <c r="BI81" s="115" t="n"/>
      <c r="BJ81" s="115" t="n"/>
      <c r="BK81" s="115" t="n"/>
      <c r="BL81" s="115" t="n"/>
      <c r="BM81" s="115" t="n"/>
      <c r="BN81" s="115" t="n"/>
      <c r="BO81" s="115" t="n"/>
      <c r="BP81" s="115" t="n"/>
      <c r="BQ81" s="115" t="n"/>
      <c r="BR81" s="115" t="n"/>
      <c r="BS81" s="115" t="n"/>
      <c r="BT81" s="115" t="n"/>
    </row>
    <row r="82">
      <c r="A82" s="8" t="n"/>
      <c r="B82" s="22" t="n"/>
      <c r="C82" s="115" t="n"/>
      <c r="D82" s="127" t="n"/>
      <c r="E82" s="11" t="n"/>
      <c r="F82" s="11" t="n"/>
      <c r="G82" s="11" t="n"/>
      <c r="H82" s="11" t="n"/>
      <c r="I82" s="11" t="n"/>
      <c r="J82" s="11" t="n"/>
      <c r="K82" s="11" t="n"/>
      <c r="L82" s="11" t="n"/>
      <c r="M82" s="11" t="n"/>
      <c r="N82" s="11" t="n"/>
      <c r="O82" s="11" t="n"/>
      <c r="P82" s="11" t="n"/>
      <c r="Q82" s="11" t="n"/>
      <c r="R82" s="11" t="n"/>
      <c r="S82" s="12" t="n"/>
      <c r="T82" s="119" t="n"/>
      <c r="U82" s="12" t="n"/>
      <c r="V82" s="119">
        <f>IF($D82="","",IF($T82="",1,$T82)*0.1)</f>
        <v/>
      </c>
      <c r="W82" s="11" t="n"/>
      <c r="X82" s="12" t="n"/>
      <c r="Y82" s="115" t="n"/>
      <c r="Z82" s="127" t="n"/>
      <c r="AA82" s="11" t="n"/>
      <c r="AB82" s="11" t="n"/>
      <c r="AC82" s="11" t="n"/>
      <c r="AD82" s="11" t="n"/>
      <c r="AE82" s="11" t="n"/>
      <c r="AF82" s="11" t="n"/>
      <c r="AG82" s="11" t="n"/>
      <c r="AH82" s="11" t="n"/>
      <c r="AI82" s="11" t="n"/>
      <c r="AJ82" s="11" t="n"/>
      <c r="AK82" s="11" t="n"/>
      <c r="AL82" s="11" t="n"/>
      <c r="AM82" s="11" t="n"/>
      <c r="AN82" s="11" t="n"/>
      <c r="AO82" s="12" t="n"/>
      <c r="AP82" s="119" t="n"/>
      <c r="AQ82" s="12" t="n"/>
      <c r="AR82" s="119">
        <f>IF($Z82="","",IF($AP82="",1,$AP82)*0.1)</f>
        <v/>
      </c>
      <c r="AS82" s="11" t="n"/>
      <c r="AT82" s="12" t="n"/>
      <c r="AU82" s="115" t="n"/>
      <c r="AV82" s="115" t="n"/>
      <c r="AW82" s="119">
        <f>IF(DADOS!$CZ$45=15,"▸ 15",15)</f>
        <v/>
      </c>
      <c r="AX82" s="119" t="inlineStr">
        <is>
          <t>1.100</t>
        </is>
      </c>
      <c r="AY82" s="12" t="n"/>
      <c r="AZ82" s="119" t="inlineStr">
        <is>
          <t>8.200</t>
        </is>
      </c>
      <c r="BA82" s="12" t="n"/>
      <c r="BB82" s="115" t="n"/>
      <c r="BC82" s="119">
        <f>IF(DADOS!$CZ$45=30,"▸ 30",30)</f>
        <v/>
      </c>
      <c r="BD82" s="119" t="inlineStr">
        <is>
          <t>—</t>
        </is>
      </c>
      <c r="BE82" s="12" t="n"/>
      <c r="BF82" s="119" t="inlineStr">
        <is>
          <t>30.700</t>
        </is>
      </c>
      <c r="BG82" s="12" t="n"/>
      <c r="BH82" s="115" t="n"/>
      <c r="BI82" s="115" t="n"/>
      <c r="BJ82" s="115" t="n"/>
      <c r="BK82" s="115" t="n"/>
      <c r="BL82" s="115" t="n"/>
      <c r="BM82" s="115" t="n"/>
      <c r="BN82" s="115" t="n"/>
      <c r="BO82" s="115" t="n"/>
      <c r="BP82" s="115" t="n"/>
      <c r="BQ82" s="115" t="n"/>
      <c r="BR82" s="115" t="n"/>
      <c r="BS82" s="115" t="n"/>
      <c r="BT82" s="115" t="n"/>
    </row>
    <row r="83">
      <c r="A83" s="8" t="n"/>
      <c r="B83" s="22" t="n"/>
      <c r="C83" s="115" t="n"/>
      <c r="D83" s="127" t="n"/>
      <c r="E83" s="11" t="n"/>
      <c r="F83" s="11" t="n"/>
      <c r="G83" s="11" t="n"/>
      <c r="H83" s="11" t="n"/>
      <c r="I83" s="11" t="n"/>
      <c r="J83" s="11" t="n"/>
      <c r="K83" s="11" t="n"/>
      <c r="L83" s="11" t="n"/>
      <c r="M83" s="11" t="n"/>
      <c r="N83" s="11" t="n"/>
      <c r="O83" s="11" t="n"/>
      <c r="P83" s="11" t="n"/>
      <c r="Q83" s="11" t="n"/>
      <c r="R83" s="11" t="n"/>
      <c r="S83" s="12" t="n"/>
      <c r="T83" s="119" t="n"/>
      <c r="U83" s="12" t="n"/>
      <c r="V83" s="119">
        <f>IF($D83="","",IF($T83="",1,$T83)*0.1)</f>
        <v/>
      </c>
      <c r="W83" s="11" t="n"/>
      <c r="X83" s="12" t="n"/>
      <c r="Y83" s="115" t="n"/>
      <c r="Z83" s="127" t="n"/>
      <c r="AA83" s="11" t="n"/>
      <c r="AB83" s="11" t="n"/>
      <c r="AC83" s="11" t="n"/>
      <c r="AD83" s="11" t="n"/>
      <c r="AE83" s="11" t="n"/>
      <c r="AF83" s="11" t="n"/>
      <c r="AG83" s="11" t="n"/>
      <c r="AH83" s="11" t="n"/>
      <c r="AI83" s="11" t="n"/>
      <c r="AJ83" s="11" t="n"/>
      <c r="AK83" s="11" t="n"/>
      <c r="AL83" s="11" t="n"/>
      <c r="AM83" s="11" t="n"/>
      <c r="AN83" s="11" t="n"/>
      <c r="AO83" s="12" t="n"/>
      <c r="AP83" s="119" t="n"/>
      <c r="AQ83" s="12" t="n"/>
      <c r="AR83" s="119">
        <f>IF($Z83="","",IF($AP83="",1,$AP83)*0.1)</f>
        <v/>
      </c>
      <c r="AS83" s="11" t="n"/>
      <c r="AT83" s="12" t="n"/>
      <c r="AU83" s="115" t="n"/>
      <c r="AV83" s="115" t="n"/>
      <c r="AW83" s="119">
        <f>IF(DADOS!$CZ$45=16,"▸ 16",16)</f>
        <v/>
      </c>
      <c r="AX83" s="119" t="inlineStr">
        <is>
          <t>1.100</t>
        </is>
      </c>
      <c r="AY83" s="12" t="n"/>
      <c r="AZ83" s="119" t="inlineStr">
        <is>
          <t>9.300</t>
        </is>
      </c>
      <c r="BA83" s="12" t="n"/>
      <c r="BB83" s="115" t="n"/>
      <c r="BC83" s="115" t="n"/>
      <c r="BD83" s="115" t="n"/>
      <c r="BE83" s="115" t="n"/>
      <c r="BF83" s="115" t="n"/>
      <c r="BG83" s="115" t="n"/>
      <c r="BH83" s="115" t="n"/>
      <c r="BI83" s="115" t="n"/>
      <c r="BJ83" s="115" t="n"/>
      <c r="BK83" s="115" t="n"/>
      <c r="BL83" s="115" t="n"/>
      <c r="BM83" s="115" t="n"/>
      <c r="BN83" s="115" t="n"/>
      <c r="BO83" s="115" t="n"/>
      <c r="BP83" s="115" t="n"/>
      <c r="BQ83" s="115" t="n"/>
      <c r="BR83" s="115" t="n"/>
      <c r="BS83" s="115" t="n"/>
      <c r="BT83" s="115" t="n"/>
    </row>
    <row r="84">
      <c r="A84" s="8" t="n"/>
      <c r="B84" s="22" t="n"/>
      <c r="C84" s="115" t="n"/>
      <c r="D84" s="127" t="n"/>
      <c r="E84" s="11" t="n"/>
      <c r="F84" s="11" t="n"/>
      <c r="G84" s="11" t="n"/>
      <c r="H84" s="11" t="n"/>
      <c r="I84" s="11" t="n"/>
      <c r="J84" s="11" t="n"/>
      <c r="K84" s="11" t="n"/>
      <c r="L84" s="11" t="n"/>
      <c r="M84" s="11" t="n"/>
      <c r="N84" s="11" t="n"/>
      <c r="O84" s="11" t="n"/>
      <c r="P84" s="11" t="n"/>
      <c r="Q84" s="11" t="n"/>
      <c r="R84" s="11" t="n"/>
      <c r="S84" s="12" t="n"/>
      <c r="T84" s="119" t="n"/>
      <c r="U84" s="12" t="n"/>
      <c r="V84" s="119">
        <f>IF($D84="","",IF($T84="",1,$T84)*0.1)</f>
        <v/>
      </c>
      <c r="W84" s="11" t="n"/>
      <c r="X84" s="12" t="n"/>
      <c r="Y84" s="115" t="n"/>
      <c r="Z84" s="127" t="n"/>
      <c r="AA84" s="11" t="n"/>
      <c r="AB84" s="11" t="n"/>
      <c r="AC84" s="11" t="n"/>
      <c r="AD84" s="11" t="n"/>
      <c r="AE84" s="11" t="n"/>
      <c r="AF84" s="11" t="n"/>
      <c r="AG84" s="11" t="n"/>
      <c r="AH84" s="11" t="n"/>
      <c r="AI84" s="11" t="n"/>
      <c r="AJ84" s="11" t="n"/>
      <c r="AK84" s="11" t="n"/>
      <c r="AL84" s="11" t="n"/>
      <c r="AM84" s="11" t="n"/>
      <c r="AN84" s="11" t="n"/>
      <c r="AO84" s="12" t="n"/>
      <c r="AP84" s="119" t="n"/>
      <c r="AQ84" s="12" t="n"/>
      <c r="AR84" s="119">
        <f>IF($Z84="","",IF($AP84="",1,$AP84)*0.1)</f>
        <v/>
      </c>
      <c r="AS84" s="11" t="n"/>
      <c r="AT84" s="12" t="n"/>
      <c r="AU84" s="115" t="n"/>
      <c r="AV84" s="115" t="n"/>
      <c r="AW84" s="115" t="n"/>
      <c r="AX84" s="115" t="n"/>
      <c r="AY84" s="115" t="n"/>
      <c r="AZ84" s="115" t="n"/>
      <c r="BA84" s="115" t="n"/>
      <c r="BB84" s="115" t="n"/>
      <c r="BC84" s="115" t="n"/>
      <c r="BD84" s="115" t="n"/>
      <c r="BE84" s="115" t="n"/>
      <c r="BF84" s="115" t="n"/>
      <c r="BG84" s="115" t="n"/>
      <c r="BH84" s="115" t="n"/>
      <c r="BI84" s="115" t="n"/>
      <c r="BJ84" s="115" t="n"/>
      <c r="BK84" s="115" t="n"/>
      <c r="BL84" s="115" t="n"/>
      <c r="BM84" s="115" t="n"/>
      <c r="BN84" s="115" t="n"/>
      <c r="BO84" s="115" t="n"/>
      <c r="BP84" s="115" t="n"/>
      <c r="BQ84" s="115" t="n"/>
      <c r="BR84" s="115" t="n"/>
      <c r="BS84" s="115" t="n"/>
      <c r="BT84" s="115" t="n"/>
    </row>
    <row r="85">
      <c r="A85" s="8" t="n"/>
      <c r="B85" s="22" t="n"/>
      <c r="C85" s="115" t="n"/>
      <c r="D85" s="127" t="n"/>
      <c r="E85" s="11" t="n"/>
      <c r="F85" s="11" t="n"/>
      <c r="G85" s="11" t="n"/>
      <c r="H85" s="11" t="n"/>
      <c r="I85" s="11" t="n"/>
      <c r="J85" s="11" t="n"/>
      <c r="K85" s="11" t="n"/>
      <c r="L85" s="11" t="n"/>
      <c r="M85" s="11" t="n"/>
      <c r="N85" s="11" t="n"/>
      <c r="O85" s="11" t="n"/>
      <c r="P85" s="11" t="n"/>
      <c r="Q85" s="11" t="n"/>
      <c r="R85" s="11" t="n"/>
      <c r="S85" s="12" t="n"/>
      <c r="T85" s="119" t="n"/>
      <c r="U85" s="12" t="n"/>
      <c r="V85" s="119">
        <f>IF($D85="","",IF($T85="",1,$T85)*0.1)</f>
        <v/>
      </c>
      <c r="W85" s="11" t="n"/>
      <c r="X85" s="12" t="n"/>
      <c r="Y85" s="115" t="n"/>
      <c r="Z85" s="127" t="n"/>
      <c r="AA85" s="11" t="n"/>
      <c r="AB85" s="11" t="n"/>
      <c r="AC85" s="11" t="n"/>
      <c r="AD85" s="11" t="n"/>
      <c r="AE85" s="11" t="n"/>
      <c r="AF85" s="11" t="n"/>
      <c r="AG85" s="11" t="n"/>
      <c r="AH85" s="11" t="n"/>
      <c r="AI85" s="11" t="n"/>
      <c r="AJ85" s="11" t="n"/>
      <c r="AK85" s="11" t="n"/>
      <c r="AL85" s="11" t="n"/>
      <c r="AM85" s="11" t="n"/>
      <c r="AN85" s="11" t="n"/>
      <c r="AO85" s="12" t="n"/>
      <c r="AP85" s="119" t="n"/>
      <c r="AQ85" s="12" t="n"/>
      <c r="AR85" s="119">
        <f>IF($Z85="","",IF($AP85="",1,$AP85)*0.1)</f>
        <v/>
      </c>
      <c r="AS85" s="11" t="n"/>
      <c r="AT85" s="12" t="n"/>
      <c r="AU85" s="115" t="n"/>
      <c r="AV85" s="115" t="n"/>
      <c r="AW85" s="115" t="n"/>
      <c r="AX85" s="115" t="n"/>
      <c r="AY85" s="115" t="n"/>
      <c r="AZ85" s="115" t="n"/>
      <c r="BA85" s="115" t="n"/>
      <c r="BB85" s="115" t="n"/>
      <c r="BC85" s="115" t="n"/>
      <c r="BD85" s="115" t="n"/>
      <c r="BE85" s="115" t="n"/>
      <c r="BF85" s="115" t="n"/>
      <c r="BG85" s="115" t="n"/>
      <c r="BH85" s="115" t="n"/>
      <c r="BI85" s="115" t="n"/>
      <c r="BJ85" s="115" t="n"/>
      <c r="BK85" s="115" t="n"/>
      <c r="BL85" s="115" t="n"/>
      <c r="BM85" s="115" t="n"/>
      <c r="BN85" s="115" t="n"/>
      <c r="BO85" s="115" t="n"/>
      <c r="BP85" s="115" t="n"/>
      <c r="BQ85" s="115" t="n"/>
      <c r="BR85" s="115" t="n"/>
      <c r="BS85" s="115" t="n"/>
      <c r="BT85" s="115" t="n"/>
    </row>
    <row r="86">
      <c r="A86" s="8" t="n"/>
      <c r="B86" s="22" t="n"/>
      <c r="C86" s="115" t="n"/>
      <c r="D86" s="127" t="n"/>
      <c r="E86" s="11" t="n"/>
      <c r="F86" s="11" t="n"/>
      <c r="G86" s="11" t="n"/>
      <c r="H86" s="11" t="n"/>
      <c r="I86" s="11" t="n"/>
      <c r="J86" s="11" t="n"/>
      <c r="K86" s="11" t="n"/>
      <c r="L86" s="11" t="n"/>
      <c r="M86" s="11" t="n"/>
      <c r="N86" s="11" t="n"/>
      <c r="O86" s="11" t="n"/>
      <c r="P86" s="11" t="n"/>
      <c r="Q86" s="11" t="n"/>
      <c r="R86" s="11" t="n"/>
      <c r="S86" s="12" t="n"/>
      <c r="T86" s="119" t="n"/>
      <c r="U86" s="12" t="n"/>
      <c r="V86" s="119">
        <f>IF($D86="","",IF($T86="",1,$T86)*0.1)</f>
        <v/>
      </c>
      <c r="W86" s="11" t="n"/>
      <c r="X86" s="12" t="n"/>
      <c r="Y86" s="115" t="n"/>
      <c r="Z86" s="127" t="n"/>
      <c r="AA86" s="11" t="n"/>
      <c r="AB86" s="11" t="n"/>
      <c r="AC86" s="11" t="n"/>
      <c r="AD86" s="11" t="n"/>
      <c r="AE86" s="11" t="n"/>
      <c r="AF86" s="11" t="n"/>
      <c r="AG86" s="11" t="n"/>
      <c r="AH86" s="11" t="n"/>
      <c r="AI86" s="11" t="n"/>
      <c r="AJ86" s="11" t="n"/>
      <c r="AK86" s="11" t="n"/>
      <c r="AL86" s="11" t="n"/>
      <c r="AM86" s="11" t="n"/>
      <c r="AN86" s="11" t="n"/>
      <c r="AO86" s="12" t="n"/>
      <c r="AP86" s="119" t="n"/>
      <c r="AQ86" s="12" t="n"/>
      <c r="AR86" s="119">
        <f>IF($Z86="","",IF($AP86="",1,$AP86)*0.1)</f>
        <v/>
      </c>
      <c r="AS86" s="11" t="n"/>
      <c r="AT86" s="12" t="n"/>
      <c r="AU86" s="115" t="n"/>
      <c r="AV86" s="115" t="n"/>
      <c r="AW86" s="115" t="n"/>
      <c r="AX86" s="115" t="n"/>
      <c r="AY86" s="115" t="n"/>
      <c r="AZ86" s="115" t="n"/>
      <c r="BA86" s="115" t="n"/>
      <c r="BB86" s="115" t="n"/>
      <c r="BC86" s="115" t="n"/>
      <c r="BD86" s="115" t="n"/>
      <c r="BE86" s="115" t="n"/>
      <c r="BF86" s="115" t="n"/>
      <c r="BG86" s="115" t="n"/>
      <c r="BH86" s="115" t="n"/>
      <c r="BI86" s="115" t="n"/>
      <c r="BJ86" s="115" t="n"/>
      <c r="BK86" s="115" t="n"/>
      <c r="BL86" s="115" t="n"/>
      <c r="BM86" s="115" t="n"/>
      <c r="BN86" s="115" t="n"/>
      <c r="BO86" s="115" t="n"/>
      <c r="BP86" s="115" t="n"/>
      <c r="BQ86" s="115" t="n"/>
      <c r="BR86" s="115" t="n"/>
      <c r="BS86" s="115" t="n"/>
      <c r="BT86" s="115" t="n"/>
    </row>
    <row r="87">
      <c r="A87" s="8" t="n"/>
      <c r="B87" s="22" t="n"/>
      <c r="C87" s="115" t="n"/>
      <c r="D87" s="115" t="n"/>
      <c r="E87" s="115" t="n"/>
      <c r="F87" s="115" t="n"/>
      <c r="G87" s="115" t="n"/>
      <c r="H87" s="115" t="n"/>
      <c r="I87" s="115" t="n"/>
      <c r="J87" s="115" t="n"/>
      <c r="K87" s="115" t="n"/>
      <c r="L87" s="115" t="n"/>
      <c r="M87" s="115" t="n"/>
      <c r="N87" s="115" t="n"/>
      <c r="O87" s="115" t="n"/>
      <c r="P87" s="115" t="n"/>
      <c r="Q87" s="115" t="n"/>
      <c r="R87" s="115" t="n"/>
      <c r="S87" s="115" t="n"/>
      <c r="T87" s="115" t="n"/>
      <c r="U87" s="115" t="n"/>
      <c r="V87" s="115" t="n"/>
      <c r="W87" s="115" t="n"/>
      <c r="X87" s="115" t="n"/>
      <c r="Y87" s="115" t="n"/>
      <c r="Z87" s="115" t="n"/>
      <c r="AA87" s="115" t="n"/>
      <c r="AB87" s="115" t="n"/>
      <c r="AC87" s="115" t="n"/>
      <c r="AD87" s="115" t="n"/>
      <c r="AE87" s="115" t="n"/>
      <c r="AF87" s="115" t="n"/>
      <c r="AG87" s="115" t="n"/>
      <c r="AH87" s="115" t="n"/>
      <c r="AI87" s="115" t="n"/>
      <c r="AJ87" s="115" t="n"/>
      <c r="AK87" s="115" t="n"/>
      <c r="AL87" s="115" t="n"/>
      <c r="AM87" s="115" t="n"/>
      <c r="AN87" s="115" t="n"/>
      <c r="AO87" s="115" t="n"/>
      <c r="AP87" s="115" t="n"/>
      <c r="AQ87" s="115" t="n"/>
      <c r="AR87" s="115" t="n"/>
      <c r="AS87" s="115" t="n"/>
      <c r="AT87" s="115" t="n"/>
      <c r="AU87" s="115" t="n"/>
      <c r="AV87" s="115" t="n"/>
      <c r="AW87" s="115" t="n"/>
      <c r="AX87" s="115" t="n"/>
      <c r="AY87" s="115" t="n"/>
      <c r="AZ87" s="115" t="n"/>
      <c r="BA87" s="115" t="n"/>
      <c r="BB87" s="115" t="n"/>
      <c r="BC87" s="115" t="n"/>
      <c r="BD87" s="115" t="n"/>
      <c r="BE87" s="115" t="n"/>
      <c r="BF87" s="115" t="n"/>
      <c r="BG87" s="115" t="n"/>
      <c r="BH87" s="115" t="n"/>
      <c r="BI87" s="115" t="n"/>
      <c r="BJ87" s="115" t="n"/>
      <c r="BK87" s="115" t="n"/>
      <c r="BL87" s="115" t="n"/>
      <c r="BM87" s="115" t="n"/>
      <c r="BN87" s="115" t="n"/>
      <c r="BO87" s="115" t="n"/>
      <c r="BP87" s="115" t="n"/>
      <c r="BQ87" s="115" t="n"/>
      <c r="BR87" s="115" t="n"/>
      <c r="BS87" s="115" t="n"/>
      <c r="BT87" s="115"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DADOS!$CR$5:$CR$9</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DADOS!$CR$5:$CR$9</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DADOS!$CR$5:$CR$9</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DADOS!$CR$5:$CR$9</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37" t="inlineStr">
        <is>
          <t>VERSÃO DO CATÁLOGO</t>
        </is>
      </c>
      <c r="B1" s="138" t="inlineStr">
        <is>
          <t>0.258</t>
        </is>
      </c>
      <c r="C1" s="117" t="inlineStr">
        <is>
          <t>versão corrente (puxada da central)</t>
        </is>
      </c>
      <c r="D1" s="138" t="inlineStr">
        <is>
          <t>0.258</t>
        </is>
      </c>
      <c r="E1" s="38" t="inlineStr">
        <is>
          <t>NOME DO SISTEMA</t>
        </is>
      </c>
      <c r="F1" s="38" t="inlineStr">
        <is>
          <t>Projeto M</t>
        </is>
      </c>
      <c r="G1" s="38" t="n"/>
      <c r="H1" s="38" t="n"/>
      <c r="I1" s="38" t="n"/>
      <c r="J1" s="38" t="n"/>
      <c r="K1" s="38" t="n"/>
      <c r="L1" s="38" t="n"/>
      <c r="M1" s="38" t="n"/>
      <c r="N1" s="38" t="n"/>
      <c r="O1" s="38" t="n"/>
      <c r="P1" s="38" t="n"/>
      <c r="Q1" s="38" t="n"/>
      <c r="R1" s="38" t="n"/>
      <c r="S1" s="38" t="n"/>
      <c r="T1" s="38" t="n"/>
      <c r="U1" s="38" t="n"/>
      <c r="V1" s="38" t="n"/>
      <c r="W1" s="38" t="n"/>
      <c r="X1" s="38" t="n"/>
      <c r="Y1" s="38" t="n"/>
      <c r="Z1" s="38" t="n"/>
      <c r="AA1" s="38" t="n"/>
      <c r="AB1" s="38" t="n"/>
      <c r="AC1" s="38" t="n"/>
      <c r="AD1" s="38" t="n"/>
      <c r="AE1" s="38" t="n"/>
      <c r="AF1" s="38" t="n"/>
      <c r="AG1" s="38" t="n"/>
      <c r="AH1" s="38" t="n"/>
      <c r="AI1" s="38" t="n"/>
      <c r="AJ1" s="38" t="n"/>
      <c r="AK1" s="38" t="n"/>
      <c r="AL1" s="38" t="n"/>
      <c r="AM1" s="38" t="n"/>
      <c r="AN1" s="38" t="n"/>
      <c r="AO1" s="38" t="n"/>
      <c r="AP1" s="38" t="n"/>
      <c r="AQ1" s="38" t="n"/>
      <c r="AR1" s="38" t="n"/>
      <c r="AS1" s="38" t="n"/>
      <c r="AT1" s="38" t="n"/>
      <c r="AU1" s="38" t="n"/>
      <c r="AV1" s="38" t="n"/>
      <c r="AW1" s="38" t="n"/>
      <c r="AX1" s="38" t="n"/>
      <c r="AY1" s="38" t="n"/>
      <c r="AZ1" s="38" t="n"/>
      <c r="BA1" s="38" t="n"/>
      <c r="BB1" s="38" t="n"/>
    </row>
    <row r="2">
      <c r="A2" s="117" t="inlineStr">
        <is>
          <t>cole aqui o IMPORTRANGE da central em D1 quando ela existir; enquanto não existir, D1 fica igual a B1 e o aviso some</t>
        </is>
      </c>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c r="AA2" s="38" t="n"/>
      <c r="AB2" s="38" t="n"/>
      <c r="AC2" s="38" t="n"/>
      <c r="AD2" s="38" t="n"/>
      <c r="AE2" s="38" t="n"/>
      <c r="AF2" s="38" t="n"/>
      <c r="AG2" s="38" t="n"/>
      <c r="AH2" s="38" t="n"/>
      <c r="AI2" s="38" t="n"/>
      <c r="AJ2" s="38" t="n"/>
      <c r="AK2" s="38" t="n"/>
      <c r="AL2" s="38" t="n"/>
      <c r="AM2" s="38" t="n"/>
      <c r="AN2" s="38" t="n"/>
      <c r="AO2" s="38" t="n"/>
      <c r="AP2" s="38" t="n"/>
      <c r="AQ2" s="38" t="n"/>
      <c r="AR2" s="38" t="n"/>
      <c r="AS2" s="38" t="n"/>
      <c r="AT2" s="38" t="n"/>
      <c r="AU2" s="38" t="n"/>
      <c r="AV2" s="38" t="n"/>
      <c r="AW2" s="38" t="n"/>
      <c r="AX2" s="38" t="n"/>
      <c r="AY2" s="38" t="n"/>
      <c r="AZ2" s="38" t="n"/>
      <c r="BA2" s="38" t="n"/>
      <c r="BB2" s="38" t="n"/>
    </row>
    <row r="3">
      <c r="A3" s="139" t="inlineStr">
        <is>
          <t>Caminhos</t>
        </is>
      </c>
      <c r="B3" s="139" t="inlineStr">
        <is>
          <t>Perícias</t>
        </is>
      </c>
      <c r="C3" s="139" t="inlineStr">
        <is>
          <t>Ofícios</t>
        </is>
      </c>
      <c r="D3" s="139" t="inlineStr">
        <is>
          <t>Famílias</t>
        </is>
      </c>
      <c r="E3" s="139" t="inlineStr">
        <is>
          <t>Formas</t>
        </is>
      </c>
      <c r="F3" s="139" t="inlineStr">
        <is>
          <t>Melhorias</t>
        </is>
      </c>
      <c r="G3" s="139" t="inlineStr">
        <is>
          <t>Restrições</t>
        </is>
      </c>
      <c r="H3" s="139" t="inlineStr">
        <is>
          <t>Condições</t>
        </is>
      </c>
      <c r="I3" s="139" t="inlineStr">
        <is>
          <t>Origens</t>
        </is>
      </c>
      <c r="J3" s="139" t="inlineStr">
        <is>
          <t>Testes</t>
        </is>
      </c>
      <c r="K3" s="139" t="inlineStr">
        <is>
          <t>Atributos</t>
        </is>
      </c>
      <c r="L3" s="139" t="inlineStr">
        <is>
          <t>Trilhas</t>
        </is>
      </c>
      <c r="M3" s="38" t="n"/>
      <c r="N3" s="139" t="inlineStr">
        <is>
          <t>tabela dos Caminhos</t>
        </is>
      </c>
      <c r="O3" s="38" t="n"/>
      <c r="P3" s="38" t="n"/>
      <c r="Q3" s="38" t="n"/>
      <c r="R3" s="38" t="n"/>
      <c r="S3" s="38" t="n"/>
      <c r="T3" s="38" t="n"/>
      <c r="U3" s="38" t="n"/>
      <c r="V3" s="38" t="n"/>
      <c r="W3" s="38" t="n"/>
      <c r="X3" s="38" t="n"/>
      <c r="Y3" s="38" t="n"/>
      <c r="Z3" s="38" t="n"/>
      <c r="AA3" s="38" t="n"/>
      <c r="AB3" s="38" t="n"/>
      <c r="AC3" s="38" t="n"/>
      <c r="AD3" s="38" t="n"/>
      <c r="AE3" s="38" t="n"/>
      <c r="AF3" s="38" t="n"/>
      <c r="AG3" s="38" t="n"/>
      <c r="AH3" s="38" t="n"/>
      <c r="AI3" s="38" t="n"/>
      <c r="AJ3" s="38" t="n"/>
      <c r="AK3" s="38" t="n"/>
      <c r="AL3" s="38" t="n"/>
      <c r="AM3" s="38" t="n"/>
      <c r="AN3" s="38" t="n"/>
      <c r="AO3" s="38" t="n"/>
      <c r="AP3" s="38" t="n"/>
      <c r="AQ3" s="38" t="n"/>
      <c r="AR3" s="38" t="n"/>
      <c r="AS3" s="38" t="n"/>
      <c r="AT3" s="38" t="n"/>
      <c r="AU3" s="38" t="n"/>
      <c r="AV3" s="38" t="n"/>
      <c r="AW3" s="38" t="n"/>
      <c r="AX3" s="38" t="n"/>
      <c r="AY3" s="38" t="n"/>
      <c r="AZ3" s="38" t="n"/>
      <c r="BA3" s="38" t="n"/>
      <c r="BB3" s="38" t="n"/>
    </row>
    <row r="4" ht="17.25" customHeight="1">
      <c r="A4" s="114" t="inlineStr">
        <is>
          <t>Bastião</t>
        </is>
      </c>
      <c r="B4" s="114" t="inlineStr">
        <is>
          <t>Atletismo</t>
        </is>
      </c>
      <c r="C4" s="114" t="inlineStr">
        <is>
          <t>Condução</t>
        </is>
      </c>
      <c r="D4" s="114" t="inlineStr">
        <is>
          <t>Alcance</t>
        </is>
      </c>
      <c r="E4" s="114" t="inlineStr">
        <is>
          <t>Projétil</t>
        </is>
      </c>
      <c r="F4" s="114" t="inlineStr">
        <is>
          <t>Longe</t>
        </is>
      </c>
      <c r="G4" s="114" t="inlineStr">
        <is>
          <t>Corpo a Corpo</t>
        </is>
      </c>
      <c r="H4" s="114" t="inlineStr">
        <is>
          <t>Lento</t>
        </is>
      </c>
      <c r="I4" s="114" t="inlineStr">
        <is>
          <t>Latente</t>
        </is>
      </c>
      <c r="J4" s="114" t="inlineStr">
        <is>
          <t>Físico</t>
        </is>
      </c>
      <c r="K4" s="114" t="inlineStr">
        <is>
          <t>Força</t>
        </is>
      </c>
      <c r="L4" s="114" t="inlineStr">
        <is>
          <t>Muro</t>
        </is>
      </c>
      <c r="M4" s="38" t="n"/>
      <c r="N4" s="140" t="inlineStr">
        <is>
          <t>Caminho</t>
        </is>
      </c>
      <c r="O4" s="140" t="inlineStr">
        <is>
          <t>dado</t>
        </is>
      </c>
      <c r="P4" s="140" t="inlineStr">
        <is>
          <t>vida inicial</t>
        </is>
      </c>
      <c r="Q4" s="140" t="inlineStr">
        <is>
          <t>vida por nível</t>
        </is>
      </c>
      <c r="R4" s="140" t="inlineStr">
        <is>
          <t>PE por nível</t>
        </is>
      </c>
      <c r="S4" s="140" t="inlineStr">
        <is>
          <t>perícia fixa 1</t>
        </is>
      </c>
      <c r="T4" s="140" t="inlineStr">
        <is>
          <t>perícia fixa 2</t>
        </is>
      </c>
      <c r="U4" s="140" t="n"/>
      <c r="V4" s="38" t="n"/>
      <c r="W4" s="140" t="inlineStr">
        <is>
          <t>marcos</t>
        </is>
      </c>
      <c r="X4" s="140" t="inlineStr">
        <is>
          <t>maestria</t>
        </is>
      </c>
      <c r="Y4" s="140" t="inlineStr">
        <is>
          <t>classe</t>
        </is>
      </c>
      <c r="Z4" s="140" t="inlineStr">
        <is>
          <t>classe 0</t>
        </is>
      </c>
      <c r="AA4" s="38" t="n"/>
      <c r="AB4" s="140" t="inlineStr">
        <is>
          <t>perícia</t>
        </is>
      </c>
      <c r="AC4" s="140" t="inlineStr">
        <is>
          <t>atributo</t>
        </is>
      </c>
      <c r="AD4" s="38" t="n"/>
      <c r="AE4" s="140" t="inlineStr">
        <is>
          <t>equipamento</t>
        </is>
      </c>
      <c r="AF4" s="140" t="inlineStr">
        <is>
          <t>proteção</t>
        </is>
      </c>
      <c r="AG4" s="140" t="inlineStr">
        <is>
          <t>teto de destreza</t>
        </is>
      </c>
      <c r="AH4" s="140" t="inlineStr">
        <is>
          <t>desliga a passiva</t>
        </is>
      </c>
      <c r="AI4" s="38" t="n"/>
      <c r="AJ4" s="140" t="inlineStr">
        <is>
          <t>contas da ficha</t>
        </is>
      </c>
      <c r="AK4" s="140" t="inlineStr">
        <is>
          <t>valor</t>
        </is>
      </c>
      <c r="AL4" s="38" t="n"/>
      <c r="AM4" s="140" t="inlineStr">
        <is>
          <t>menu de Caminho</t>
        </is>
      </c>
      <c r="AN4" s="140" t="inlineStr">
        <is>
          <t>Trilha</t>
        </is>
      </c>
      <c r="AO4" s="140" t="inlineStr">
        <is>
          <t>Caminho da Trilha</t>
        </is>
      </c>
      <c r="AP4" s="140" t="inlineStr">
        <is>
          <t>menu de Trilha</t>
        </is>
      </c>
      <c r="AQ4" s="140" t="inlineStr">
        <is>
          <t>nível</t>
        </is>
      </c>
      <c r="AR4" s="140" t="inlineStr">
        <is>
          <t>xp acumulado</t>
        </is>
      </c>
      <c r="AS4" s="38" t="n"/>
      <c r="AT4" s="38" t="n"/>
      <c r="AU4" s="38" t="n"/>
      <c r="AV4" s="38" t="n"/>
      <c r="AW4" s="38" t="n"/>
      <c r="AX4" s="38" t="n"/>
      <c r="AY4" s="38" t="n"/>
      <c r="AZ4" s="38" t="n"/>
      <c r="BA4" s="140" t="inlineStr">
        <is>
          <t>campo</t>
        </is>
      </c>
      <c r="BB4" s="140" t="inlineStr">
        <is>
          <t>célula</t>
        </is>
      </c>
      <c r="BD4" s="140" t="inlineStr">
        <is>
          <t>equipável</t>
        </is>
      </c>
      <c r="BE4" s="140" t="inlineStr">
        <is>
          <t>categoria do equipável</t>
        </is>
      </c>
      <c r="BF4" s="140" t="inlineStr">
        <is>
          <t>mão do equipável</t>
        </is>
      </c>
      <c r="BG4" s="140" t="inlineStr">
        <is>
          <t>dado do equipável</t>
        </is>
      </c>
      <c r="BH4" s="140" t="inlineStr">
        <is>
          <t>propriedades do equipável</t>
        </is>
      </c>
      <c r="BI4" s="140" t="inlineStr">
        <is>
          <t>força do equipável</t>
        </is>
      </c>
      <c r="BJ4" s="140" t="inlineStr">
        <is>
          <t>volume do equipável</t>
        </is>
      </c>
      <c r="BK4" s="140" t="inlineStr">
        <is>
          <t>alcance do equipável</t>
        </is>
      </c>
      <c r="BL4" s="140" t="inlineStr">
        <is>
          <t>recarga do equipável</t>
        </is>
      </c>
      <c r="BM4" s="140" t="inlineStr">
        <is>
          <t>treino marcado</t>
        </is>
      </c>
      <c r="BN4" s="140" t="inlineStr">
        <is>
          <t>caixa do treino</t>
        </is>
      </c>
      <c r="BP4" s="140" t="inlineStr">
        <is>
          <t>categoria de arma</t>
        </is>
      </c>
      <c r="BQ4" s="140" t="inlineStr">
        <is>
          <t>lista de treino</t>
        </is>
      </c>
      <c r="BR4" s="140" t="inlineStr">
        <is>
          <t>conjurador treina</t>
        </is>
      </c>
      <c r="BS4" s="140" t="inlineStr">
        <is>
          <t>grupo marcado</t>
        </is>
      </c>
      <c r="BT4" s="140" t="inlineStr">
        <is>
          <t>caixa do grupo</t>
        </is>
      </c>
      <c r="BV4" s="140" t="inlineStr">
        <is>
          <t>Caminho que treina todas as armas</t>
        </is>
      </c>
      <c r="BX4" s="140" t="inlineStr">
        <is>
          <t>uniforme</t>
        </is>
      </c>
      <c r="BY4" s="140" t="inlineStr">
        <is>
          <t>proteção do uniforme</t>
        </is>
      </c>
      <c r="BZ4" s="140" t="inlineStr">
        <is>
          <t>teto do uniforme</t>
        </is>
      </c>
      <c r="CA4" s="140" t="inlineStr">
        <is>
          <t>força do uniforme</t>
        </is>
      </c>
      <c r="CB4" s="140" t="inlineStr">
        <is>
          <t>volume do uniforme</t>
        </is>
      </c>
      <c r="CC4" s="140" t="inlineStr">
        <is>
          <t>ordem do grau mínimo</t>
        </is>
      </c>
      <c r="CD4" s="140" t="inlineStr">
        <is>
          <t>grau mínimo</t>
        </is>
      </c>
      <c r="CF4" s="140" t="inlineStr">
        <is>
          <t>patente</t>
        </is>
      </c>
      <c r="CG4" s="140" t="inlineStr">
        <is>
          <t>salário por mês</t>
        </is>
      </c>
      <c r="CH4" s="140" t="inlineStr">
        <is>
          <t>ordem da patente</t>
        </is>
      </c>
      <c r="CJ4" s="140" t="inlineStr">
        <is>
          <t>situação do traje</t>
        </is>
      </c>
      <c r="CL4" s="140" t="inlineStr">
        <is>
          <t>tipo de missão</t>
        </is>
      </c>
      <c r="CM4" s="140" t="inlineStr">
        <is>
          <t>xp do tipo</t>
        </is>
      </c>
      <c r="CO4" s="140" t="inlineStr">
        <is>
          <t>adicional da missão</t>
        </is>
      </c>
      <c r="CP4" s="140" t="inlineStr">
        <is>
          <t>multiplicador</t>
        </is>
      </c>
      <c r="CR4" s="140" t="inlineStr">
        <is>
          <t>desconto da missão</t>
        </is>
      </c>
      <c r="CS4" s="140" t="inlineStr">
        <is>
          <t>fração paga</t>
        </is>
      </c>
      <c r="CU4" s="140" t="inlineStr">
        <is>
          <t>grau da ferramenta</t>
        </is>
      </c>
      <c r="CW4" s="140" t="inlineStr">
        <is>
          <t>limiar do feito</t>
        </is>
      </c>
      <c r="CY4" s="140" t="inlineStr">
        <is>
          <t>contas da pessoal</t>
        </is>
      </c>
      <c r="CZ4" s="140" t="inlineStr">
        <is>
          <t>valor da pessoal</t>
        </is>
      </c>
      <c r="DB4" s="140" t="inlineStr">
        <is>
          <t>menu da mão principal</t>
        </is>
      </c>
      <c r="DD4" s="140" t="inlineStr">
        <is>
          <t>menu da mão secundária</t>
        </is>
      </c>
      <c r="DF4" s="140" t="inlineStr">
        <is>
          <t>menu do vestindo</t>
        </is>
      </c>
      <c r="DH4" s="140" t="inlineStr">
        <is>
          <t>propriedade de arma</t>
        </is>
      </c>
      <c r="DI4" s="140" t="inlineStr">
        <is>
          <t>o que a propriedade faz</t>
        </is>
      </c>
      <c r="DK4" s="140" t="inlineStr">
        <is>
          <t>nota viva</t>
        </is>
      </c>
      <c r="DL4" s="140" t="inlineStr">
        <is>
          <t>texto da nota</t>
        </is>
      </c>
      <c r="DM4" s="140" t="inlineStr">
        <is>
          <t>caixa da nota</t>
        </is>
      </c>
      <c r="DO4" s="140" t="inlineStr">
        <is>
          <t>campo pessoal</t>
        </is>
      </c>
      <c r="DP4" s="140" t="inlineStr">
        <is>
          <t>célula pessoal</t>
        </is>
      </c>
    </row>
    <row r="5" ht="17.25" customHeight="1">
      <c r="A5" s="114" t="inlineStr">
        <is>
          <t>Vanguarda</t>
        </is>
      </c>
      <c r="B5" s="114" t="inlineStr">
        <is>
          <t>Acrobacia</t>
        </is>
      </c>
      <c r="C5" s="114" t="inlineStr">
        <is>
          <t>Arrombamento</t>
        </is>
      </c>
      <c r="D5" s="114" t="inlineStr">
        <is>
          <t>Área</t>
        </is>
      </c>
      <c r="E5" s="114" t="inlineStr">
        <is>
          <t>Toque</t>
        </is>
      </c>
      <c r="F5" s="114" t="inlineStr">
        <is>
          <t>Muito Longe</t>
        </is>
      </c>
      <c r="G5" s="114" t="inlineStr">
        <is>
          <t>Atrasar</t>
        </is>
      </c>
      <c r="H5" s="114" t="inlineStr">
        <is>
          <t>Incapacitado</t>
        </is>
      </c>
      <c r="I5" s="114" t="inlineStr">
        <is>
          <t>Receptáculo</t>
        </is>
      </c>
      <c r="J5" s="114" t="inlineStr">
        <is>
          <t>Vigor</t>
        </is>
      </c>
      <c r="K5" s="114" t="inlineStr">
        <is>
          <t>Destreza</t>
        </is>
      </c>
      <c r="L5" s="114" t="inlineStr">
        <is>
          <t>Punho</t>
        </is>
      </c>
      <c r="M5" s="38" t="n"/>
      <c r="N5" s="114" t="inlineStr">
        <is>
          <t>Bastião</t>
        </is>
      </c>
      <c r="O5" s="114" t="inlineStr">
        <is>
          <t>d12</t>
        </is>
      </c>
      <c r="P5" s="114" t="n">
        <v>12</v>
      </c>
      <c r="Q5" s="114" t="n">
        <v>7</v>
      </c>
      <c r="R5" s="114" t="n">
        <v>4</v>
      </c>
      <c r="S5" s="114" t="inlineStr">
        <is>
          <t>Atletismo</t>
        </is>
      </c>
      <c r="T5" s="114" t="inlineStr">
        <is>
          <t>Intimidação</t>
        </is>
      </c>
      <c r="U5" s="114" t="n"/>
      <c r="V5" s="38" t="n"/>
      <c r="W5" s="141" t="n">
        <v>6</v>
      </c>
      <c r="X5" s="141" t="n">
        <v>10</v>
      </c>
      <c r="Y5" s="141" t="n">
        <v>1</v>
      </c>
      <c r="Z5" s="141" t="n">
        <v>5</v>
      </c>
      <c r="AA5" s="38" t="n"/>
      <c r="AB5" s="114" t="inlineStr">
        <is>
          <t>Atletismo</t>
        </is>
      </c>
      <c r="AC5" s="114" t="inlineStr">
        <is>
          <t>Força</t>
        </is>
      </c>
      <c r="AD5" s="38" t="n"/>
      <c r="AE5" s="114" t="inlineStr">
        <is>
          <t>Traje 1</t>
        </is>
      </c>
      <c r="AF5" s="141" t="n">
        <v>1</v>
      </c>
      <c r="AG5" s="141" t="inlineStr">
        <is>
          <t>—</t>
        </is>
      </c>
      <c r="AH5" s="141" t="inlineStr">
        <is>
          <t>sim</t>
        </is>
      </c>
      <c r="AI5" s="38" t="n"/>
      <c r="AJ5" s="114" t="inlineStr">
        <is>
          <t>marcos que já passou</t>
        </is>
      </c>
      <c r="AK5" s="141">
        <f>COUNTIF(DADOS!$W$5:$W$11,"&lt;="&amp;FICHA!$AH$11)</f>
        <v/>
      </c>
      <c r="AL5" s="38" t="n"/>
      <c r="AM5" s="114" t="inlineStr">
        <is>
          <t>Escolha seu Caminho</t>
        </is>
      </c>
      <c r="AN5" s="114">
        <f>$L$4</f>
        <v/>
      </c>
      <c r="AO5" s="114" t="inlineStr">
        <is>
          <t>Bastião</t>
        </is>
      </c>
      <c r="AP5" s="114" t="inlineStr">
        <is>
          <t>Escolha sua Trilha</t>
        </is>
      </c>
      <c r="AQ5" s="141" t="n">
        <v>2</v>
      </c>
      <c r="AR5" s="141" t="n">
        <v>0</v>
      </c>
      <c r="AS5" s="38" t="n"/>
      <c r="AT5" s="38" t="n"/>
      <c r="AU5" s="38" t="n"/>
      <c r="AV5" s="38" t="n"/>
      <c r="AW5" s="38" t="n"/>
      <c r="AX5" s="38" t="n"/>
      <c r="AY5" s="38" t="n"/>
      <c r="AZ5" s="38" t="n"/>
      <c r="BA5" s="114" t="inlineStr">
        <is>
          <t>nome</t>
        </is>
      </c>
      <c r="BB5" s="114">
        <f>ADDRESS(ROW(FICHA!AB2),COLUMN(FICHA!AB2),4)</f>
        <v/>
      </c>
      <c r="BD5" s="114" t="inlineStr">
        <is>
          <t>Bastão</t>
        </is>
      </c>
      <c r="BE5" s="114" t="inlineStr">
        <is>
          <t>Porrete</t>
        </is>
      </c>
      <c r="BF5" s="141" t="n">
        <v>1</v>
      </c>
      <c r="BG5" s="114" t="inlineStr">
        <is>
          <t>d6</t>
        </is>
      </c>
      <c r="BH5" s="114" t="inlineStr">
        <is>
          <t>Versátil · Alcance · Rompe</t>
        </is>
      </c>
      <c r="BI5" s="114" t="inlineStr">
        <is>
          <t>—</t>
        </is>
      </c>
      <c r="BJ5" s="141" t="n">
        <v>1</v>
      </c>
      <c r="BM5" s="141">
        <f>'FICHA PESSOAL'!$V$49</f>
        <v/>
      </c>
      <c r="BN5" s="141">
        <f>ADDRESS(ROW('FICHA PESSOAL'!V49),COLUMN('FICHA PESSOAL'!V49),4)</f>
        <v/>
      </c>
      <c r="BP5" s="114" t="inlineStr">
        <is>
          <t>Lâmina Curta</t>
        </is>
      </c>
      <c r="BQ5" s="114" t="inlineStr">
        <is>
          <t>Simples</t>
        </is>
      </c>
      <c r="BR5" s="114" t="inlineStr">
        <is>
          <t>não</t>
        </is>
      </c>
      <c r="BS5" s="141">
        <f>'FICHA PESSOAL'!$AE$48</f>
        <v/>
      </c>
      <c r="BT5" s="141">
        <f>ADDRESS(ROW('FICHA PESSOAL'!AE48),COLUMN('FICHA PESSOAL'!AE48),4)</f>
        <v/>
      </c>
      <c r="BV5" s="114" t="inlineStr">
        <is>
          <t>Bastião</t>
        </is>
      </c>
      <c r="BX5" s="114" t="inlineStr">
        <is>
          <t>Traje 1</t>
        </is>
      </c>
      <c r="BY5" s="141" t="n">
        <v>1</v>
      </c>
      <c r="BZ5" s="114" t="inlineStr">
        <is>
          <t>—</t>
        </is>
      </c>
      <c r="CA5" s="141" t="n">
        <v>0</v>
      </c>
      <c r="CB5" s="141" t="n">
        <v>0.1</v>
      </c>
      <c r="CC5" s="141" t="n">
        <v>1</v>
      </c>
      <c r="CD5" s="114" t="inlineStr">
        <is>
          <t>Grau 4</t>
        </is>
      </c>
      <c r="CF5" s="114" t="inlineStr">
        <is>
          <t>Grau 4</t>
        </is>
      </c>
      <c r="CG5" s="114" t="inlineStr">
        <is>
          <t>¥ 150.000</t>
        </is>
      </c>
      <c r="CH5" s="141" t="n">
        <v>1</v>
      </c>
      <c r="CJ5" s="114" t="inlineStr">
        <is>
          <t>Vão apertado</t>
        </is>
      </c>
      <c r="CL5" s="114" t="inlineStr">
        <is>
          <t>Curta</t>
        </is>
      </c>
      <c r="CM5" s="141" t="n">
        <v>50</v>
      </c>
      <c r="CO5" s="114" t="inlineStr">
        <is>
          <t>1,25x</t>
        </is>
      </c>
      <c r="CP5" s="141" t="n">
        <v>1.25</v>
      </c>
      <c r="CR5" s="114" t="inlineStr">
        <is>
          <t>3ª · 50%</t>
        </is>
      </c>
      <c r="CS5" s="141" t="n">
        <v>0.5</v>
      </c>
      <c r="CU5" s="114" t="inlineStr">
        <is>
          <t>—</t>
        </is>
      </c>
      <c r="CW5" s="141" t="n">
        <v>20</v>
      </c>
      <c r="CY5" s="114" t="inlineStr">
        <is>
          <t>força</t>
        </is>
      </c>
      <c r="CZ5" s="141">
        <f>N(FICHA!$D$19)</f>
        <v/>
      </c>
      <c r="DB5" s="114" t="inlineStr">
        <is>
          <t>Soco</t>
        </is>
      </c>
      <c r="DD5" s="114" t="inlineStr">
        <is>
          <t>—</t>
        </is>
      </c>
      <c r="DF5" s="114" t="inlineStr">
        <is>
          <t>Sem uniforme</t>
        </is>
      </c>
      <c r="DH5" s="114" t="inlineStr">
        <is>
          <t>Alcance</t>
        </is>
      </c>
      <c r="DI5" s="114" t="inlineStr">
        <is>
          <t>Estica o corpo a corpo. O padrão de qualquer arma de mão é 1,5 m. As Armas Longas chegam a 3 m.</t>
        </is>
      </c>
      <c r="DK5" s="114" t="inlineStr">
        <is>
          <t>requisito de força</t>
        </is>
      </c>
      <c r="DL5" s="141">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Atacar com a arma sem a Força sai com desvantagem.","")&amp;IF(OR(DADOS!$CZ$38=1,AND(DADOS!$CZ$37=1,DADOS!$CZ$19=1))," Com uniforme ou escudo sem a Força, o deslocamento cai pela metade e os Testes de Resistência Físicos saem com desvantagem.",""))</f>
        <v/>
      </c>
      <c r="DM5" s="141">
        <f>ADDRESS(ROW('FICHA PESSOAL'!AF63),COLUMN('FICHA PESSOAL'!AF63),4)</f>
        <v/>
      </c>
      <c r="DO5" s="114" t="inlineStr">
        <is>
          <t>principal</t>
        </is>
      </c>
      <c r="DP5" s="141">
        <f>ADDRESS(ROW('FICHA PESSOAL'!D41),COLUMN('FICHA PESSOAL'!D41),4)</f>
        <v/>
      </c>
    </row>
    <row r="6" ht="17.25" customHeight="1">
      <c r="A6" s="114" t="inlineStr">
        <is>
          <t>Guia</t>
        </is>
      </c>
      <c r="B6" s="114" t="inlineStr">
        <is>
          <t>Furtividade</t>
        </is>
      </c>
      <c r="C6" s="114" t="inlineStr">
        <is>
          <t>Herbalismo</t>
        </is>
      </c>
      <c r="D6" s="114" t="inlineStr">
        <is>
          <t>Mira</t>
        </is>
      </c>
      <c r="E6" s="114" t="inlineStr">
        <is>
          <t>Explosão</t>
        </is>
      </c>
      <c r="F6" s="114" t="inlineStr">
        <is>
          <t>Sem Ver</t>
        </is>
      </c>
      <c r="G6" s="114" t="inlineStr">
        <is>
          <t>Parado</t>
        </is>
      </c>
      <c r="H6" s="114" t="inlineStr">
        <is>
          <t>Derrubado</t>
        </is>
      </c>
      <c r="I6" s="114" t="inlineStr">
        <is>
          <t>Descendente</t>
        </is>
      </c>
      <c r="J6" s="114" t="inlineStr">
        <is>
          <t>Intelecto</t>
        </is>
      </c>
      <c r="K6" s="114" t="inlineStr">
        <is>
          <t>Constituição</t>
        </is>
      </c>
      <c r="L6" s="114" t="inlineStr">
        <is>
          <t>Brasa</t>
        </is>
      </c>
      <c r="M6" s="38" t="n"/>
      <c r="N6" s="114" t="inlineStr">
        <is>
          <t>Vanguarda</t>
        </is>
      </c>
      <c r="O6" s="114" t="inlineStr">
        <is>
          <t>d8</t>
        </is>
      </c>
      <c r="P6" s="114" t="n">
        <v>8</v>
      </c>
      <c r="Q6" s="114" t="n">
        <v>5</v>
      </c>
      <c r="R6" s="114" t="n">
        <v>5</v>
      </c>
      <c r="S6" s="114" t="inlineStr">
        <is>
          <t>Acrobacia</t>
        </is>
      </c>
      <c r="T6" s="114" t="inlineStr">
        <is>
          <t>Percepção</t>
        </is>
      </c>
      <c r="U6" s="114" t="n"/>
      <c r="V6" s="38" t="n"/>
      <c r="W6" s="141" t="n">
        <v>10</v>
      </c>
      <c r="X6" s="141" t="n">
        <v>18</v>
      </c>
      <c r="Y6" s="141" t="n">
        <v>5</v>
      </c>
      <c r="Z6" s="141" t="n">
        <v>11</v>
      </c>
      <c r="AA6" s="38" t="n"/>
      <c r="AB6" s="114" t="inlineStr">
        <is>
          <t>Acrobacia</t>
        </is>
      </c>
      <c r="AC6" s="114" t="inlineStr">
        <is>
          <t>Destreza</t>
        </is>
      </c>
      <c r="AD6" s="38" t="n"/>
      <c r="AE6" s="114" t="inlineStr">
        <is>
          <t>Traje 2</t>
        </is>
      </c>
      <c r="AF6" s="141" t="n">
        <v>2</v>
      </c>
      <c r="AG6" s="141" t="inlineStr">
        <is>
          <t>—</t>
        </is>
      </c>
      <c r="AH6" s="141" t="inlineStr">
        <is>
          <t>sim</t>
        </is>
      </c>
      <c r="AI6" s="38" t="n"/>
      <c r="AJ6" s="114" t="inlineStr">
        <is>
          <t>pontos de atributo</t>
        </is>
      </c>
      <c r="AK6" s="141">
        <f>9+DADOS!$AK$5</f>
        <v/>
      </c>
      <c r="AL6" s="38" t="n"/>
      <c r="AM6" s="114">
        <f>$A$4</f>
        <v/>
      </c>
      <c r="AN6" s="114">
        <f>$L$5</f>
        <v/>
      </c>
      <c r="AO6" s="114" t="inlineStr">
        <is>
          <t>Bastião</t>
        </is>
      </c>
      <c r="AP6" s="114">
        <f>IFERROR(FILTER($AN$5:$AN$19,$AO$5:$AO$19=FICHA!$D$11),"")</f>
        <v/>
      </c>
      <c r="AQ6" s="141" t="n">
        <v>3</v>
      </c>
      <c r="AR6" s="141" t="n">
        <v>200</v>
      </c>
      <c r="AS6" s="38" t="n"/>
      <c r="AT6" s="38" t="n"/>
      <c r="AU6" s="38" t="n"/>
      <c r="AV6" s="38" t="n"/>
      <c r="AW6" s="38" t="n"/>
      <c r="AX6" s="38" t="n"/>
      <c r="AY6" s="38" t="n"/>
      <c r="AZ6" s="38" t="n"/>
      <c r="BA6" s="114" t="inlineStr">
        <is>
          <t>caminho</t>
        </is>
      </c>
      <c r="BB6" s="114">
        <f>ADDRESS(ROW(FICHA!D11),COLUMN(FICHA!D11),4)</f>
        <v/>
      </c>
      <c r="BD6" s="114" t="inlineStr">
        <is>
          <t>Besta</t>
        </is>
      </c>
      <c r="BE6" s="114" t="inlineStr">
        <is>
          <t>Balestra</t>
        </is>
      </c>
      <c r="BF6" s="141" t="n">
        <v>2</v>
      </c>
      <c r="BG6" s="114" t="inlineStr">
        <is>
          <t>2d8</t>
        </is>
      </c>
      <c r="BH6" s="114" t="inlineStr">
        <is>
          <t>Longo Alcance · Munição · Rompe</t>
        </is>
      </c>
      <c r="BI6" s="141" t="n">
        <v>3</v>
      </c>
      <c r="BJ6" s="141" t="n">
        <v>2</v>
      </c>
      <c r="BK6" s="114" t="inlineStr">
        <is>
          <t>30 m, longa 120 m</t>
        </is>
      </c>
      <c r="BL6" s="141" t="n">
        <v>1</v>
      </c>
      <c r="BM6" s="141">
        <f>'FICHA PESSOAL'!$V$59</f>
        <v/>
      </c>
      <c r="BN6" s="141">
        <f>ADDRESS(ROW('FICHA PESSOAL'!V59),COLUMN('FICHA PESSOAL'!V59),4)</f>
        <v/>
      </c>
      <c r="BP6" s="114" t="inlineStr">
        <is>
          <t>Porrete</t>
        </is>
      </c>
      <c r="BQ6" s="114" t="inlineStr">
        <is>
          <t>Simples</t>
        </is>
      </c>
      <c r="BR6" s="114" t="inlineStr">
        <is>
          <t>não</t>
        </is>
      </c>
      <c r="BS6" s="141">
        <f>'FICHA PESSOAL'!$V$48</f>
        <v/>
      </c>
      <c r="BT6" s="141">
        <f>ADDRESS(ROW('FICHA PESSOAL'!V48),COLUMN('FICHA PESSOAL'!V48),4)</f>
        <v/>
      </c>
      <c r="BV6" s="114" t="inlineStr">
        <is>
          <t>Vanguarda</t>
        </is>
      </c>
      <c r="BX6" s="114" t="inlineStr">
        <is>
          <t>Traje 2</t>
        </is>
      </c>
      <c r="BY6" s="141" t="n">
        <v>2</v>
      </c>
      <c r="BZ6" s="114" t="inlineStr">
        <is>
          <t>—</t>
        </is>
      </c>
      <c r="CA6" s="141" t="n">
        <v>0</v>
      </c>
      <c r="CB6" s="141" t="n">
        <v>1</v>
      </c>
      <c r="CC6" s="141" t="n">
        <v>1</v>
      </c>
      <c r="CD6" s="114" t="inlineStr">
        <is>
          <t>Grau 4</t>
        </is>
      </c>
      <c r="CF6" s="114" t="inlineStr">
        <is>
          <t>Grau 3</t>
        </is>
      </c>
      <c r="CG6" s="114" t="inlineStr">
        <is>
          <t>¥ 300.000</t>
        </is>
      </c>
      <c r="CH6" s="141" t="n">
        <v>2</v>
      </c>
      <c r="CJ6" s="114" t="inlineStr">
        <is>
          <t>Altura e beirada</t>
        </is>
      </c>
      <c r="CL6" s="114" t="inlineStr">
        <is>
          <t>Padrão</t>
        </is>
      </c>
      <c r="CM6" s="141" t="n">
        <v>100</v>
      </c>
      <c r="CO6" s="114" t="inlineStr">
        <is>
          <t>1,50x</t>
        </is>
      </c>
      <c r="CP6" s="141" t="n">
        <v>1.5</v>
      </c>
      <c r="CR6" s="114" t="inlineStr">
        <is>
          <t>4ª · 25%</t>
        </is>
      </c>
      <c r="CS6" s="141" t="n">
        <v>0.25</v>
      </c>
      <c r="CU6" s="114" t="inlineStr">
        <is>
          <t>Grau 4</t>
        </is>
      </c>
      <c r="CY6" s="114" t="inlineStr">
        <is>
          <t>soco na principal</t>
        </is>
      </c>
      <c r="CZ6" s="141">
        <f>IF(OR('FICHA PESSOAL'!$D$41="",'FICHA PESSOAL'!$D$41="Soco"),1,0)</f>
        <v/>
      </c>
      <c r="DB6" s="141">
        <f>IF(AND('FICHA PESSOAL'!$D$69&lt;&gt;"",'FICHA PESSOAL'!$M$69&lt;&gt;"Escudo"),'FICHA PESSOAL'!$D$69,"")</f>
        <v/>
      </c>
      <c r="DD6" s="141">
        <f>IF(AND(DADOS!$CZ$8&lt;&gt;2,ISNUMBER(SEARCH("Versátil",DADOS!$CZ$10))),"Nas duas mãos","")</f>
        <v/>
      </c>
      <c r="DF6" s="141">
        <f>IF(DADOS!$CZ$34&gt;=DADOS!$CC$5,DADOS!$BX$5,"")</f>
        <v/>
      </c>
      <c r="DH6" s="114" t="inlineStr">
        <is>
          <t>Longo Alcance</t>
        </is>
      </c>
      <c r="DI6" s="114" t="inlineStr">
        <is>
          <t>A arma alcança à distância, em metros. Faixa normal — até o Longo Alcance da arma. Ataque normal. Faixa longa — até o segundo número da tabela. Você rola com desvantagem: joga dois d20 e fica com o pior. Além da faixa longa, você não consegue atingir um alvo. Colado: atacar com arma de projétil estando adjacente a um inimigo (qualquer inimigo, não só o seu alvo) também é desvantagem.</t>
        </is>
      </c>
      <c r="DK6" s="114" t="inlineStr">
        <is>
          <t>carga</t>
        </is>
      </c>
      <c r="DL6" s="141">
        <f>IF(DADOS!$CZ$42=1,"Você passou do limite: o deslocamento cai pela metade e os Testes de Resistência Físicos saem com desvantagem. É a mesma punição do uniforme e do escudo sem a Força, e elas não se somam.","")</f>
        <v/>
      </c>
      <c r="DM6" s="141">
        <f>ADDRESS(ROW('FICHA PESSOAL'!D63),COLUMN('FICHA PESSOAL'!D63),4)</f>
        <v/>
      </c>
      <c r="DO6" s="114" t="inlineStr">
        <is>
          <t>secundária</t>
        </is>
      </c>
      <c r="DP6" s="141">
        <f>ADDRESS(ROW('FICHA PESSOAL'!S41),COLUMN('FICHA PESSOAL'!S41),4)</f>
        <v/>
      </c>
    </row>
    <row r="7" ht="17.25" customHeight="1">
      <c r="A7" s="114" t="inlineStr">
        <is>
          <t>Emanador</t>
        </is>
      </c>
      <c r="B7" s="114" t="inlineStr">
        <is>
          <t>Pontaria</t>
        </is>
      </c>
      <c r="C7" s="114" t="inlineStr">
        <is>
          <t>Forja</t>
        </is>
      </c>
      <c r="D7" s="114" t="inlineStr">
        <is>
          <t>Controle</t>
        </is>
      </c>
      <c r="E7" s="114" t="inlineStr">
        <is>
          <t>Aura</t>
        </is>
      </c>
      <c r="F7" s="114" t="inlineStr">
        <is>
          <t>Passo</t>
        </is>
      </c>
      <c r="G7" s="114" t="inlineStr">
        <is>
          <t>Gesto</t>
        </is>
      </c>
      <c r="H7" s="114" t="inlineStr">
        <is>
          <t>Agarrado</t>
        </is>
      </c>
      <c r="I7" s="114" t="inlineStr">
        <is>
          <t>Reencarnado</t>
        </is>
      </c>
      <c r="J7" s="114" t="inlineStr">
        <is>
          <t>Espírito</t>
        </is>
      </c>
      <c r="K7" s="114" t="inlineStr">
        <is>
          <t>Inteligência</t>
        </is>
      </c>
      <c r="L7" s="114" t="inlineStr">
        <is>
          <t>Estocada</t>
        </is>
      </c>
      <c r="M7" s="38" t="n"/>
      <c r="N7" s="114" t="inlineStr">
        <is>
          <t>Guia</t>
        </is>
      </c>
      <c r="O7" s="114" t="inlineStr">
        <is>
          <t>d8</t>
        </is>
      </c>
      <c r="P7" s="114" t="n">
        <v>8</v>
      </c>
      <c r="Q7" s="114" t="n">
        <v>5</v>
      </c>
      <c r="R7" s="114" t="n">
        <v>5</v>
      </c>
      <c r="S7" s="114" t="inlineStr">
        <is>
          <t>Persuasão</t>
        </is>
      </c>
      <c r="T7" s="114" t="inlineStr">
        <is>
          <t>Medicina</t>
        </is>
      </c>
      <c r="U7" s="114" t="n"/>
      <c r="V7" s="38" t="n"/>
      <c r="W7" s="141" t="n">
        <v>14</v>
      </c>
      <c r="X7" s="141" t="n">
        <v>26</v>
      </c>
      <c r="Y7" s="141" t="n">
        <v>9</v>
      </c>
      <c r="Z7" s="141" t="n">
        <v>17</v>
      </c>
      <c r="AA7" s="38" t="n"/>
      <c r="AB7" s="114" t="inlineStr">
        <is>
          <t>Furtividade</t>
        </is>
      </c>
      <c r="AC7" s="114" t="inlineStr">
        <is>
          <t>Destreza</t>
        </is>
      </c>
      <c r="AD7" s="38" t="n"/>
      <c r="AE7" s="114" t="inlineStr">
        <is>
          <t>Traje 3</t>
        </is>
      </c>
      <c r="AF7" s="141" t="n">
        <v>3</v>
      </c>
      <c r="AG7" s="141" t="inlineStr">
        <is>
          <t>—</t>
        </is>
      </c>
      <c r="AH7" s="141" t="inlineStr">
        <is>
          <t>sim</t>
        </is>
      </c>
      <c r="AI7" s="38" t="n"/>
      <c r="AJ7" s="114" t="inlineStr">
        <is>
          <t>pontos distribuídos</t>
        </is>
      </c>
      <c r="AK7" s="141">
        <f>IFERROR(VALUE(FICHA!$D$21&amp;""),0)+IFERROR(VALUE(FICHA!$L$21&amp;""),0)+IFERROR(VALUE(FICHA!$T$21&amp;""),0)+IFERROR(VALUE(FICHA!$AB$21&amp;""),0)+IFERROR(VALUE(FICHA!$AJ$21&amp;""),0)</f>
        <v/>
      </c>
      <c r="AL7" s="38" t="n"/>
      <c r="AM7" s="114">
        <f>$A$5</f>
        <v/>
      </c>
      <c r="AN7" s="114">
        <f>$L$6</f>
        <v/>
      </c>
      <c r="AO7" s="114" t="inlineStr">
        <is>
          <t>Bastião</t>
        </is>
      </c>
      <c r="AP7" s="38" t="n"/>
      <c r="AQ7" s="141" t="n">
        <v>4</v>
      </c>
      <c r="AR7" s="141" t="n">
        <v>500</v>
      </c>
      <c r="AS7" s="38" t="n"/>
      <c r="AT7" s="38" t="n"/>
      <c r="AU7" s="38" t="n"/>
      <c r="AV7" s="38" t="n"/>
      <c r="AW7" s="38" t="n"/>
      <c r="AX7" s="38" t="n"/>
      <c r="AY7" s="38" t="n"/>
      <c r="AZ7" s="38" t="n"/>
      <c r="BA7" s="114" t="inlineStr">
        <is>
          <t>trilha</t>
        </is>
      </c>
      <c r="BB7" s="114">
        <f>ADDRESS(ROW(FICHA!N11),COLUMN(FICHA!N11),4)</f>
        <v/>
      </c>
      <c r="BD7" s="114" t="inlineStr">
        <is>
          <t>Besta de Uma Mão</t>
        </is>
      </c>
      <c r="BE7" s="114" t="inlineStr">
        <is>
          <t>Balestra</t>
        </is>
      </c>
      <c r="BF7" s="141" t="n">
        <v>1</v>
      </c>
      <c r="BG7" s="114" t="inlineStr">
        <is>
          <t>1d10</t>
        </is>
      </c>
      <c r="BH7" s="114" t="inlineStr">
        <is>
          <t>Longo Alcance · Munição · Oculta</t>
        </is>
      </c>
      <c r="BI7" s="114" t="inlineStr">
        <is>
          <t>—</t>
        </is>
      </c>
      <c r="BJ7" s="141" t="n">
        <v>0.1</v>
      </c>
      <c r="BK7" s="114" t="inlineStr">
        <is>
          <t>9 m, longa 36 m</t>
        </is>
      </c>
      <c r="BL7" s="141" t="n">
        <v>1</v>
      </c>
      <c r="BM7" s="141">
        <f>'FICHA PESSOAL'!$V$60</f>
        <v/>
      </c>
      <c r="BN7" s="141">
        <f>ADDRESS(ROW('FICHA PESSOAL'!V60),COLUMN('FICHA PESSOAL'!V60),4)</f>
        <v/>
      </c>
      <c r="BP7" s="114" t="inlineStr">
        <is>
          <t>Ceifa</t>
        </is>
      </c>
      <c r="BQ7" s="114" t="inlineStr">
        <is>
          <t>Simples</t>
        </is>
      </c>
      <c r="BR7" s="114" t="inlineStr">
        <is>
          <t>não</t>
        </is>
      </c>
      <c r="BS7" s="141">
        <f>'FICHA PESSOAL'!$V$54</f>
        <v/>
      </c>
      <c r="BT7" s="141">
        <f>ADDRESS(ROW('FICHA PESSOAL'!V54),COLUMN('FICHA PESSOAL'!V54),4)</f>
        <v/>
      </c>
      <c r="BX7" s="114" t="inlineStr">
        <is>
          <t>Traje 3</t>
        </is>
      </c>
      <c r="BY7" s="141" t="n">
        <v>3</v>
      </c>
      <c r="BZ7" s="114" t="inlineStr">
        <is>
          <t>—</t>
        </is>
      </c>
      <c r="CA7" s="141" t="n">
        <v>3</v>
      </c>
      <c r="CB7" s="141" t="n">
        <v>2</v>
      </c>
      <c r="CC7" s="141" t="n">
        <v>1</v>
      </c>
      <c r="CD7" s="114" t="inlineStr">
        <is>
          <t>Grau 4</t>
        </is>
      </c>
      <c r="CF7" s="114" t="inlineStr">
        <is>
          <t>Grau 2</t>
        </is>
      </c>
      <c r="CG7" s="114" t="inlineStr">
        <is>
          <t>¥ 600.000</t>
        </is>
      </c>
      <c r="CH7" s="141" t="n">
        <v>3</v>
      </c>
      <c r="CJ7" s="114" t="inlineStr">
        <is>
          <t>Escuro</t>
        </is>
      </c>
      <c r="CL7" s="114" t="inlineStr">
        <is>
          <t>Longa</t>
        </is>
      </c>
      <c r="CM7" s="141" t="n">
        <v>200</v>
      </c>
      <c r="CO7" s="114" t="inlineStr">
        <is>
          <t>2x</t>
        </is>
      </c>
      <c r="CP7" s="141" t="n">
        <v>2</v>
      </c>
      <c r="CR7" s="114" t="inlineStr">
        <is>
          <t>5ª · 12,5%</t>
        </is>
      </c>
      <c r="CS7" s="141" t="n">
        <v>0.125</v>
      </c>
      <c r="CU7" s="114" t="inlineStr">
        <is>
          <t>Grau 3</t>
        </is>
      </c>
      <c r="CY7" s="114" t="inlineStr">
        <is>
          <t>categoria da principal</t>
        </is>
      </c>
      <c r="CZ7" s="141">
        <f>IF(DADOS!$CZ$6=1,"Soco",IFERROR(VLOOKUP('FICHA PESSOAL'!$D$41,'FICHA PESSOAL'!$D$69:$AH$76,10,FALSE)&amp;"",""))</f>
        <v/>
      </c>
      <c r="DB7" s="141">
        <f>IF(AND('FICHA PESSOAL'!$D$70&lt;&gt;"",'FICHA PESSOAL'!$M$70&lt;&gt;"Escudo"),'FICHA PESSOAL'!$D$70,"")</f>
        <v/>
      </c>
      <c r="DD7" s="141">
        <f>IF(AND(DADOS!$CZ$8&lt;&gt;2,'FICHA PESSOAL'!$D$69&lt;&gt;"",OR('FICHA PESSOAL'!$M$69="Escudo",N('FICHA PESSOAL'!$S$69)=1)),'FICHA PESSOAL'!$D$69,"")</f>
        <v/>
      </c>
      <c r="DF7" s="141">
        <f>IF(DADOS!$CZ$34&gt;=DADOS!$CC$6,DADOS!$BX$6,"")</f>
        <v/>
      </c>
      <c r="DH7" s="114" t="inlineStr">
        <is>
          <t>Duas mãos</t>
        </is>
      </c>
      <c r="DI7" s="114" t="inlineStr">
        <is>
          <t>Ocupa as duas mãos, então não sobra mão para escudo.</t>
        </is>
      </c>
      <c r="DK7" s="114" t="inlineStr">
        <is>
          <t>situação do traje</t>
        </is>
      </c>
      <c r="DL7" s="141">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rola com vantagem os testes de perícia e os Testes de Resistência.")))</f>
        <v/>
      </c>
      <c r="DM7" s="141">
        <f>ADDRESS(ROW('FICHA PESSOAL'!AN63),COLUMN('FICHA PESSOAL'!AN63),4)</f>
        <v/>
      </c>
      <c r="DO7" s="114" t="inlineStr">
        <is>
          <t>vestindo</t>
        </is>
      </c>
      <c r="DP7" s="141">
        <f>ADDRESS(ROW('FICHA PESSOAL'!AH41),COLUMN('FICHA PESSOAL'!AH41),4)</f>
        <v/>
      </c>
    </row>
    <row r="8" ht="17.25" customHeight="1">
      <c r="A8" s="114" t="inlineStr">
        <is>
          <t>Evocador</t>
        </is>
      </c>
      <c r="B8" s="114" t="inlineStr">
        <is>
          <t>Prestidigitação</t>
        </is>
      </c>
      <c r="C8" s="114" t="inlineStr">
        <is>
          <t>Caligrafia</t>
        </is>
      </c>
      <c r="D8" s="114" t="inlineStr">
        <is>
          <t>Auxiliares</t>
        </is>
      </c>
      <c r="E8" s="114" t="inlineStr">
        <is>
          <t>Cone</t>
        </is>
      </c>
      <c r="F8" s="114" t="inlineStr">
        <is>
          <t>Empurrão</t>
        </is>
      </c>
      <c r="G8" s="114" t="inlineStr">
        <is>
          <t>Sangra</t>
        </is>
      </c>
      <c r="H8" s="114" t="inlineStr">
        <is>
          <t>Desarmado</t>
        </is>
      </c>
      <c r="I8" s="114" t="inlineStr">
        <is>
          <t>Feto</t>
        </is>
      </c>
      <c r="J8" s="38" t="n"/>
      <c r="K8" s="114" t="inlineStr">
        <is>
          <t>Essência</t>
        </is>
      </c>
      <c r="L8" s="114" t="inlineStr">
        <is>
          <t>Batedor</t>
        </is>
      </c>
      <c r="M8" s="38" t="n"/>
      <c r="N8" s="114" t="inlineStr">
        <is>
          <t>Evocador</t>
        </is>
      </c>
      <c r="O8" s="114" t="inlineStr">
        <is>
          <t>d6</t>
        </is>
      </c>
      <c r="P8" s="114" t="n">
        <v>6</v>
      </c>
      <c r="Q8" s="114" t="n">
        <v>4</v>
      </c>
      <c r="R8" s="114" t="n">
        <v>6</v>
      </c>
      <c r="S8" s="114" t="inlineStr">
        <is>
          <t>Religião</t>
        </is>
      </c>
      <c r="T8" s="114" t="inlineStr">
        <is>
          <t>Lidar com Animais</t>
        </is>
      </c>
      <c r="U8" s="114" t="n"/>
      <c r="V8" s="38" t="n"/>
      <c r="W8" s="141" t="n">
        <v>18</v>
      </c>
      <c r="X8" s="38" t="n"/>
      <c r="Y8" s="141" t="n">
        <v>13</v>
      </c>
      <c r="Z8" s="38" t="n"/>
      <c r="AA8" s="38" t="n"/>
      <c r="AB8" s="114" t="inlineStr">
        <is>
          <t>Pontaria</t>
        </is>
      </c>
      <c r="AC8" s="114" t="inlineStr">
        <is>
          <t>Destreza</t>
        </is>
      </c>
      <c r="AD8" s="38" t="n"/>
      <c r="AE8" s="114" t="inlineStr">
        <is>
          <t>Revestimento 1</t>
        </is>
      </c>
      <c r="AF8" s="141" t="n">
        <v>4</v>
      </c>
      <c r="AG8" s="141" t="n">
        <v>0</v>
      </c>
      <c r="AH8" s="141" t="inlineStr">
        <is>
          <t>sim</t>
        </is>
      </c>
      <c r="AI8" s="38" t="n"/>
      <c r="AJ8" s="114" t="inlineStr">
        <is>
          <t>maior atributo</t>
        </is>
      </c>
      <c r="AK8" s="141">
        <f>MAX(FICHA!$D$19,FICHA!$L$19,FICHA!$T$19,FICHA!$AB$19,FICHA!$AJ$19)</f>
        <v/>
      </c>
      <c r="AL8" s="38" t="n"/>
      <c r="AM8" s="114">
        <f>$A$6</f>
        <v/>
      </c>
      <c r="AN8" s="114">
        <f>$L$7</f>
        <v/>
      </c>
      <c r="AO8" s="114" t="inlineStr">
        <is>
          <t>Vanguarda</t>
        </is>
      </c>
      <c r="AP8" s="38" t="n"/>
      <c r="AQ8" s="141" t="n">
        <v>5</v>
      </c>
      <c r="AR8" s="141" t="n">
        <v>800</v>
      </c>
      <c r="AS8" s="38" t="n"/>
      <c r="AT8" s="38" t="n"/>
      <c r="AU8" s="38" t="n"/>
      <c r="AV8" s="38" t="n"/>
      <c r="AW8" s="38" t="n"/>
      <c r="AX8" s="38" t="n"/>
      <c r="AY8" s="38" t="n"/>
      <c r="AZ8" s="38" t="n"/>
      <c r="BA8" s="114" t="inlineStr">
        <is>
          <t>origem</t>
        </is>
      </c>
      <c r="BB8" s="114">
        <f>ADDRESS(ROW(FICHA!X11),COLUMN(FICHA!X11),4)</f>
        <v/>
      </c>
      <c r="BD8" s="114" t="inlineStr">
        <is>
          <t>Bō</t>
        </is>
      </c>
      <c r="BE8" s="114" t="inlineStr">
        <is>
          <t>Porrete</t>
        </is>
      </c>
      <c r="BF8" s="141" t="n">
        <v>2</v>
      </c>
      <c r="BG8" s="114" t="inlineStr">
        <is>
          <t>d10</t>
        </is>
      </c>
      <c r="BH8" s="114" t="inlineStr">
        <is>
          <t>Alcance · Emaranha</t>
        </is>
      </c>
      <c r="BI8" s="141" t="n">
        <v>3</v>
      </c>
      <c r="BJ8" s="141" t="n">
        <v>2</v>
      </c>
      <c r="BM8" s="141">
        <f>'FICHA PESSOAL'!$V$50</f>
        <v/>
      </c>
      <c r="BN8" s="141">
        <f>ADDRESS(ROW('FICHA PESSOAL'!V50),COLUMN('FICHA PESSOAL'!V50),4)</f>
        <v/>
      </c>
      <c r="BP8" s="114" t="inlineStr">
        <is>
          <t>Arremesso</t>
        </is>
      </c>
      <c r="BQ8" s="114" t="inlineStr">
        <is>
          <t>Simples</t>
        </is>
      </c>
      <c r="BR8" s="114" t="inlineStr">
        <is>
          <t>não</t>
        </is>
      </c>
      <c r="BS8" s="141">
        <f>'FICHA PESSOAL'!$M$56</f>
        <v/>
      </c>
      <c r="BT8" s="141">
        <f>ADDRESS(ROW('FICHA PESSOAL'!M56),COLUMN('FICHA PESSOAL'!M56),4)</f>
        <v/>
      </c>
      <c r="BX8" s="114" t="inlineStr">
        <is>
          <t>Revestimento 1</t>
        </is>
      </c>
      <c r="BY8" s="141" t="n">
        <v>4</v>
      </c>
      <c r="BZ8" s="141" t="n">
        <v>0</v>
      </c>
      <c r="CA8" s="141" t="n">
        <v>3</v>
      </c>
      <c r="CB8" s="141" t="n">
        <v>2</v>
      </c>
      <c r="CC8" s="141" t="n">
        <v>1</v>
      </c>
      <c r="CD8" s="114" t="inlineStr">
        <is>
          <t>Grau 4</t>
        </is>
      </c>
      <c r="CF8" s="114" t="inlineStr">
        <is>
          <t>Grau 1</t>
        </is>
      </c>
      <c r="CG8" s="114" t="inlineStr">
        <is>
          <t>¥ 1.200.000</t>
        </is>
      </c>
      <c r="CH8" s="141" t="n">
        <v>4</v>
      </c>
      <c r="CJ8" s="114" t="inlineStr">
        <is>
          <t>Superfície ruim</t>
        </is>
      </c>
      <c r="CL8" s="114" t="inlineStr">
        <is>
          <t>Final de arco</t>
        </is>
      </c>
      <c r="CM8" s="141" t="n">
        <v>300</v>
      </c>
      <c r="CR8" s="114" t="inlineStr">
        <is>
          <t>6ª · 6,25%</t>
        </is>
      </c>
      <c r="CS8" s="141" t="n">
        <v>0.0625</v>
      </c>
      <c r="CU8" s="114" t="inlineStr">
        <is>
          <t>Grau 2</t>
        </is>
      </c>
      <c r="CY8" s="114" t="inlineStr">
        <is>
          <t>mão da principal</t>
        </is>
      </c>
      <c r="CZ8" s="141">
        <f>IF(DADOS!$CZ$6=1,1,IFERROR(VALUE(VLOOKUP('FICHA PESSOAL'!$D$41,'FICHA PESSOAL'!$D$69:$AH$76,16,FALSE)&amp;""),0))</f>
        <v/>
      </c>
      <c r="DB8" s="141">
        <f>IF(AND('FICHA PESSOAL'!$D$71&lt;&gt;"",'FICHA PESSOAL'!$M$71&lt;&gt;"Escudo"),'FICHA PESSOAL'!$D$71,"")</f>
        <v/>
      </c>
      <c r="DD8" s="141">
        <f>IF(AND(DADOS!$CZ$8&lt;&gt;2,'FICHA PESSOAL'!$D$70&lt;&gt;"",OR('FICHA PESSOAL'!$M$70="Escudo",N('FICHA PESSOAL'!$S$70)=1)),'FICHA PESSOAL'!$D$70,"")</f>
        <v/>
      </c>
      <c r="DF8" s="141">
        <f>IF(DADOS!$CZ$34&gt;=DADOS!$CC$7,DADOS!$BX$7,"")</f>
        <v/>
      </c>
      <c r="DH8" s="114" t="inlineStr">
        <is>
          <t>Fineza</t>
        </is>
      </c>
      <c r="DI8" s="114" t="inlineStr">
        <is>
          <t>No corpo a corpo, troca Força por Destreza no acerto e no dano.</t>
        </is>
      </c>
      <c r="DK8" s="114" t="inlineStr">
        <is>
          <t>arma da principal</t>
        </is>
      </c>
      <c r="DL8" s="141">
        <f>IF(DADOS!$CZ$6=1,"Soco"&amp;CHAR(10)&amp;"O soco não tem propriedade nenhuma. O dado dele sobe com a maestria.",IF(DADOS!$CZ$7="","",'FICHA PESSOAL'!$D$41&amp;IF(ISNUMBER(SEARCH(" · "&amp;DADOS!$DH$5&amp;" · "," · "&amp;DADOS!$CZ$10&amp;" · ")),CHAR(10)&amp;DADOS!$DH$5&amp;": "&amp;DADOS!$DI$5&amp;" Nesta arma: 3 m.","")&amp;IF(ISNUMBER(SEARCH(" · "&amp;DADOS!$DH$6&amp;" · "," · "&amp;DADOS!$CZ$10&amp;" · ")),CHAR(10)&amp;DADOS!$DH$6&amp;": "&amp;DADOS!$DI$6&amp;IF(DADOS!$CZ$14&lt;&gt;""," Nesta arma: "&amp;DADOS!$CZ$14&amp;".",""),"")&amp;IF(DADOS!$CZ$8=2,CHAR(10)&amp;DADOS!$DH$7&amp;": "&amp;DADOS!$DI$7,"")&amp;IF(ISNUMBER(SEARCH(" · "&amp;DADOS!$DH$8&amp;" · "," · "&amp;DADOS!$CZ$10&amp;" · ")),CHAR(10)&amp;DADOS!$DH$8&amp;": "&amp;DADOS!$DI$8,"")&amp;IF(ISNUMBER(SEARCH(" · "&amp;DADOS!$DH$9&amp;" · "," · "&amp;DADOS!$CZ$10&amp;" · ")),CHAR(10)&amp;DADOS!$DH$9&amp;": "&amp;DADOS!$DI$9,"")&amp;IF(ISNUMBER(SEARCH(" · "&amp;DADOS!$DH$10&amp;" · "," · "&amp;DADOS!$CZ$10&amp;" · ")),CHAR(10)&amp;DADOS!$DH$10&amp;": "&amp;DADOS!$DI$10,"")&amp;IF(ISNUMBER(SEARCH(" · "&amp;DADOS!$DH$11&amp;" · "," · "&amp;DADOS!$CZ$10&amp;" · ")),CHAR(10)&amp;DADOS!$DH$11&amp;": "&amp;DADOS!$DI$11,"")&amp;IF(ISNUMBER(SEARCH(" · "&amp;DADOS!$DH$12&amp;" · "," · "&amp;DADOS!$CZ$10&amp;" · ")),CHAR(10)&amp;DADOS!$DH$12&amp;": "&amp;DADOS!$DI$12&amp;IF(DADOS!$CZ$15&amp;""&lt;&gt;""," Nesta arma, X = "&amp;DADOS!$CZ$15&amp;".",""),"")&amp;IF(ISNUMBER(SEARCH("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"&amp;DADOS!$DI$18,"")&amp;IF(ISNUMBER(SEARCH(" · "&amp;DADOS!$DH$19&amp;" · "," · "&amp;DADOS!$CZ$10&amp;" · ")),CHAR(10)&amp;DADOS!$DH$19&amp;": "&amp;DADOS!$DI$19,"")))</f>
        <v/>
      </c>
      <c r="DM8" s="141">
        <f>ADDRESS(ROW('FICHA PESSOAL'!D43),COLUMN('FICHA PESSOAL'!D43),4)</f>
        <v/>
      </c>
      <c r="DO8" s="114" t="inlineStr">
        <is>
          <t>grau</t>
        </is>
      </c>
      <c r="DP8" s="141">
        <f>ADDRESS(ROW('FICHA PESSOAL'!AB11),COLUMN('FICHA PESSOAL'!AB11),4)</f>
        <v/>
      </c>
    </row>
    <row r="9" ht="17.25" customHeight="1">
      <c r="A9" s="38" t="n"/>
      <c r="B9" s="114" t="inlineStr">
        <is>
          <t>Investigação</t>
        </is>
      </c>
      <c r="C9" s="114" t="inlineStr">
        <is>
          <t>Burocracia</t>
        </is>
      </c>
      <c r="D9" s="114" t="inlineStr">
        <is>
          <t>Castigo</t>
        </is>
      </c>
      <c r="E9" s="114" t="inlineStr">
        <is>
          <t>Linha</t>
        </is>
      </c>
      <c r="F9" s="114" t="inlineStr">
        <is>
          <t>Troca</t>
        </is>
      </c>
      <c r="G9" s="114" t="inlineStr">
        <is>
          <t>Recuo</t>
        </is>
      </c>
      <c r="H9" s="114" t="inlineStr">
        <is>
          <t>Surdo</t>
        </is>
      </c>
      <c r="I9" s="114" t="inlineStr">
        <is>
          <t>Restrição Celestial · corpo pela técnica</t>
        </is>
      </c>
      <c r="J9" s="38" t="n"/>
      <c r="K9" s="38" t="n"/>
      <c r="L9" s="114" t="inlineStr">
        <is>
          <t>Executor</t>
        </is>
      </c>
      <c r="M9" s="38" t="n"/>
      <c r="N9" s="114" t="inlineStr">
        <is>
          <t>Emanador</t>
        </is>
      </c>
      <c r="O9" s="114" t="inlineStr">
        <is>
          <t>d6</t>
        </is>
      </c>
      <c r="P9" s="114" t="n">
        <v>6</v>
      </c>
      <c r="Q9" s="114" t="n">
        <v>4</v>
      </c>
      <c r="R9" s="114" t="n">
        <v>6</v>
      </c>
      <c r="S9" s="114" t="inlineStr">
        <is>
          <t>Ocultismo</t>
        </is>
      </c>
      <c r="T9" s="114" t="inlineStr">
        <is>
          <t>Investigação</t>
        </is>
      </c>
      <c r="U9" s="114" t="n"/>
      <c r="V9" s="38" t="n"/>
      <c r="W9" s="141" t="n">
        <v>22</v>
      </c>
      <c r="X9" s="38" t="n"/>
      <c r="Y9" s="141" t="n">
        <v>17</v>
      </c>
      <c r="Z9" s="38" t="n"/>
      <c r="AA9" s="38" t="n"/>
      <c r="AB9" s="114" t="inlineStr">
        <is>
          <t>Prestidigitação</t>
        </is>
      </c>
      <c r="AC9" s="114" t="inlineStr">
        <is>
          <t>Destreza</t>
        </is>
      </c>
      <c r="AD9" s="38" t="n"/>
      <c r="AE9" s="114" t="inlineStr">
        <is>
          <t>Revestimento 2</t>
        </is>
      </c>
      <c r="AF9" s="141" t="n">
        <v>5</v>
      </c>
      <c r="AG9" s="141" t="n">
        <v>0</v>
      </c>
      <c r="AH9" s="141" t="inlineStr">
        <is>
          <t>sim</t>
        </is>
      </c>
      <c r="AI9" s="38" t="n"/>
      <c r="AJ9" s="114" t="inlineStr">
        <is>
          <t>maior atributo pequeno</t>
        </is>
      </c>
      <c r="AK9" s="141">
        <f>MAX(IFERROR(VALUE(FICHA!$D$21&amp;""),0),IFERROR(VALUE(FICHA!$L$21&amp;""),0),IFERROR(VALUE(FICHA!$T$21&amp;""),0),IFERROR(VALUE(FICHA!$AB$21&amp;""),0),IFERROR(VALUE(FICHA!$AJ$21&amp;""),0))</f>
        <v/>
      </c>
      <c r="AL9" s="38" t="n"/>
      <c r="AM9" s="114">
        <f>$A$7</f>
        <v/>
      </c>
      <c r="AN9" s="114">
        <f>$L$8</f>
        <v/>
      </c>
      <c r="AO9" s="114" t="inlineStr">
        <is>
          <t>Vanguarda</t>
        </is>
      </c>
      <c r="AP9" s="38" t="n"/>
      <c r="AQ9" s="141" t="n">
        <v>6</v>
      </c>
      <c r="AR9" s="141" t="n">
        <v>1300</v>
      </c>
      <c r="AS9" s="38" t="n"/>
      <c r="AT9" s="38" t="n"/>
      <c r="AU9" s="38" t="n"/>
      <c r="AV9" s="38" t="n"/>
      <c r="AW9" s="38" t="n"/>
      <c r="AX9" s="38" t="n"/>
      <c r="AY9" s="38" t="n"/>
      <c r="AZ9" s="38" t="n"/>
      <c r="BA9" s="114" t="inlineStr">
        <is>
          <t>nivel</t>
        </is>
      </c>
      <c r="BB9" s="114">
        <f>ADDRESS(ROW(FICHA!AH11),COLUMN(FICHA!AH11),4)</f>
        <v/>
      </c>
      <c r="BD9" s="114" t="inlineStr">
        <is>
          <t>Broquel</t>
        </is>
      </c>
      <c r="BE9" s="114" t="inlineStr">
        <is>
          <t>Escudo</t>
        </is>
      </c>
      <c r="BF9" s="141" t="n">
        <v>1</v>
      </c>
      <c r="BG9" s="114" t="inlineStr">
        <is>
          <t>—</t>
        </is>
      </c>
      <c r="BH9" s="114" t="inlineStr">
        <is>
          <t>Proteção +1 · teto de Destreza 5</t>
        </is>
      </c>
      <c r="BI9" s="114" t="inlineStr">
        <is>
          <t>—</t>
        </is>
      </c>
      <c r="BJ9" s="141" t="n">
        <v>0.1</v>
      </c>
      <c r="BM9" s="141">
        <f>TRUE</f>
        <v/>
      </c>
      <c r="BP9" s="114" t="inlineStr">
        <is>
          <t>Manopla</t>
        </is>
      </c>
      <c r="BQ9" s="114" t="inlineStr">
        <is>
          <t>Simples</t>
        </is>
      </c>
      <c r="BR9" s="114" t="inlineStr">
        <is>
          <t>não</t>
        </is>
      </c>
      <c r="BS9" s="141">
        <f>'FICHA PESSOAL'!$AE$58</f>
        <v/>
      </c>
      <c r="BT9" s="141">
        <f>ADDRESS(ROW('FICHA PESSOAL'!AE58),COLUMN('FICHA PESSOAL'!AE58),4)</f>
        <v/>
      </c>
      <c r="BX9" s="114" t="inlineStr">
        <is>
          <t>Revestimento 2</t>
        </is>
      </c>
      <c r="BY9" s="141" t="n">
        <v>5</v>
      </c>
      <c r="BZ9" s="141" t="n">
        <v>0</v>
      </c>
      <c r="CA9" s="141" t="n">
        <v>4</v>
      </c>
      <c r="CB9" s="141" t="n">
        <v>3</v>
      </c>
      <c r="CC9" s="141" t="n">
        <v>2</v>
      </c>
      <c r="CD9" s="114" t="inlineStr">
        <is>
          <t>Grau 3</t>
        </is>
      </c>
      <c r="CF9" s="114" t="inlineStr">
        <is>
          <t>Especial</t>
        </is>
      </c>
      <c r="CG9" s="114" t="inlineStr">
        <is>
          <t>¥ 2.400.000</t>
        </is>
      </c>
      <c r="CH9" s="141" t="n">
        <v>5</v>
      </c>
      <c r="CJ9" s="114" t="inlineStr">
        <is>
          <t>Água e chuva</t>
        </is>
      </c>
      <c r="CL9" s="114" t="inlineStr">
        <is>
          <t>Solo simples</t>
        </is>
      </c>
      <c r="CM9" s="141" t="n">
        <v>75</v>
      </c>
      <c r="CR9" s="114" t="inlineStr">
        <is>
          <t>Falha · 50%</t>
        </is>
      </c>
      <c r="CS9" s="141" t="n">
        <v>0.5</v>
      </c>
      <c r="CU9" s="114" t="inlineStr">
        <is>
          <t>Grau 1</t>
        </is>
      </c>
      <c r="CY9" s="114" t="inlineStr">
        <is>
          <t>dado da principal</t>
        </is>
      </c>
      <c r="CZ9" s="141">
        <f>IF(DADOS!$CZ$6=1,CHOOSE(MIN(4,MAX(1,N(FICHA!$D$51))),"d4","d6","d8","d10"),IFERROR(VLOOKUP('FICHA PESSOAL'!$D$41,'FICHA PESSOAL'!$D$69:$AH$76,18,FALSE)&amp;"",""))</f>
        <v/>
      </c>
      <c r="DB9" s="141">
        <f>IF(AND('FICHA PESSOAL'!$D$72&lt;&gt;"",'FICHA PESSOAL'!$M$72&lt;&gt;"Escudo"),'FICHA PESSOAL'!$D$72,"")</f>
        <v/>
      </c>
      <c r="DD9" s="141">
        <f>IF(AND(DADOS!$CZ$8&lt;&gt;2,'FICHA PESSOAL'!$D$71&lt;&gt;"",OR('FICHA PESSOAL'!$M$71="Escudo",N('FICHA PESSOAL'!$S$71)=1)),'FICHA PESSOAL'!$D$71,"")</f>
        <v/>
      </c>
      <c r="DF9" s="141">
        <f>IF(DADOS!$CZ$34&gt;=DADOS!$CC$8,DADOS!$BX$8,"")</f>
        <v/>
      </c>
      <c r="DH9" s="114" t="inlineStr">
        <is>
          <t>Par</t>
        </is>
      </c>
      <c r="DI9" s="114" t="inlineStr">
        <is>
          <t>Role dois dados de dano e fique com o melhor.</t>
        </is>
      </c>
      <c r="DK9" s="114" t="inlineStr">
        <is>
          <t>arma da secundária</t>
        </is>
      </c>
      <c r="DL9" s="141">
        <f>IF(OR(DADOS!$CZ$17=0,DADOS!$CZ$18=""),"",IF(DADOS!$CZ$19=1,'FICHA PESSOAL'!$S$41&amp;CHAR(10)&amp;"O escudo ocupa uma mão, soma com a sua proteção venha ela de onde vier, e ainda permite somar Destreza — se você não estiver de Revestimento —, com um teto para o quanto ela pode entrar.",'FICHA PESSOAL'!$S$41&amp;IF(ISNUMBER(SEARCH(" · "&amp;DADOS!$DH$5&amp;" · "," · "&amp;DADOS!$CZ$21&amp;" · ")),CHAR(10)&amp;DADOS!$DH$5&amp;": "&amp;DADOS!$DI$5&amp;" Nesta arma: 3 m.","")&amp;IF(ISNUMBER(SEARCH(" · "&amp;DADOS!$DH$6&amp;" · "," · "&amp;DADOS!$CZ$21&amp;" · ")),CHAR(10)&amp;DADOS!$DH$6&amp;": "&amp;DADOS!$DI$6&amp;IF(DADOS!$CZ$23&lt;&gt;""," Nesta arma: "&amp;DADOS!$CZ$23&amp;".",""),"")&amp;IF(ISNUMBER(SEARCH(" · "&amp;DADOS!$DH$8&amp;" · "," · "&amp;DADOS!$CZ$21&amp;" · ")),CHAR(10)&amp;DADOS!$DH$8&amp;": "&amp;DADOS!$DI$8,"")&amp;IF(ISNUMBER(SEARCH(" · "&amp;DADOS!$DH$9&amp;" · "," · "&amp;DADOS!$CZ$21&amp;" · ")),CHAR(10)&amp;DADOS!$DH$9&amp;": "&amp;DADOS!$DI$9,"")&amp;IF(ISNUMBER(SEARCH(" · "&amp;DADOS!$DH$10&amp;" · "," · "&amp;DADOS!$CZ$21&amp;" · ")),CHAR(10)&amp;DADOS!$DH$10&amp;": "&amp;DADOS!$DI$10,"")&amp;IF(ISNUMBER(SEARCH(" · "&amp;DADOS!$DH$11&amp;" · "," · "&amp;DADOS!$CZ$21&amp;" · ")),CHAR(10)&amp;DADOS!$DH$11&amp;": "&amp;DADOS!$DI$11,"")&amp;IF(ISNUMBER(SEARCH(" · "&amp;DADOS!$DH$12&amp;" · "," · "&amp;DADOS!$CZ$21&amp;" · ")),CHAR(10)&amp;DADOS!$DH$12&amp;": "&amp;DADOS!$DI$12&amp;IF(DADOS!$CZ$24&amp;""&lt;&gt;""," Nesta arma, X = "&amp;DADOS!$CZ$24&amp;".",""),"")&amp;IF(ISNUMBER(SEARCH("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"&amp;DADOS!$DI$18,"")&amp;IF(ISNUMBER(SEARCH(" · "&amp;DADOS!$DH$19&amp;" · "," · "&amp;DADOS!$CZ$21&amp;" · ")),CHAR(10)&amp;DADOS!$DH$19&amp;": "&amp;DADOS!$DI$19,"")))</f>
        <v/>
      </c>
      <c r="DM9" s="141">
        <f>ADDRESS(ROW('FICHA PESSOAL'!S43),COLUMN('FICHA PESSOAL'!S43),4)</f>
        <v/>
      </c>
      <c r="DO9" s="114" t="inlineStr">
        <is>
          <t>situação do traje</t>
        </is>
      </c>
      <c r="DP9" s="141">
        <f>ADDRESS(ROW('FICHA PESSOAL'!AN63),COLUMN('FICHA PESSOAL'!AN63),4)</f>
        <v/>
      </c>
    </row>
    <row r="10" ht="17.25" customHeight="1">
      <c r="A10" s="38" t="n"/>
      <c r="B10" s="114" t="inlineStr">
        <is>
          <t>Intuição</t>
        </is>
      </c>
      <c r="C10" s="114" t="inlineStr">
        <is>
          <t>Entalhador</t>
        </is>
      </c>
      <c r="D10" s="114" t="inlineStr">
        <is>
          <t>Tempo</t>
        </is>
      </c>
      <c r="E10" s="114" t="inlineStr">
        <is>
          <t>Cura</t>
        </is>
      </c>
      <c r="F10" s="114" t="inlineStr">
        <is>
          <t>Perseguir</t>
        </is>
      </c>
      <c r="G10" s="114" t="inlineStr">
        <is>
          <t>Carregar</t>
        </is>
      </c>
      <c r="H10" s="114" t="inlineStr">
        <is>
          <t>Calado</t>
        </is>
      </c>
      <c r="I10" s="114" t="inlineStr">
        <is>
          <t>Latente · Sem Técnica</t>
        </is>
      </c>
      <c r="J10" s="38" t="n"/>
      <c r="K10" s="38" t="n"/>
      <c r="L10" s="114" t="inlineStr">
        <is>
          <t>Elo</t>
        </is>
      </c>
      <c r="M10" s="38" t="n"/>
      <c r="N10" s="38" t="n"/>
      <c r="O10" s="38" t="n"/>
      <c r="P10" s="38" t="n"/>
      <c r="Q10" s="38" t="n"/>
      <c r="R10" s="38" t="n"/>
      <c r="S10" s="38" t="n"/>
      <c r="T10" s="38" t="n"/>
      <c r="U10" s="38" t="n"/>
      <c r="V10" s="38" t="n"/>
      <c r="W10" s="141" t="n">
        <v>26</v>
      </c>
      <c r="X10" s="38" t="n"/>
      <c r="Y10" s="141" t="n">
        <v>21</v>
      </c>
      <c r="Z10" s="38" t="n"/>
      <c r="AA10" s="38" t="n"/>
      <c r="AB10" s="114" t="inlineStr">
        <is>
          <t>Investigação</t>
        </is>
      </c>
      <c r="AC10" s="114" t="inlineStr">
        <is>
          <t>Inteligência</t>
        </is>
      </c>
      <c r="AD10" s="38" t="n"/>
      <c r="AE10" s="114" t="inlineStr">
        <is>
          <t>Revestimento 3</t>
        </is>
      </c>
      <c r="AF10" s="141" t="n">
        <v>6</v>
      </c>
      <c r="AG10" s="141" t="n">
        <v>0</v>
      </c>
      <c r="AH10" s="141" t="inlineStr">
        <is>
          <t>sim</t>
        </is>
      </c>
      <c r="AI10" s="38" t="n"/>
      <c r="AJ10" s="114" t="inlineStr">
        <is>
          <t>marcos de Corpo</t>
        </is>
      </c>
      <c r="AK10" s="141">
        <f>IFERROR(VALUE(FICHA!$AQ$40&amp;""),0)</f>
        <v/>
      </c>
      <c r="AL10" s="38" t="n"/>
      <c r="AM10" s="114">
        <f>$A$8</f>
        <v/>
      </c>
      <c r="AN10" s="114">
        <f>$L$9</f>
        <v/>
      </c>
      <c r="AO10" s="114" t="inlineStr">
        <is>
          <t>Vanguarda</t>
        </is>
      </c>
      <c r="AP10" s="38" t="n"/>
      <c r="AQ10" s="141" t="n">
        <v>7</v>
      </c>
      <c r="AR10" s="141" t="n">
        <v>1800</v>
      </c>
      <c r="AS10" s="38" t="n"/>
      <c r="AT10" s="38" t="n"/>
      <c r="AU10" s="38" t="n"/>
      <c r="AV10" s="38" t="n"/>
      <c r="AW10" s="38" t="n"/>
      <c r="AX10" s="38" t="n"/>
      <c r="AY10" s="38" t="n"/>
      <c r="AZ10" s="38" t="n"/>
      <c r="BA10" s="114" t="inlineStr">
        <is>
          <t>xp</t>
        </is>
      </c>
      <c r="BB10" s="114">
        <f>ADDRESS(ROW(FICHA!AN11),COLUMN(FICHA!AN11),4)</f>
        <v/>
      </c>
      <c r="BD10" s="114" t="inlineStr">
        <is>
          <t>Canivete</t>
        </is>
      </c>
      <c r="BE10" s="114" t="inlineStr">
        <is>
          <t>Lâmina Curta</t>
        </is>
      </c>
      <c r="BF10" s="141" t="n">
        <v>1</v>
      </c>
      <c r="BG10" s="114" t="inlineStr">
        <is>
          <t>d4</t>
        </is>
      </c>
      <c r="BH10" s="114" t="inlineStr">
        <is>
          <t>Fineza · Oculta · Rompe</t>
        </is>
      </c>
      <c r="BI10" s="114" t="inlineStr">
        <is>
          <t>—</t>
        </is>
      </c>
      <c r="BJ10" s="141" t="n">
        <v>0.1</v>
      </c>
      <c r="BM10" s="141">
        <f>'FICHA PESSOAL'!$AE$49</f>
        <v/>
      </c>
      <c r="BN10" s="141">
        <f>ADDRESS(ROW('FICHA PESSOAL'!AE49),COLUMN('FICHA PESSOAL'!AE49),4)</f>
        <v/>
      </c>
      <c r="BP10" s="114" t="inlineStr">
        <is>
          <t>Massa</t>
        </is>
      </c>
      <c r="BQ10" s="114" t="inlineStr">
        <is>
          <t>Simples</t>
        </is>
      </c>
      <c r="BR10" s="114" t="inlineStr">
        <is>
          <t>não</t>
        </is>
      </c>
      <c r="BS10" s="141">
        <f>'FICHA PESSOAL'!$AM$48</f>
        <v/>
      </c>
      <c r="BT10" s="141">
        <f>ADDRESS(ROW('FICHA PESSOAL'!AM48),COLUMN('FICHA PESSOAL'!AM48),4)</f>
        <v/>
      </c>
      <c r="BX10" s="114" t="inlineStr">
        <is>
          <t>Revestimento 3</t>
        </is>
      </c>
      <c r="BY10" s="141" t="n">
        <v>6</v>
      </c>
      <c r="BZ10" s="141" t="n">
        <v>0</v>
      </c>
      <c r="CA10" s="141" t="n">
        <v>6</v>
      </c>
      <c r="CB10" s="141" t="n">
        <v>4</v>
      </c>
      <c r="CC10" s="141" t="n">
        <v>3</v>
      </c>
      <c r="CD10" s="114" t="inlineStr">
        <is>
          <t>Grau 2</t>
        </is>
      </c>
      <c r="CJ10" s="114" t="inlineStr">
        <is>
          <t>Multidão</t>
        </is>
      </c>
      <c r="CL10" s="114" t="inlineStr">
        <is>
          <t>Solo complexa</t>
        </is>
      </c>
      <c r="CM10" s="141" t="n">
        <v>150</v>
      </c>
      <c r="CU10" s="114" t="inlineStr">
        <is>
          <t>Especial</t>
        </is>
      </c>
      <c r="CY10" s="114" t="inlineStr">
        <is>
          <t>propriedades da principal</t>
        </is>
      </c>
      <c r="CZ10" s="141">
        <f>IF(DADOS!$CZ$6=1,"",IFERROR(VLOOKUP('FICHA PESSOAL'!$D$41,'FICHA PESSOAL'!$D$69:$AH$76,20,FALSE)&amp;"",""))</f>
        <v/>
      </c>
      <c r="DB10" s="141">
        <f>IF(AND('FICHA PESSOAL'!$D$73&lt;&gt;"",'FICHA PESSOAL'!$M$73&lt;&gt;"Escudo"),'FICHA PESSOAL'!$D$73,"")</f>
        <v/>
      </c>
      <c r="DD10" s="141">
        <f>IF(AND(DADOS!$CZ$8&lt;&gt;2,'FICHA PESSOAL'!$D$72&lt;&gt;"",OR('FICHA PESSOAL'!$M$72="Escudo",N('FICHA PESSOAL'!$S$72)=1)),'FICHA PESSOAL'!$D$72,"")</f>
        <v/>
      </c>
      <c r="DF10" s="141">
        <f>IF(DADOS!$CZ$34&gt;=DADOS!$CC$9,DADOS!$BX$9,"")</f>
        <v/>
      </c>
      <c r="DH10" s="114" t="inlineStr">
        <is>
          <t>Oculta</t>
        </is>
      </c>
      <c r="DI10" s="114" t="inlineStr">
        <is>
          <t>Você esconde a arma no corpo: arma com esta propriedade se esconde nas vestes ou no corpo sem precisar de teste, diferente das outras.</t>
        </is>
      </c>
      <c r="DO10" s="114" t="inlineStr">
        <is>
          <t>xp total</t>
        </is>
      </c>
      <c r="DP10" s="141">
        <f>ADDRESS(ROW('FICHA PESSOAL'!AW11),COLUMN('FICHA PESSOAL'!AW11),4)</f>
        <v/>
      </c>
    </row>
    <row r="11" ht="17.25" customHeight="1">
      <c r="A11" s="38" t="n"/>
      <c r="B11" s="114" t="inlineStr">
        <is>
          <t>Ocultismo</t>
        </is>
      </c>
      <c r="C11" s="114" t="inlineStr">
        <is>
          <t>Alfaiate</t>
        </is>
      </c>
      <c r="D11" s="114" t="inlineStr">
        <is>
          <t>Marca</t>
        </is>
      </c>
      <c r="E11" s="114" t="inlineStr">
        <is>
          <t>Apoio</t>
        </is>
      </c>
      <c r="F11" s="114" t="inlineStr">
        <is>
          <t>Maior</t>
        </is>
      </c>
      <c r="G11" s="114" t="inlineStr">
        <is>
          <t>Tudo ou Nada</t>
        </is>
      </c>
      <c r="H11" s="114" t="inlineStr">
        <is>
          <t>Enfeitiçado</t>
        </is>
      </c>
      <c r="I11" s="38" t="inlineStr">
        <is>
          <t>Receptáculo · Sem Técnica</t>
        </is>
      </c>
      <c r="J11" s="38" t="n"/>
      <c r="K11" s="38" t="n"/>
      <c r="L11" s="114" t="inlineStr">
        <is>
          <t>Sutura</t>
        </is>
      </c>
      <c r="M11" s="38" t="n"/>
      <c r="N11" s="38" t="n"/>
      <c r="O11" s="38" t="n"/>
      <c r="P11" s="38" t="n"/>
      <c r="Q11" s="38" t="n"/>
      <c r="R11" s="38" t="n"/>
      <c r="S11" s="38" t="n"/>
      <c r="T11" s="38" t="n"/>
      <c r="U11" s="38" t="n"/>
      <c r="V11" s="38" t="n"/>
      <c r="W11" s="141" t="n">
        <v>30</v>
      </c>
      <c r="X11" s="38" t="n"/>
      <c r="Y11" s="141" t="n">
        <v>26</v>
      </c>
      <c r="Z11" s="38" t="n"/>
      <c r="AA11" s="38" t="n"/>
      <c r="AB11" s="114" t="inlineStr">
        <is>
          <t>Intuição</t>
        </is>
      </c>
      <c r="AC11" s="114" t="inlineStr">
        <is>
          <t>Inteligência</t>
        </is>
      </c>
      <c r="AD11" s="38" t="n"/>
      <c r="AE11" s="114" t="inlineStr">
        <is>
          <t>Broquel</t>
        </is>
      </c>
      <c r="AF11" s="141" t="n">
        <v>1</v>
      </c>
      <c r="AG11" s="141" t="n">
        <v>5</v>
      </c>
      <c r="AH11" s="141" t="inlineStr">
        <is>
          <t>não</t>
        </is>
      </c>
      <c r="AI11" s="38" t="n"/>
      <c r="AJ11" s="114" t="inlineStr">
        <is>
          <t>pontos de Corpo usados</t>
        </is>
      </c>
      <c r="AK11" s="141">
        <f>IFERROR(VALUE(FICHA!$AK$15&amp;""),0)+IFERROR(VALUE(FICHA!$AM$15&amp;""),0)+IFERROR(VALUE(FICHA!$AO$15&amp;""),0)+IFERROR(VALUE(FICHA!$AQ$15&amp;""),0)+IFERROR(VALUE(FICHA!$AS$15&amp;""),0)</f>
        <v/>
      </c>
      <c r="AL11" s="38" t="n"/>
      <c r="AM11" s="38" t="n"/>
      <c r="AN11" s="114">
        <f>$L$10</f>
        <v/>
      </c>
      <c r="AO11" s="114" t="inlineStr">
        <is>
          <t>Guia</t>
        </is>
      </c>
      <c r="AP11" s="38" t="n"/>
      <c r="AQ11" s="141" t="n">
        <v>8</v>
      </c>
      <c r="AR11" s="141" t="n">
        <v>2300</v>
      </c>
      <c r="AS11" s="38" t="n"/>
      <c r="AT11" s="38" t="n"/>
      <c r="AU11" s="38" t="n"/>
      <c r="AV11" s="38" t="n"/>
      <c r="AW11" s="38" t="n"/>
      <c r="AX11" s="38" t="n"/>
      <c r="AY11" s="38" t="n"/>
      <c r="AZ11" s="38" t="n"/>
      <c r="BA11" s="114" t="inlineStr">
        <is>
          <t>atr_Força</t>
        </is>
      </c>
      <c r="BB11" s="114">
        <f>ADDRESS(ROW(FICHA!D19),COLUMN(FICHA!D19),4)</f>
        <v/>
      </c>
      <c r="BD11" s="114" t="inlineStr">
        <is>
          <t>Cassetete</t>
        </is>
      </c>
      <c r="BE11" s="114" t="inlineStr">
        <is>
          <t>Porrete</t>
        </is>
      </c>
      <c r="BF11" s="141" t="n">
        <v>1</v>
      </c>
      <c r="BG11" s="114" t="inlineStr">
        <is>
          <t>d6</t>
        </is>
      </c>
      <c r="BH11" s="114" t="inlineStr">
        <is>
          <t>Oculta · Vestida</t>
        </is>
      </c>
      <c r="BI11" s="114" t="inlineStr">
        <is>
          <t>—</t>
        </is>
      </c>
      <c r="BJ11" s="141" t="n">
        <v>0.1</v>
      </c>
      <c r="BM11" s="141">
        <f>'FICHA PESSOAL'!$V$51</f>
        <v/>
      </c>
      <c r="BN11" s="141">
        <f>ADDRESS(ROW('FICHA PESSOAL'!V51),COLUMN('FICHA PESSOAL'!V51),4)</f>
        <v/>
      </c>
      <c r="BP11" s="114" t="inlineStr">
        <is>
          <t>Balestra</t>
        </is>
      </c>
      <c r="BQ11" s="114" t="inlineStr">
        <is>
          <t>Simples</t>
        </is>
      </c>
      <c r="BR11" s="114" t="inlineStr">
        <is>
          <t>sim</t>
        </is>
      </c>
      <c r="BS11" s="141">
        <f>'FICHA PESSOAL'!$V$58</f>
        <v/>
      </c>
      <c r="BT11" s="141">
        <f>ADDRESS(ROW('FICHA PESSOAL'!V58),COLUMN('FICHA PESSOAL'!V58),4)</f>
        <v/>
      </c>
      <c r="CJ11" s="114" t="inlineStr">
        <is>
          <t>Terreno instável</t>
        </is>
      </c>
      <c r="CY11" s="114" t="inlineStr">
        <is>
          <t>força da principal</t>
        </is>
      </c>
      <c r="CZ11" s="141">
        <f>IF(DADOS!$CZ$6=1,0,IFERROR(VALUE(VLOOKUP('FICHA PESSOAL'!$D$41,'FICHA PESSOAL'!$D$69:$AH$76,28,FALSE)&amp;""),0))</f>
        <v/>
      </c>
      <c r="DB11" s="141">
        <f>IF(AND('FICHA PESSOAL'!$D$74&lt;&gt;"",'FICHA PESSOAL'!$M$74&lt;&gt;"Escudo"),'FICHA PESSOAL'!$D$74,"")</f>
        <v/>
      </c>
      <c r="DD11" s="141">
        <f>IF(AND(DADOS!$CZ$8&lt;&gt;2,'FICHA PESSOAL'!$D$73&lt;&gt;"",OR('FICHA PESSOAL'!$M$73="Escudo",N('FICHA PESSOAL'!$S$73)=1)),'FICHA PESSOAL'!$D$73,"")</f>
        <v/>
      </c>
      <c r="DF11" s="141">
        <f>IF(DADOS!$CZ$34&gt;=DADOS!$CC$10,DADOS!$BX$10,"")</f>
        <v/>
      </c>
      <c r="DH11" s="114" t="inlineStr">
        <is>
          <t>Versátil</t>
        </is>
      </c>
      <c r="DI11" s="114" t="inlineStr">
        <is>
          <t>Nas duas mãos, o dado sobe um passo: d6→d8, d8→d10, d10→d12.</t>
        </is>
      </c>
      <c r="DO11" s="114" t="inlineStr">
        <is>
          <t>treino</t>
        </is>
      </c>
      <c r="DP11" s="141">
        <f>ADDRESS(ROW('FICHA PESSOAL'!D48),COLUMN('FICHA PESSOAL'!D48),4)&amp;":"&amp;ADDRESS(ROW('FICHA PESSOAL'!AT60),COLUMN('FICHA PESSOAL'!AT60),4)</f>
        <v/>
      </c>
    </row>
    <row r="12" ht="17.25" customHeight="1">
      <c r="A12" s="38" t="n"/>
      <c r="B12" s="114" t="inlineStr">
        <is>
          <t>Religião</t>
        </is>
      </c>
      <c r="C12" s="114" t="inlineStr">
        <is>
          <t>Culinária</t>
        </is>
      </c>
      <c r="D12" s="114" t="inlineStr">
        <is>
          <t>Amparo</t>
        </is>
      </c>
      <c r="E12" s="114" t="inlineStr">
        <is>
          <t>Onda</t>
        </is>
      </c>
      <c r="F12" s="114" t="inlineStr">
        <is>
          <t>Muito Maior</t>
        </is>
      </c>
      <c r="G12" s="114" t="inlineStr">
        <is>
          <t>Uma Vez</t>
        </is>
      </c>
      <c r="H12" s="114" t="inlineStr">
        <is>
          <t>Impedido</t>
        </is>
      </c>
      <c r="I12" s="38" t="inlineStr">
        <is>
          <t>Descendente · Sem Técnica</t>
        </is>
      </c>
      <c r="J12" s="38" t="n"/>
      <c r="K12" s="38" t="n"/>
      <c r="L12" s="114" t="inlineStr">
        <is>
          <t>Perímetro</t>
        </is>
      </c>
      <c r="M12" s="38" t="n"/>
      <c r="N12" s="38" t="n"/>
      <c r="O12" s="38" t="n"/>
      <c r="P12" s="38" t="n"/>
      <c r="Q12" s="38" t="n"/>
      <c r="R12" s="38" t="n"/>
      <c r="S12" s="38" t="n"/>
      <c r="T12" s="38" t="n"/>
      <c r="U12" s="38" t="n"/>
      <c r="V12" s="38" t="n"/>
      <c r="W12" s="38" t="n"/>
      <c r="X12" s="38" t="n"/>
      <c r="Y12" s="38" t="n"/>
      <c r="Z12" s="38" t="n"/>
      <c r="AA12" s="38" t="n"/>
      <c r="AB12" s="114" t="inlineStr">
        <is>
          <t>Ocultismo</t>
        </is>
      </c>
      <c r="AC12" s="114" t="inlineStr">
        <is>
          <t>Inteligência</t>
        </is>
      </c>
      <c r="AD12" s="38" t="n"/>
      <c r="AE12" s="114" t="inlineStr">
        <is>
          <t>Médio</t>
        </is>
      </c>
      <c r="AF12" s="141" t="n">
        <v>2</v>
      </c>
      <c r="AG12" s="141" t="n">
        <v>3</v>
      </c>
      <c r="AH12" s="141" t="inlineStr">
        <is>
          <t>não</t>
        </is>
      </c>
      <c r="AI12" s="38" t="n"/>
      <c r="AJ12" s="114" t="inlineStr">
        <is>
          <t>marcos escolhidos</t>
        </is>
      </c>
      <c r="AK12" s="141">
        <f>IFERROR(VALUE(FICHA!$AO$40&amp;""),0)+IFERROR(VALUE(FICHA!$AQ$40&amp;""),0)+IFERROR(VALUE(FICHA!$AS$40&amp;""),0)</f>
        <v/>
      </c>
      <c r="AL12" s="38" t="n"/>
      <c r="AM12" s="38" t="n"/>
      <c r="AN12" s="114">
        <f>$L$11</f>
        <v/>
      </c>
      <c r="AO12" s="114" t="inlineStr">
        <is>
          <t>Guia</t>
        </is>
      </c>
      <c r="AP12" s="38" t="n"/>
      <c r="AQ12" s="141" t="n">
        <v>9</v>
      </c>
      <c r="AR12" s="141" t="n">
        <v>3000</v>
      </c>
      <c r="AS12" s="38" t="n"/>
      <c r="AT12" s="38" t="n"/>
      <c r="AU12" s="38" t="n"/>
      <c r="AV12" s="38" t="n"/>
      <c r="AW12" s="38" t="n"/>
      <c r="AX12" s="38" t="n"/>
      <c r="AY12" s="38" t="n"/>
      <c r="AZ12" s="38" t="n"/>
      <c r="BA12" s="114" t="inlineStr">
        <is>
          <t>atr_Destreza</t>
        </is>
      </c>
      <c r="BB12" s="114">
        <f>ADDRESS(ROW(FICHA!L19),COLUMN(FICHA!L19),4)</f>
        <v/>
      </c>
      <c r="BD12" s="114" t="inlineStr">
        <is>
          <t>Chakram</t>
        </is>
      </c>
      <c r="BE12" s="114" t="inlineStr">
        <is>
          <t>Arremesso</t>
        </is>
      </c>
      <c r="BF12" s="141" t="n">
        <v>1</v>
      </c>
      <c r="BG12" s="114" t="inlineStr">
        <is>
          <t>d4</t>
        </is>
      </c>
      <c r="BH12" s="114" t="inlineStr">
        <is>
          <t>Longo Alcance · Fineza · Oculta</t>
        </is>
      </c>
      <c r="BI12" s="114" t="inlineStr">
        <is>
          <t>—</t>
        </is>
      </c>
      <c r="BJ12" s="141" t="n">
        <v>0.1</v>
      </c>
      <c r="BK12" s="114" t="inlineStr">
        <is>
          <t>6 m, longa 18 m</t>
        </is>
      </c>
      <c r="BM12" s="141">
        <f>'FICHA PESSOAL'!$M$57</f>
        <v/>
      </c>
      <c r="BN12" s="141">
        <f>ADDRESS(ROW('FICHA PESSOAL'!M57),COLUMN('FICHA PESSOAL'!M57),4)</f>
        <v/>
      </c>
      <c r="BP12" s="114" t="inlineStr">
        <is>
          <t>Lâmina Longa</t>
        </is>
      </c>
      <c r="BQ12" s="114" t="inlineStr">
        <is>
          <t>Marciais</t>
        </is>
      </c>
      <c r="BR12" s="114" t="inlineStr">
        <is>
          <t>não</t>
        </is>
      </c>
      <c r="BS12" s="141">
        <f>'FICHA PESSOAL'!$D$48</f>
        <v/>
      </c>
      <c r="BT12" s="141">
        <f>ADDRESS(ROW('FICHA PESSOAL'!D48),COLUMN('FICHA PESSOAL'!D48),4)</f>
        <v/>
      </c>
      <c r="CJ12" s="114" t="inlineStr">
        <is>
          <t>Calor e fogo</t>
        </is>
      </c>
      <c r="CY12" s="114" t="inlineStr">
        <is>
          <t>nas duas mãos</t>
        </is>
      </c>
      <c r="CZ12" s="141">
        <f>IF(AND(ISNUMBER(SEARCH("Versátil",DADOS!$CZ$10)),'FICHA PESSOAL'!$S$41="Nas duas mãos"),1,0)</f>
        <v/>
      </c>
      <c r="DB12" s="141">
        <f>IF(AND('FICHA PESSOAL'!$D$75&lt;&gt;"",'FICHA PESSOAL'!$M$75&lt;&gt;"Escudo"),'FICHA PESSOAL'!$D$75,"")</f>
        <v/>
      </c>
      <c r="DD12" s="141">
        <f>IF(AND(DADOS!$CZ$8&lt;&gt;2,'FICHA PESSOAL'!$D$74&lt;&gt;"",OR('FICHA PESSOAL'!$M$74="Escudo",N('FICHA PESSOAL'!$S$74)=1)),'FICHA PESSOAL'!$D$74,"")</f>
        <v/>
      </c>
      <c r="DH12" s="114" t="inlineStr">
        <is>
          <t>Munição</t>
        </is>
      </c>
      <c r="DI12" s="114" t="inlineStr">
        <is>
          <t>Recarregar custa Ação Bônus. Você recarrega quando tirar 1 ou 2 natural no ataque, ou depois de X ataques, o que vier primeiro.</t>
        </is>
      </c>
      <c r="DO12" s="114" t="inlineStr">
        <is>
          <t>missões 1</t>
        </is>
      </c>
      <c r="DP12" s="141">
        <f>ADDRESS(ROW('FICHA PESSOAL'!AW15),COLUMN('FICHA PESSOAL'!AW15),4)&amp;":"&amp;ADDRESS(ROW('FICHA PESSOAL'!BA64),COLUMN('FICHA PESSOAL'!BA64),4)</f>
        <v/>
      </c>
    </row>
    <row r="13" ht="17.25" customHeight="1">
      <c r="A13" s="38" t="n"/>
      <c r="B13" s="114" t="inlineStr">
        <is>
          <t>História</t>
        </is>
      </c>
      <c r="C13" s="114" t="inlineStr">
        <is>
          <t>Instrumento</t>
        </is>
      </c>
      <c r="D13" s="38" t="n"/>
      <c r="E13" s="114" t="inlineStr">
        <is>
          <t>Efeito</t>
        </is>
      </c>
      <c r="F13" s="114" t="inlineStr">
        <is>
          <t>Escolher</t>
        </is>
      </c>
      <c r="G13" s="114" t="inlineStr">
        <is>
          <t>Condicional</t>
        </is>
      </c>
      <c r="H13" s="114" t="inlineStr">
        <is>
          <t>Cego</t>
        </is>
      </c>
      <c r="I13" s="38" t="inlineStr">
        <is>
          <t>Reencarnado · Sem Técnica</t>
        </is>
      </c>
      <c r="J13" s="38" t="n"/>
      <c r="K13" s="38" t="n"/>
      <c r="L13" s="114" t="inlineStr">
        <is>
          <t>Torrente</t>
        </is>
      </c>
      <c r="M13" s="38" t="n"/>
      <c r="N13" s="38" t="n"/>
      <c r="O13" s="38" t="n"/>
      <c r="P13" s="38" t="n"/>
      <c r="Q13" s="38" t="n"/>
      <c r="R13" s="38" t="n"/>
      <c r="S13" s="38" t="n"/>
      <c r="T13" s="38" t="n"/>
      <c r="U13" s="38" t="n"/>
      <c r="V13" s="38" t="n"/>
      <c r="W13" s="38" t="n"/>
      <c r="X13" s="38" t="n"/>
      <c r="Y13" s="38" t="n"/>
      <c r="Z13" s="38" t="n"/>
      <c r="AA13" s="38" t="n"/>
      <c r="AB13" s="114" t="inlineStr">
        <is>
          <t>Religião</t>
        </is>
      </c>
      <c r="AC13" s="114" t="inlineStr">
        <is>
          <t>Inteligência</t>
        </is>
      </c>
      <c r="AD13" s="38" t="n"/>
      <c r="AE13" s="114" t="inlineStr">
        <is>
          <t>Torre</t>
        </is>
      </c>
      <c r="AF13" s="141" t="n">
        <v>3</v>
      </c>
      <c r="AG13" s="141" t="n">
        <v>1</v>
      </c>
      <c r="AH13" s="141" t="inlineStr">
        <is>
          <t>não</t>
        </is>
      </c>
      <c r="AI13" s="38" t="n"/>
      <c r="AJ13" s="114" t="inlineStr">
        <is>
          <t>perícias treinadas</t>
        </is>
      </c>
      <c r="AK13" s="141">
        <f>COUNTIF(FICHA!$D$64:$D$74,TRUE)+COUNTIF(FICHA!$T$63:$T$74,TRUE)</f>
        <v/>
      </c>
      <c r="AL13" s="38" t="n"/>
      <c r="AM13" s="38" t="n"/>
      <c r="AN13" s="114">
        <f>$L$12</f>
        <v/>
      </c>
      <c r="AO13" s="114" t="inlineStr">
        <is>
          <t>Guia</t>
        </is>
      </c>
      <c r="AP13" s="38" t="n"/>
      <c r="AQ13" s="141" t="n">
        <v>10</v>
      </c>
      <c r="AR13" s="141" t="n">
        <v>3700</v>
      </c>
      <c r="AS13" s="38" t="n"/>
      <c r="AT13" s="38" t="n"/>
      <c r="AU13" s="38" t="n"/>
      <c r="AV13" s="38" t="n"/>
      <c r="AW13" s="38" t="n"/>
      <c r="AX13" s="38" t="n"/>
      <c r="AY13" s="38" t="n"/>
      <c r="AZ13" s="38" t="n"/>
      <c r="BA13" s="114" t="inlineStr">
        <is>
          <t>atr_Constituição</t>
        </is>
      </c>
      <c r="BB13" s="114">
        <f>ADDRESS(ROW(FICHA!T19),COLUMN(FICHA!T19),4)</f>
        <v/>
      </c>
      <c r="BD13" s="114" t="inlineStr">
        <is>
          <t>Chicote</t>
        </is>
      </c>
      <c r="BE13" s="114" t="inlineStr">
        <is>
          <t>Flexível</t>
        </is>
      </c>
      <c r="BF13" s="141" t="n">
        <v>1</v>
      </c>
      <c r="BG13" s="114" t="inlineStr">
        <is>
          <t>d4</t>
        </is>
      </c>
      <c r="BH13" s="114" t="inlineStr">
        <is>
          <t>Alcance · Emaranha · Oculta</t>
        </is>
      </c>
      <c r="BI13" s="114" t="inlineStr">
        <is>
          <t>—</t>
        </is>
      </c>
      <c r="BJ13" s="141" t="n">
        <v>0.1</v>
      </c>
      <c r="BM13" s="141">
        <f>'FICHA PESSOAL'!$AE$55</f>
        <v/>
      </c>
      <c r="BN13" s="141">
        <f>ADDRESS(ROW('FICHA PESSOAL'!AE55),COLUMN('FICHA PESSOAL'!AE55),4)</f>
        <v/>
      </c>
      <c r="BP13" s="114" t="inlineStr">
        <is>
          <t>Machado</t>
        </is>
      </c>
      <c r="BQ13" s="114" t="inlineStr">
        <is>
          <t>Marciais</t>
        </is>
      </c>
      <c r="BR13" s="114" t="inlineStr">
        <is>
          <t>não</t>
        </is>
      </c>
      <c r="BS13" s="141">
        <f>'FICHA PESSOAL'!$D$57</f>
        <v/>
      </c>
      <c r="BT13" s="141">
        <f>ADDRESS(ROW('FICHA PESSOAL'!D57),COLUMN('FICHA PESSOAL'!D57),4)</f>
        <v/>
      </c>
      <c r="CJ13" s="114" t="inlineStr">
        <is>
          <t>Outra Situação</t>
        </is>
      </c>
      <c r="CY13" s="114" t="inlineStr">
        <is>
          <t>dado em uso</t>
        </is>
      </c>
      <c r="CZ13" s="141">
        <f>IF(DADOS!$CZ$12=1,IF(DADOS!$CZ$9="d6","d8",IF(DADOS!$CZ$9="d8","d10",IF(DADOS!$CZ$9="d10","d12",DADOS!$CZ$9))),DADOS!$CZ$9)</f>
        <v/>
      </c>
      <c r="DB13" s="141">
        <f>IF(AND('FICHA PESSOAL'!$D$76&lt;&gt;"",'FICHA PESSOAL'!$M$76&lt;&gt;"Escudo"),'FICHA PESSOAL'!$D$76,"")</f>
        <v/>
      </c>
      <c r="DD13" s="141">
        <f>IF(AND(DADOS!$CZ$8&lt;&gt;2,'FICHA PESSOAL'!$D$75&lt;&gt;"",OR('FICHA PESSOAL'!$M$75="Escudo",N('FICHA PESSOAL'!$S$75)=1)),'FICHA PESSOAL'!$D$75,"")</f>
        <v/>
      </c>
      <c r="DH13" s="114" t="inlineStr">
        <is>
          <t>Rompe</t>
        </is>
      </c>
      <c r="DI13" s="114" t="inlineStr">
        <is>
          <t>Vantagem contra objeto e estrutura.</t>
        </is>
      </c>
      <c r="DO13" s="114" t="inlineStr">
        <is>
          <t>missões 2</t>
        </is>
      </c>
      <c r="DP13" s="141">
        <f>ADDRESS(ROW('FICHA PESSOAL'!BC15),COLUMN('FICHA PESSOAL'!BC15),4)&amp;":"&amp;ADDRESS(ROW('FICHA PESSOAL'!BG64),COLUMN('FICHA PESSOAL'!BG64),4)</f>
        <v/>
      </c>
    </row>
    <row r="14" ht="17.25" customHeight="1">
      <c r="A14" s="38" t="n"/>
      <c r="B14" s="114" t="inlineStr">
        <is>
          <t>Hierarquia</t>
        </is>
      </c>
      <c r="C14" s="114" t="inlineStr">
        <is>
          <t>Jogatina</t>
        </is>
      </c>
      <c r="D14" s="38" t="n"/>
      <c r="E14" s="38" t="n"/>
      <c r="F14" s="114" t="inlineStr">
        <is>
          <t>Fica</t>
        </is>
      </c>
      <c r="G14" s="114" t="inlineStr">
        <is>
          <t>Fraqueza</t>
        </is>
      </c>
      <c r="H14" s="114" t="inlineStr">
        <is>
          <t>Amedrontado</t>
        </is>
      </c>
      <c r="I14" s="38" t="inlineStr">
        <is>
          <t>Feto · Sem Técnica</t>
        </is>
      </c>
      <c r="J14" s="38" t="n"/>
      <c r="K14" s="38" t="n"/>
      <c r="L14" s="114" t="inlineStr">
        <is>
          <t>Explosivo</t>
        </is>
      </c>
      <c r="M14" s="38" t="n"/>
      <c r="N14" s="38" t="n"/>
      <c r="O14" s="38" t="n"/>
      <c r="P14" s="38" t="n"/>
      <c r="Q14" s="38" t="n"/>
      <c r="R14" s="38" t="n"/>
      <c r="S14" s="38" t="n"/>
      <c r="T14" s="38" t="n"/>
      <c r="U14" s="38" t="n"/>
      <c r="V14" s="38" t="n"/>
      <c r="W14" s="38" t="n"/>
      <c r="X14" s="38" t="n"/>
      <c r="Y14" s="38" t="n"/>
      <c r="Z14" s="38" t="n"/>
      <c r="AA14" s="38" t="n"/>
      <c r="AB14" s="114" t="inlineStr">
        <is>
          <t>História</t>
        </is>
      </c>
      <c r="AC14" s="114" t="inlineStr">
        <is>
          <t>Inteligência</t>
        </is>
      </c>
      <c r="AD14" s="38" t="n"/>
      <c r="AE14" s="114" t="inlineStr">
        <is>
          <t>Traje 1 + Broquel</t>
        </is>
      </c>
      <c r="AF14" s="141" t="n">
        <v>2</v>
      </c>
      <c r="AG14" s="141" t="n">
        <v>5</v>
      </c>
      <c r="AH14" s="141" t="inlineStr">
        <is>
          <t>sim</t>
        </is>
      </c>
      <c r="AI14" s="38" t="n"/>
      <c r="AJ14" s="114" t="inlineStr">
        <is>
          <t>ofícios treinados</t>
        </is>
      </c>
      <c r="AK14" s="141">
        <f>COUNTIF(FICHA!$D$79:$D$84,TRUE)+COUNTIF(FICHA!$Q$79:$Q$83,TRUE)</f>
        <v/>
      </c>
      <c r="AL14" s="38" t="n"/>
      <c r="AM14" s="38" t="n"/>
      <c r="AN14" s="114">
        <f>$L$13</f>
        <v/>
      </c>
      <c r="AO14" s="114" t="inlineStr">
        <is>
          <t>Emanador</t>
        </is>
      </c>
      <c r="AP14" s="38" t="n"/>
      <c r="AQ14" s="141" t="n">
        <v>11</v>
      </c>
      <c r="AR14" s="141" t="n">
        <v>4400</v>
      </c>
      <c r="AS14" s="38" t="n"/>
      <c r="AT14" s="38" t="n"/>
      <c r="AU14" s="38" t="n"/>
      <c r="AV14" s="38" t="n"/>
      <c r="AW14" s="38" t="n"/>
      <c r="AX14" s="38" t="n"/>
      <c r="AY14" s="38" t="n"/>
      <c r="AZ14" s="38" t="n"/>
      <c r="BA14" s="114" t="inlineStr">
        <is>
          <t>atr_Inteligência</t>
        </is>
      </c>
      <c r="BB14" s="114">
        <f>ADDRESS(ROW(FICHA!AB19),COLUMN(FICHA!AB19),4)</f>
        <v/>
      </c>
      <c r="BD14" s="114" t="inlineStr">
        <is>
          <t>Corrente</t>
        </is>
      </c>
      <c r="BE14" s="114" t="inlineStr">
        <is>
          <t>Flexível</t>
        </is>
      </c>
      <c r="BF14" s="141" t="n">
        <v>2</v>
      </c>
      <c r="BG14" s="114" t="inlineStr">
        <is>
          <t>d8</t>
        </is>
      </c>
      <c r="BH14" s="114" t="inlineStr">
        <is>
          <t>Alcance · Emaranha · Rompe</t>
        </is>
      </c>
      <c r="BI14" s="114" t="inlineStr">
        <is>
          <t>—</t>
        </is>
      </c>
      <c r="BJ14" s="141" t="n">
        <v>2</v>
      </c>
      <c r="BM14" s="141">
        <f>'FICHA PESSOAL'!$AE$56</f>
        <v/>
      </c>
      <c r="BN14" s="141">
        <f>ADDRESS(ROW('FICHA PESSOAL'!AE56),COLUMN('FICHA PESSOAL'!AE56),4)</f>
        <v/>
      </c>
      <c r="BP14" s="114" t="inlineStr">
        <is>
          <t>Armas Longas</t>
        </is>
      </c>
      <c r="BQ14" s="114" t="inlineStr">
        <is>
          <t>Marciais</t>
        </is>
      </c>
      <c r="BR14" s="114" t="inlineStr">
        <is>
          <t>não</t>
        </is>
      </c>
      <c r="BS14" s="141">
        <f>'FICHA PESSOAL'!$AM$54</f>
        <v/>
      </c>
      <c r="BT14" s="141">
        <f>ADDRESS(ROW('FICHA PESSOAL'!AM54),COLUMN('FICHA PESSOAL'!AM54),4)</f>
        <v/>
      </c>
      <c r="CY14" s="114" t="inlineStr">
        <is>
          <t>alcance da principal</t>
        </is>
      </c>
      <c r="CZ14" s="141">
        <f>IFERROR(VLOOKUP('FICHA PESSOAL'!$D$41,DADOS!$BD$5:$BN$59,8,FALSE)&amp;"","")</f>
        <v/>
      </c>
      <c r="DD14" s="141">
        <f>IF(AND(DADOS!$CZ$8&lt;&gt;2,'FICHA PESSOAL'!$D$76&lt;&gt;"",OR('FICHA PESSOAL'!$M$76="Escudo",N('FICHA PESSOAL'!$S$76)=1)),'FICHA PESSOAL'!$D$76,"")</f>
        <v/>
      </c>
      <c r="DH14" s="114" t="inlineStr">
        <is>
          <t>Emaranha</t>
        </is>
      </c>
      <c r="DI14" s="114" t="inlineStr">
        <is>
          <t>Você pode Agarrar sem largar a arma.</t>
        </is>
      </c>
      <c r="DO14" s="114" t="inlineStr">
        <is>
          <t>missões 3</t>
        </is>
      </c>
      <c r="DP14" s="141">
        <f>ADDRESS(ROW('FICHA PESSOAL'!BI15),COLUMN('FICHA PESSOAL'!BI15),4)&amp;":"&amp;ADDRESS(ROW('FICHA PESSOAL'!BM64),COLUMN('FICHA PESSOAL'!BM64),4)</f>
        <v/>
      </c>
    </row>
    <row r="15" ht="17.25" customHeight="1">
      <c r="A15" s="38" t="n"/>
      <c r="B15" s="114" t="inlineStr">
        <is>
          <t>Medicina</t>
        </is>
      </c>
      <c r="C15" s="38" t="n"/>
      <c r="D15" s="38" t="n"/>
      <c r="E15" s="38" t="n"/>
      <c r="F15" s="114" t="inlineStr">
        <is>
          <t>Mais Um</t>
        </is>
      </c>
      <c r="G15" s="114" t="inlineStr">
        <is>
          <t>Frágil</t>
        </is>
      </c>
      <c r="H15" s="114" t="inlineStr">
        <is>
          <t>Envenenado</t>
        </is>
      </c>
      <c r="I15" s="38" t="inlineStr">
        <is>
          <t>Corpo Amaldiçoado</t>
        </is>
      </c>
      <c r="J15" s="38" t="n"/>
      <c r="K15" s="38" t="n"/>
      <c r="L15" s="114" t="inlineStr">
        <is>
          <t>Arremate</t>
        </is>
      </c>
      <c r="M15" s="38" t="n"/>
      <c r="N15" s="38" t="n"/>
      <c r="O15" s="38" t="n"/>
      <c r="P15" s="38" t="n"/>
      <c r="Q15" s="38" t="n"/>
      <c r="R15" s="38" t="n"/>
      <c r="S15" s="38" t="n"/>
      <c r="T15" s="38" t="n"/>
      <c r="U15" s="38" t="n"/>
      <c r="V15" s="38" t="n"/>
      <c r="W15" s="38" t="n"/>
      <c r="X15" s="38" t="n"/>
      <c r="Y15" s="38" t="n"/>
      <c r="Z15" s="38" t="n"/>
      <c r="AA15" s="38" t="n"/>
      <c r="AB15" s="114" t="inlineStr">
        <is>
          <t>Hierarquia</t>
        </is>
      </c>
      <c r="AC15" s="114" t="inlineStr">
        <is>
          <t>Inteligência</t>
        </is>
      </c>
      <c r="AD15" s="38" t="n"/>
      <c r="AE15" s="114" t="inlineStr">
        <is>
          <t>Traje 1 + Médio</t>
        </is>
      </c>
      <c r="AF15" s="141" t="n">
        <v>3</v>
      </c>
      <c r="AG15" s="141" t="n">
        <v>3</v>
      </c>
      <c r="AH15" s="141" t="inlineStr">
        <is>
          <t>sim</t>
        </is>
      </c>
      <c r="AI15" s="38" t="n"/>
      <c r="AJ15" s="114" t="inlineStr">
        <is>
          <t>especializações</t>
        </is>
      </c>
      <c r="AK15" s="141">
        <f>COUNTIF(FICHA!$E$64:$E$74,TRUE)+COUNTIF(FICHA!$E$79:$E$84,TRUE)+COUNTIF(FICHA!$R$79:$R$83,TRUE)+COUNTIF(FICHA!$U$63:$U$74,TRUE)</f>
        <v/>
      </c>
      <c r="AL15" s="38" t="n"/>
      <c r="AM15" s="38" t="n"/>
      <c r="AN15" s="114">
        <f>$L$14</f>
        <v/>
      </c>
      <c r="AO15" s="114" t="inlineStr">
        <is>
          <t>Emanador</t>
        </is>
      </c>
      <c r="AP15" s="38" t="n"/>
      <c r="AQ15" s="141" t="n">
        <v>12</v>
      </c>
      <c r="AR15" s="141" t="n">
        <v>5300</v>
      </c>
      <c r="AS15" s="38" t="n"/>
      <c r="AT15" s="38" t="n"/>
      <c r="AU15" s="38" t="n"/>
      <c r="AV15" s="38" t="n"/>
      <c r="AW15" s="38" t="n"/>
      <c r="AX15" s="38" t="n"/>
      <c r="AY15" s="38" t="n"/>
      <c r="AZ15" s="38" t="n"/>
      <c r="BA15" s="114" t="inlineStr">
        <is>
          <t>atr_Essência</t>
        </is>
      </c>
      <c r="BB15" s="114">
        <f>ADDRESS(ROW(FICHA!AJ19),COLUMN(FICHA!AJ19),4)</f>
        <v/>
      </c>
      <c r="BD15" s="114" t="inlineStr">
        <is>
          <t>Daikyū</t>
        </is>
      </c>
      <c r="BE15" s="114" t="inlineStr">
        <is>
          <t>Yumi</t>
        </is>
      </c>
      <c r="BF15" s="141" t="n">
        <v>2</v>
      </c>
      <c r="BG15" s="114" t="inlineStr">
        <is>
          <t>1d10</t>
        </is>
      </c>
      <c r="BH15" s="114" t="inlineStr">
        <is>
          <t>Longo Alcance</t>
        </is>
      </c>
      <c r="BI15" s="114" t="inlineStr">
        <is>
          <t>—</t>
        </is>
      </c>
      <c r="BJ15" s="141" t="n">
        <v>2</v>
      </c>
      <c r="BK15" s="114" t="inlineStr">
        <is>
          <t>45 m, longa 180 m</t>
        </is>
      </c>
      <c r="BM15" s="141">
        <f>'FICHA PESSOAL'!$AM$59</f>
        <v/>
      </c>
      <c r="BN15" s="141">
        <f>ADDRESS(ROW('FICHA PESSOAL'!AM59),COLUMN('FICHA PESSOAL'!AM59),4)</f>
        <v/>
      </c>
      <c r="BP15" s="114" t="inlineStr">
        <is>
          <t>Flexível</t>
        </is>
      </c>
      <c r="BQ15" s="114" t="inlineStr">
        <is>
          <t>Marciais</t>
        </is>
      </c>
      <c r="BR15" s="114" t="inlineStr">
        <is>
          <t>não</t>
        </is>
      </c>
      <c r="BS15" s="141">
        <f>'FICHA PESSOAL'!$AE$54</f>
        <v/>
      </c>
      <c r="BT15" s="141">
        <f>ADDRESS(ROW('FICHA PESSOAL'!AE54),COLUMN('FICHA PESSOAL'!AE54),4)</f>
        <v/>
      </c>
      <c r="CY15" s="114" t="inlineStr">
        <is>
          <t>recarga da principal</t>
        </is>
      </c>
      <c r="CZ15" s="141">
        <f>IFERROR(VLOOKUP('FICHA PESSOAL'!$D$41,DADOS!$BD$5:$BN$59,9,FALSE)&amp;"","")</f>
        <v/>
      </c>
      <c r="DH15" s="114" t="inlineStr">
        <is>
          <t>Vestida</t>
        </is>
      </c>
      <c r="DI15" s="114" t="inlineStr">
        <is>
          <t>Não ocupa a mão.</t>
        </is>
      </c>
      <c r="DO15" s="114" t="inlineStr">
        <is>
          <t>missões 4</t>
        </is>
      </c>
      <c r="DP15" s="141">
        <f>ADDRESS(ROW('FICHA PESSOAL'!BO15),COLUMN('FICHA PESSOAL'!BO15),4)&amp;":"&amp;ADDRESS(ROW('FICHA PESSOAL'!BS64),COLUMN('FICHA PESSOAL'!BS64),4)</f>
        <v/>
      </c>
    </row>
    <row r="16" ht="17.25" customHeight="1">
      <c r="A16" s="38" t="n"/>
      <c r="B16" s="114" t="inlineStr">
        <is>
          <t>Sobrevivência</t>
        </is>
      </c>
      <c r="C16" s="38" t="n"/>
      <c r="D16" s="38" t="n"/>
      <c r="E16" s="38" t="n"/>
      <c r="F16" s="114" t="inlineStr">
        <is>
          <t>Rajada</t>
        </is>
      </c>
      <c r="G16" s="114" t="inlineStr">
        <is>
          <t>Barulho</t>
        </is>
      </c>
      <c r="H16" s="114" t="inlineStr">
        <is>
          <t>Atordoado</t>
        </is>
      </c>
      <c r="I16" s="38" t="inlineStr">
        <is>
          <t>Restrição Celestial · sem energia</t>
        </is>
      </c>
      <c r="J16" s="38" t="n"/>
      <c r="K16" s="38" t="n"/>
      <c r="L16" s="114" t="inlineStr">
        <is>
          <t>Servo</t>
        </is>
      </c>
      <c r="M16" s="38" t="n"/>
      <c r="N16" s="38" t="n"/>
      <c r="O16" s="38" t="n"/>
      <c r="P16" s="38" t="n"/>
      <c r="Q16" s="38" t="n"/>
      <c r="R16" s="38" t="n"/>
      <c r="S16" s="38" t="n"/>
      <c r="T16" s="38" t="n"/>
      <c r="U16" s="38" t="n"/>
      <c r="V16" s="38" t="n"/>
      <c r="W16" s="38" t="n"/>
      <c r="X16" s="38" t="n"/>
      <c r="Y16" s="38" t="n"/>
      <c r="Z16" s="38" t="n"/>
      <c r="AA16" s="38" t="n"/>
      <c r="AB16" s="114" t="inlineStr">
        <is>
          <t>Medicina</t>
        </is>
      </c>
      <c r="AC16" s="114" t="inlineStr">
        <is>
          <t>Inteligência</t>
        </is>
      </c>
      <c r="AD16" s="38" t="n"/>
      <c r="AE16" s="114" t="inlineStr">
        <is>
          <t>Traje 1 + Torre</t>
        </is>
      </c>
      <c r="AF16" s="141" t="n">
        <v>4</v>
      </c>
      <c r="AG16" s="141" t="n">
        <v>1</v>
      </c>
      <c r="AH16" s="141" t="inlineStr">
        <is>
          <t>sim</t>
        </is>
      </c>
      <c r="AI16" s="38" t="n"/>
      <c r="AJ16" s="114" t="inlineStr">
        <is>
          <t>Corpo que sobra</t>
        </is>
      </c>
      <c r="AK16" s="141">
        <f>DADOS!$AK$10-DADOS!$AK$15</f>
        <v/>
      </c>
      <c r="AL16" s="38" t="n"/>
      <c r="AM16" s="38" t="n"/>
      <c r="AN16" s="114">
        <f>$L$15</f>
        <v/>
      </c>
      <c r="AO16" s="114" t="inlineStr">
        <is>
          <t>Emanador</t>
        </is>
      </c>
      <c r="AP16" s="38" t="n"/>
      <c r="AQ16" s="141" t="n">
        <v>13</v>
      </c>
      <c r="AR16" s="141" t="n">
        <v>6200</v>
      </c>
      <c r="AS16" s="38" t="n"/>
      <c r="AT16" s="38" t="n"/>
      <c r="AU16" s="38" t="n"/>
      <c r="AV16" s="38" t="n"/>
      <c r="AW16" s="38" t="n"/>
      <c r="AX16" s="38" t="n"/>
      <c r="AY16" s="38" t="n"/>
      <c r="AZ16" s="38" t="n"/>
      <c r="BA16" s="114" t="inlineStr">
        <is>
          <t>atr_base_Força</t>
        </is>
      </c>
      <c r="BB16" s="114">
        <f>ADDRESS(ROW(FICHA!D21),COLUMN(FICHA!D21),4)</f>
        <v/>
      </c>
      <c r="BD16" s="114" t="inlineStr">
        <is>
          <t>Espada Longa</t>
        </is>
      </c>
      <c r="BE16" s="114" t="inlineStr">
        <is>
          <t>Lâmina Longa</t>
        </is>
      </c>
      <c r="BF16" s="141" t="n">
        <v>1</v>
      </c>
      <c r="BG16" s="114" t="inlineStr">
        <is>
          <t>d8</t>
        </is>
      </c>
      <c r="BH16" s="114" t="inlineStr">
        <is>
          <t>Versátil · Rompe</t>
        </is>
      </c>
      <c r="BI16" s="114" t="inlineStr">
        <is>
          <t>—</t>
        </is>
      </c>
      <c r="BJ16" s="141" t="n">
        <v>1</v>
      </c>
      <c r="BM16" s="141">
        <f>'FICHA PESSOAL'!$D$49</f>
        <v/>
      </c>
      <c r="BN16" s="141">
        <f>ADDRESS(ROW('FICHA PESSOAL'!D49),COLUMN('FICHA PESSOAL'!D49),4)</f>
        <v/>
      </c>
      <c r="BP16" s="114" t="inlineStr">
        <is>
          <t>Yumi</t>
        </is>
      </c>
      <c r="BQ16" s="114" t="inlineStr">
        <is>
          <t>Marciais</t>
        </is>
      </c>
      <c r="BR16" s="114" t="inlineStr">
        <is>
          <t>não</t>
        </is>
      </c>
      <c r="BS16" s="141">
        <f>'FICHA PESSOAL'!$AM$58</f>
        <v/>
      </c>
      <c r="BT16" s="141">
        <f>ADDRESS(ROW('FICHA PESSOAL'!AM58),COLUMN('FICHA PESSOAL'!AM58),4)</f>
        <v/>
      </c>
      <c r="CY16" s="114" t="inlineStr">
        <is>
          <t>treino da principal</t>
        </is>
      </c>
      <c r="CZ16" s="141">
        <f>IF(DADOS!$CZ$6=1,1,IF(IFERROR(VLOOKUP('FICHA PESSOAL'!$D$41,DADOS!$BD$5:$BN$59,10,FALSE),IFERROR(VLOOKUP(DADOS!$CZ$7,DADOS!$BP$5:$BT$17,4,FALSE),FALSE))=TRUE,1,0))</f>
        <v/>
      </c>
      <c r="DH16" s="114" t="inlineStr">
        <is>
          <t>Talha</t>
        </is>
      </c>
      <c r="DI16" s="114" t="inlineStr">
        <is>
          <t>A arma é ruim de aparar: −1 no Bloquear de quem se defende dela.</t>
        </is>
      </c>
      <c r="DO16" s="114" t="inlineStr">
        <is>
          <t>equipáveis</t>
        </is>
      </c>
      <c r="DP16" s="141">
        <f>ADDRESS(ROW('FICHA PESSOAL'!D69),COLUMN('FICHA PESSOAL'!D69),4)&amp;":"&amp;ADDRESS(ROW('FICHA PESSOAL'!AT76),COLUMN('FICHA PESSOAL'!AT76),4)</f>
        <v/>
      </c>
    </row>
    <row r="17" ht="17.25" customHeight="1">
      <c r="A17" s="38" t="n"/>
      <c r="B17" s="114" t="inlineStr">
        <is>
          <t>Natureza</t>
        </is>
      </c>
      <c r="C17" s="38" t="n"/>
      <c r="D17" s="38" t="n"/>
      <c r="E17" s="38" t="n"/>
      <c r="F17" s="114" t="inlineStr">
        <is>
          <t>Salto</t>
        </is>
      </c>
      <c r="G17" s="114" t="inlineStr">
        <is>
          <t>Assinatura</t>
        </is>
      </c>
      <c r="H17" s="114" t="n"/>
      <c r="I17" s="38" t="n"/>
      <c r="J17" s="38" t="n"/>
      <c r="K17" s="38" t="n"/>
      <c r="L17" s="114" t="inlineStr">
        <is>
          <t>Matilha</t>
        </is>
      </c>
      <c r="M17" s="38" t="n"/>
      <c r="N17" s="38" t="n"/>
      <c r="O17" s="38" t="n"/>
      <c r="P17" s="38" t="n"/>
      <c r="Q17" s="38" t="n"/>
      <c r="R17" s="38" t="n"/>
      <c r="S17" s="38" t="n"/>
      <c r="T17" s="38" t="n"/>
      <c r="U17" s="38" t="n"/>
      <c r="V17" s="38" t="n"/>
      <c r="W17" s="38" t="n"/>
      <c r="X17" s="38" t="n"/>
      <c r="Y17" s="38" t="n"/>
      <c r="Z17" s="38" t="n"/>
      <c r="AA17" s="38" t="n"/>
      <c r="AB17" s="114" t="inlineStr">
        <is>
          <t>Sobrevivência</t>
        </is>
      </c>
      <c r="AC17" s="114" t="inlineStr">
        <is>
          <t>Inteligência</t>
        </is>
      </c>
      <c r="AD17" s="38" t="n"/>
      <c r="AE17" s="114" t="inlineStr">
        <is>
          <t>Traje 2 + Broquel</t>
        </is>
      </c>
      <c r="AF17" s="141" t="n">
        <v>3</v>
      </c>
      <c r="AG17" s="141" t="n">
        <v>5</v>
      </c>
      <c r="AH17" s="141" t="inlineStr">
        <is>
          <t>sim</t>
        </is>
      </c>
      <c r="AI17" s="38" t="n"/>
      <c r="AJ17" s="114" t="inlineStr">
        <is>
          <t>rota do ofício</t>
        </is>
      </c>
      <c r="AK17" s="141">
        <f>IF((MAX(0,DADOS!$AK$13-9)+MAX(0,DADOS!$AK$14-2))&lt;=DADOS!$AK$16,1,IF((MAX(0,DADOS!$AK$13-10)+MAX(0,DADOS!$AK$14-0))&lt;=DADOS!$AK$16,2,IF((MAX(0,DADOS!$AK$13-9)+MAX(0,DADOS!$AK$14-2))&lt;=(MAX(0,DADOS!$AK$13-10)+MAX(0,DADOS!$AK$14-0)),1,2)))</f>
        <v/>
      </c>
      <c r="AL17" s="38" t="n"/>
      <c r="AM17" s="38" t="n"/>
      <c r="AN17" s="114">
        <f>$L$16</f>
        <v/>
      </c>
      <c r="AO17" s="114" t="inlineStr">
        <is>
          <t>Evocador</t>
        </is>
      </c>
      <c r="AP17" s="38" t="n"/>
      <c r="AQ17" s="141" t="n">
        <v>14</v>
      </c>
      <c r="AR17" s="141" t="n">
        <v>7100</v>
      </c>
      <c r="AS17" s="38" t="n"/>
      <c r="AT17" s="38" t="n"/>
      <c r="AU17" s="38" t="n"/>
      <c r="AV17" s="38" t="n"/>
      <c r="AW17" s="38" t="n"/>
      <c r="AX17" s="38" t="n"/>
      <c r="AY17" s="38" t="n"/>
      <c r="AZ17" s="38" t="n"/>
      <c r="BA17" s="114" t="inlineStr">
        <is>
          <t>atr_base_Destreza</t>
        </is>
      </c>
      <c r="BB17" s="114">
        <f>ADDRESS(ROW(FICHA!L21),COLUMN(FICHA!L21),4)</f>
        <v/>
      </c>
      <c r="BD17" s="114" t="inlineStr">
        <is>
          <t>Espadão</t>
        </is>
      </c>
      <c r="BE17" s="114" t="inlineStr">
        <is>
          <t>Lâmina Longa</t>
        </is>
      </c>
      <c r="BF17" s="141" t="n">
        <v>2</v>
      </c>
      <c r="BG17" s="114" t="inlineStr">
        <is>
          <t>d12</t>
        </is>
      </c>
      <c r="BH17" s="114" t="inlineStr">
        <is>
          <t>Alcance</t>
        </is>
      </c>
      <c r="BI17" s="141" t="n">
        <v>3</v>
      </c>
      <c r="BJ17" s="141" t="n">
        <v>2</v>
      </c>
      <c r="BM17" s="141">
        <f>'FICHA PESSOAL'!$D$50</f>
        <v/>
      </c>
      <c r="BN17" s="141">
        <f>ADDRESS(ROW('FICHA PESSOAL'!D50),COLUMN('FICHA PESSOAL'!D50),4)</f>
        <v/>
      </c>
      <c r="BP17" s="114" t="inlineStr">
        <is>
          <t>Arma de Fogo</t>
        </is>
      </c>
      <c r="BQ17" s="114" t="inlineStr">
        <is>
          <t>Arma de Fogo</t>
        </is>
      </c>
      <c r="BR17" s="114" t="inlineStr">
        <is>
          <t>sim</t>
        </is>
      </c>
      <c r="BS17" s="141">
        <f>'FICHA PESSOAL'!$M$48</f>
        <v/>
      </c>
      <c r="BT17" s="141">
        <f>ADDRESS(ROW('FICHA PESSOAL'!M48),COLUMN('FICHA PESSOAL'!M48),4)</f>
        <v/>
      </c>
      <c r="CY17" s="114" t="inlineStr">
        <is>
          <t>secundária vale</t>
        </is>
      </c>
      <c r="CZ17" s="141">
        <f>IF(AND(DADOS!$CZ$8&lt;&gt;2,'FICHA PESSOAL'!$S$41&lt;&gt;"",'FICHA PESSOAL'!$S$41&lt;&gt;"—",'FICHA PESSOAL'!$S$41&lt;&gt;"Nas duas mãos"),1,0)</f>
        <v/>
      </c>
      <c r="DH17" s="114" t="inlineStr">
        <is>
          <t>Volumosa</t>
        </is>
      </c>
      <c r="DI17" s="114" t="inlineStr">
        <is>
          <t>Não dá para esconder, e atrapalha em espaço apertado.</t>
        </is>
      </c>
      <c r="DO17" s="114" t="inlineStr">
        <is>
          <t>itens</t>
        </is>
      </c>
      <c r="DP17" s="141">
        <f>ADDRESS(ROW('FICHA PESSOAL'!D81),COLUMN('FICHA PESSOAL'!D81),4)&amp;":"&amp;ADDRESS(ROW('FICHA PESSOAL'!AT86),COLUMN('FICHA PESSOAL'!AT86),4)</f>
        <v/>
      </c>
    </row>
    <row r="18" ht="17.25" customHeight="1">
      <c r="A18" s="38" t="n"/>
      <c r="B18" s="114" t="inlineStr">
        <is>
          <t>Lidar com Animais</t>
        </is>
      </c>
      <c r="C18" s="38" t="n"/>
      <c r="D18" s="38" t="n"/>
      <c r="E18" s="38" t="n"/>
      <c r="F18" s="114" t="inlineStr">
        <is>
          <t>Contorno</t>
        </is>
      </c>
      <c r="G18" s="114" t="inlineStr">
        <is>
          <t>Aquecer</t>
        </is>
      </c>
      <c r="H18" s="38" t="n"/>
      <c r="I18" s="38" t="n"/>
      <c r="J18" s="38" t="n"/>
      <c r="K18" s="38" t="n"/>
      <c r="L18" s="114" t="inlineStr">
        <is>
          <t>Coro</t>
        </is>
      </c>
      <c r="M18" s="38" t="n"/>
      <c r="N18" s="38" t="n"/>
      <c r="O18" s="38" t="n"/>
      <c r="P18" s="38" t="n"/>
      <c r="Q18" s="38" t="n"/>
      <c r="R18" s="38" t="n"/>
      <c r="S18" s="38" t="n"/>
      <c r="T18" s="38" t="n"/>
      <c r="U18" s="38" t="n"/>
      <c r="V18" s="38" t="n"/>
      <c r="W18" s="38" t="n"/>
      <c r="X18" s="38" t="n"/>
      <c r="Y18" s="38" t="n"/>
      <c r="Z18" s="38" t="n"/>
      <c r="AA18" s="38" t="n"/>
      <c r="AB18" s="114" t="inlineStr">
        <is>
          <t>Natureza</t>
        </is>
      </c>
      <c r="AC18" s="114" t="inlineStr">
        <is>
          <t>Inteligência</t>
        </is>
      </c>
      <c r="AD18" s="38" t="n"/>
      <c r="AE18" s="114" t="inlineStr">
        <is>
          <t>Traje 2 + Médio</t>
        </is>
      </c>
      <c r="AF18" s="141" t="n">
        <v>4</v>
      </c>
      <c r="AG18" s="141" t="n">
        <v>3</v>
      </c>
      <c r="AH18" s="141" t="inlineStr">
        <is>
          <t>sim</t>
        </is>
      </c>
      <c r="AI18" s="38" t="n"/>
      <c r="AJ18" s="114" t="inlineStr">
        <is>
          <t>perícias por arma</t>
        </is>
      </c>
      <c r="AK18" s="141">
        <f>IF(OR(FICHA!$D$11="Guia",FICHA!$D$11="Emanador",FICHA!$D$11="Evocador"),IF(FICHA!$AK$65="2 armas (-4 pericias)",4,IF(FICHA!$AK$65="1 arma (-2 pericias)",2,0)),0)</f>
        <v/>
      </c>
      <c r="AL18" s="38" t="n"/>
      <c r="AM18" s="38" t="n"/>
      <c r="AN18" s="114">
        <f>$L$17</f>
        <v/>
      </c>
      <c r="AO18" s="114" t="inlineStr">
        <is>
          <t>Evocador</t>
        </is>
      </c>
      <c r="AP18" s="38" t="n"/>
      <c r="AQ18" s="141" t="n">
        <v>15</v>
      </c>
      <c r="AR18" s="141" t="n">
        <v>8200</v>
      </c>
      <c r="AS18" s="38" t="n"/>
      <c r="AT18" s="38" t="n"/>
      <c r="AU18" s="38" t="n"/>
      <c r="AV18" s="38" t="n"/>
      <c r="AW18" s="38" t="n"/>
      <c r="AX18" s="38" t="n"/>
      <c r="AY18" s="38" t="n"/>
      <c r="AZ18" s="38" t="n"/>
      <c r="BA18" s="114" t="inlineStr">
        <is>
          <t>atr_base_Constituição</t>
        </is>
      </c>
      <c r="BB18" s="114">
        <f>ADDRESS(ROW(FICHA!T21),COLUMN(FICHA!T21),4)</f>
        <v/>
      </c>
      <c r="BD18" s="114" t="inlineStr">
        <is>
          <t>Espingarda</t>
        </is>
      </c>
      <c r="BE18" s="114" t="inlineStr">
        <is>
          <t>Arma de Fogo</t>
        </is>
      </c>
      <c r="BF18" s="141" t="n">
        <v>2</v>
      </c>
      <c r="BG18" s="114" t="inlineStr">
        <is>
          <t>2d8</t>
        </is>
      </c>
      <c r="BH18" s="114" t="inlineStr">
        <is>
          <t>Longo Alcance · Munição · Rompe</t>
        </is>
      </c>
      <c r="BI18" s="141" t="n">
        <v>1</v>
      </c>
      <c r="BJ18" s="141" t="n">
        <v>2</v>
      </c>
      <c r="BK18" s="114" t="inlineStr">
        <is>
          <t>9 m, longa 27 m</t>
        </is>
      </c>
      <c r="BL18" s="141" t="n">
        <v>2</v>
      </c>
      <c r="BM18" s="141">
        <f>'FICHA PESSOAL'!$M$49</f>
        <v/>
      </c>
      <c r="BN18" s="141">
        <f>ADDRESS(ROW('FICHA PESSOAL'!M49),COLUMN('FICHA PESSOAL'!M49),4)</f>
        <v/>
      </c>
      <c r="CY18" s="114" t="inlineStr">
        <is>
          <t>categoria da secundária</t>
        </is>
      </c>
      <c r="CZ18" s="141">
        <f>IF(DADOS!$CZ$17=1,IFERROR(VLOOKUP('FICHA PESSOAL'!$S$41,'FICHA PESSOAL'!$D$69:$AH$76,10,FALSE)&amp;"",""),"")</f>
        <v/>
      </c>
      <c r="DH18" s="114" t="inlineStr">
        <is>
          <t>Embainhada</t>
        </is>
      </c>
      <c r="DI18" s="114" t="inlineStr">
        <is>
          <t>Não se saca sozinha: precisa de tempo, ou de outra pessoa.</t>
        </is>
      </c>
      <c r="DO18" s="114" t="inlineStr">
        <is>
          <t>volume dos itens 1</t>
        </is>
      </c>
      <c r="DP18" s="141">
        <f>ADDRESS(ROW('FICHA PESSOAL'!V81),COLUMN('FICHA PESSOAL'!V81),4)&amp;":"&amp;ADDRESS(ROW('FICHA PESSOAL'!V86),COLUMN('FICHA PESSOAL'!V86),4)</f>
        <v/>
      </c>
    </row>
    <row r="19" ht="17.25" customHeight="1">
      <c r="A19" s="38" t="n"/>
      <c r="B19" s="114" t="inlineStr">
        <is>
          <t>Tecnologia</t>
        </is>
      </c>
      <c r="C19" s="38" t="n"/>
      <c r="D19" s="38" t="n"/>
      <c r="E19" s="38" t="n"/>
      <c r="F19" s="114" t="inlineStr">
        <is>
          <t>Precisão</t>
        </is>
      </c>
      <c r="G19" s="114" t="inlineStr">
        <is>
          <t>Dívida</t>
        </is>
      </c>
      <c r="H19" s="38" t="n"/>
      <c r="I19" s="38" t="n"/>
      <c r="J19" s="38" t="n"/>
      <c r="K19" s="38" t="n"/>
      <c r="L19" s="38" t="n"/>
      <c r="M19" s="38" t="n"/>
      <c r="N19" s="38" t="n"/>
      <c r="O19" s="38" t="n"/>
      <c r="P19" s="38" t="n"/>
      <c r="Q19" s="38" t="n"/>
      <c r="R19" s="38" t="n"/>
      <c r="S19" s="38" t="n"/>
      <c r="T19" s="38" t="n"/>
      <c r="U19" s="38" t="n"/>
      <c r="V19" s="38" t="n"/>
      <c r="W19" s="38" t="n"/>
      <c r="X19" s="38" t="n"/>
      <c r="Y19" s="38" t="n"/>
      <c r="Z19" s="38" t="n"/>
      <c r="AA19" s="38" t="n"/>
      <c r="AB19" s="114" t="inlineStr">
        <is>
          <t>Lidar com Animais</t>
        </is>
      </c>
      <c r="AC19" s="114" t="inlineStr">
        <is>
          <t>Inteligência</t>
        </is>
      </c>
      <c r="AD19" s="38" t="n"/>
      <c r="AE19" s="114" t="inlineStr">
        <is>
          <t>Traje 2 + Torre</t>
        </is>
      </c>
      <c r="AF19" s="141" t="n">
        <v>5</v>
      </c>
      <c r="AG19" s="141" t="n">
        <v>1</v>
      </c>
      <c r="AH19" s="141" t="inlineStr">
        <is>
          <t>sim</t>
        </is>
      </c>
      <c r="AI19" s="38" t="n"/>
      <c r="AJ19" s="114" t="inlineStr">
        <is>
          <t>perícias da rota</t>
        </is>
      </c>
      <c r="AK19" s="141">
        <f>IF(DADOS!$AK$17=1,9,10)-DADOS!$AK$18</f>
        <v/>
      </c>
      <c r="AL19" s="38" t="n"/>
      <c r="AM19" s="38" t="n"/>
      <c r="AN19" s="114">
        <f>$L$18</f>
        <v/>
      </c>
      <c r="AO19" s="114" t="inlineStr">
        <is>
          <t>Evocador</t>
        </is>
      </c>
      <c r="AP19" s="38" t="n"/>
      <c r="AQ19" s="141" t="n">
        <v>16</v>
      </c>
      <c r="AR19" s="141" t="n">
        <v>9300</v>
      </c>
      <c r="AS19" s="38" t="n"/>
      <c r="AT19" s="38" t="n"/>
      <c r="AU19" s="38" t="n"/>
      <c r="AV19" s="38" t="n"/>
      <c r="AW19" s="38" t="n"/>
      <c r="AX19" s="38" t="n"/>
      <c r="AY19" s="38" t="n"/>
      <c r="AZ19" s="38" t="n"/>
      <c r="BA19" s="114" t="inlineStr">
        <is>
          <t>atr_base_Inteligência</t>
        </is>
      </c>
      <c r="BB19" s="114">
        <f>ADDRESS(ROW(FICHA!AB21),COLUMN(FICHA!AB21),4)</f>
        <v/>
      </c>
      <c r="BD19" s="114" t="inlineStr">
        <is>
          <t>Faca</t>
        </is>
      </c>
      <c r="BE19" s="114" t="inlineStr">
        <is>
          <t>Lâmina Curta</t>
        </is>
      </c>
      <c r="BF19" s="141" t="n">
        <v>1</v>
      </c>
      <c r="BG19" s="114" t="inlineStr">
        <is>
          <t>d6</t>
        </is>
      </c>
      <c r="BH19" s="114" t="inlineStr">
        <is>
          <t>Fineza · Rompe</t>
        </is>
      </c>
      <c r="BI19" s="114" t="inlineStr">
        <is>
          <t>—</t>
        </is>
      </c>
      <c r="BJ19" s="141" t="n">
        <v>1</v>
      </c>
      <c r="BM19" s="141">
        <f>'FICHA PESSOAL'!$AE$50</f>
        <v/>
      </c>
      <c r="BN19" s="141">
        <f>ADDRESS(ROW('FICHA PESSOAL'!AE50),COLUMN('FICHA PESSOAL'!AE50),4)</f>
        <v/>
      </c>
      <c r="CY19" s="114" t="inlineStr">
        <is>
          <t>escudo na secundária</t>
        </is>
      </c>
      <c r="CZ19" s="141">
        <f>IF(AND(DADOS!$CZ$17=1,DADOS!$CZ$18="Escudo"),1,0)</f>
        <v/>
      </c>
      <c r="DH19" s="114" t="inlineStr">
        <is>
          <t>Comprida</t>
        </is>
      </c>
      <c r="DI19" s="114" t="inlineStr">
        <is>
          <t>Perde no corpo a corpo colado.</t>
        </is>
      </c>
      <c r="DO19" s="114" t="inlineStr">
        <is>
          <t>volume dos itens 2</t>
        </is>
      </c>
      <c r="DP19" s="141">
        <f>ADDRESS(ROW('FICHA PESSOAL'!AR81),COLUMN('FICHA PESSOAL'!AR81),4)&amp;":"&amp;ADDRESS(ROW('FICHA PESSOAL'!AR86),COLUMN('FICHA PESSOAL'!AR86),4)</f>
        <v/>
      </c>
    </row>
    <row r="20" ht="17.25" customHeight="1">
      <c r="A20" s="38" t="n"/>
      <c r="B20" s="114" t="inlineStr">
        <is>
          <t>Sentir Energia</t>
        </is>
      </c>
      <c r="C20" s="38" t="n"/>
      <c r="D20" s="38" t="n"/>
      <c r="E20" s="38" t="n"/>
      <c r="F20" s="114" t="inlineStr">
        <is>
          <t>Certeiro</t>
        </is>
      </c>
      <c r="G20" s="114" t="inlineStr">
        <is>
          <t>Peso Morto</t>
        </is>
      </c>
      <c r="H20" s="38" t="n"/>
      <c r="I20" s="38" t="n"/>
      <c r="J20" s="38" t="n"/>
      <c r="K20" s="38" t="n"/>
      <c r="L20" s="38" t="n"/>
      <c r="M20" s="38" t="n"/>
      <c r="N20" s="38" t="n"/>
      <c r="O20" s="38" t="n"/>
      <c r="P20" s="38" t="n"/>
      <c r="Q20" s="38" t="n"/>
      <c r="R20" s="38" t="n"/>
      <c r="S20" s="38" t="n"/>
      <c r="T20" s="38" t="n"/>
      <c r="U20" s="38" t="n"/>
      <c r="V20" s="38" t="n"/>
      <c r="W20" s="38" t="n"/>
      <c r="X20" s="38" t="n"/>
      <c r="Y20" s="38" t="n"/>
      <c r="Z20" s="38" t="n"/>
      <c r="AA20" s="38" t="n"/>
      <c r="AB20" s="114" t="inlineStr">
        <is>
          <t>Tecnologia</t>
        </is>
      </c>
      <c r="AC20" s="114" t="inlineStr">
        <is>
          <t>Inteligência</t>
        </is>
      </c>
      <c r="AD20" s="38" t="n"/>
      <c r="AE20" s="114" t="inlineStr">
        <is>
          <t>Traje 3 + Broquel</t>
        </is>
      </c>
      <c r="AF20" s="141" t="n">
        <v>4</v>
      </c>
      <c r="AG20" s="141" t="n">
        <v>5</v>
      </c>
      <c r="AH20" s="141" t="inlineStr">
        <is>
          <t>sim</t>
        </is>
      </c>
      <c r="AI20" s="38" t="n"/>
      <c r="AJ20" s="114" t="inlineStr">
        <is>
          <t>ofícios da rota</t>
        </is>
      </c>
      <c r="AK20" s="141">
        <f>IF(DADOS!$AK$17=1,2,0)</f>
        <v/>
      </c>
      <c r="AL20" s="38" t="n"/>
      <c r="AM20" s="38" t="n"/>
      <c r="AN20" s="38" t="n"/>
      <c r="AO20" s="38" t="n"/>
      <c r="AP20" s="38" t="n"/>
      <c r="AQ20" s="141" t="n">
        <v>17</v>
      </c>
      <c r="AR20" s="141" t="n">
        <v>10400</v>
      </c>
      <c r="AS20" s="38" t="n"/>
      <c r="AT20" s="38" t="n"/>
      <c r="AU20" s="38" t="n"/>
      <c r="AV20" s="38" t="n"/>
      <c r="AW20" s="38" t="n"/>
      <c r="AX20" s="38" t="n"/>
      <c r="AY20" s="38" t="n"/>
      <c r="AZ20" s="38" t="n"/>
      <c r="BA20" s="114" t="inlineStr">
        <is>
          <t>atr_base_Essência</t>
        </is>
      </c>
      <c r="BB20" s="114">
        <f>ADDRESS(ROW(FICHA!AJ21),COLUMN(FICHA!AJ21),4)</f>
        <v/>
      </c>
      <c r="BD20" s="114" t="inlineStr">
        <is>
          <t>Foice</t>
        </is>
      </c>
      <c r="BE20" s="114" t="inlineStr">
        <is>
          <t>Ceifa</t>
        </is>
      </c>
      <c r="BF20" s="141" t="n">
        <v>2</v>
      </c>
      <c r="BG20" s="114" t="inlineStr">
        <is>
          <t>d10</t>
        </is>
      </c>
      <c r="BH20" s="114" t="inlineStr">
        <is>
          <t>Emaranha · Talha</t>
        </is>
      </c>
      <c r="BI20" s="141" t="n">
        <v>3</v>
      </c>
      <c r="BJ20" s="141" t="n">
        <v>2</v>
      </c>
      <c r="BM20" s="141">
        <f>'FICHA PESSOAL'!$V$55</f>
        <v/>
      </c>
      <c r="BN20" s="141">
        <f>ADDRESS(ROW('FICHA PESSOAL'!V55),COLUMN('FICHA PESSOAL'!V55),4)</f>
        <v/>
      </c>
      <c r="CY20" s="114" t="inlineStr">
        <is>
          <t>dado da secundária</t>
        </is>
      </c>
      <c r="CZ20" s="141">
        <f>IF(DADOS!$CZ$17=1,IFERROR(VLOOKUP('FICHA PESSOAL'!$S$41,'FICHA PESSOAL'!$D$69:$AH$76,18,FALSE)&amp;"",""),"")</f>
        <v/>
      </c>
      <c r="DO20" s="114" t="inlineStr">
        <is>
          <t>em uso</t>
        </is>
      </c>
      <c r="DP20" s="141">
        <f>ADDRESS(ROW('FICHA PESSOAL'!D38),COLUMN('FICHA PESSOAL'!D38),4)&amp;":"&amp;ADDRESS(ROW('FICHA PESSOAL'!AT44),COLUMN('FICHA PESSOAL'!AT44),4)</f>
        <v/>
      </c>
    </row>
    <row r="21" ht="17.25" customHeight="1">
      <c r="A21" s="38" t="n"/>
      <c r="B21" s="114" t="inlineStr">
        <is>
          <t>Percepção</t>
        </is>
      </c>
      <c r="C21" s="38" t="n"/>
      <c r="D21" s="38" t="n"/>
      <c r="E21" s="38" t="n"/>
      <c r="F21" s="114" t="inlineStr">
        <is>
          <t>Inescapável</t>
        </is>
      </c>
      <c r="G21" s="114" t="inlineStr">
        <is>
          <t>Sem Volta</t>
        </is>
      </c>
      <c r="H21" s="38" t="n"/>
      <c r="I21" s="38" t="n"/>
      <c r="J21" s="38" t="n"/>
      <c r="K21" s="38" t="n"/>
      <c r="L21" s="38" t="n"/>
      <c r="M21" s="38" t="n"/>
      <c r="N21" s="38" t="n"/>
      <c r="O21" s="38" t="n"/>
      <c r="P21" s="38" t="n"/>
      <c r="Q21" s="38" t="n"/>
      <c r="R21" s="38" t="n"/>
      <c r="S21" s="38" t="n"/>
      <c r="T21" s="38" t="n"/>
      <c r="U21" s="38" t="n"/>
      <c r="V21" s="38" t="n"/>
      <c r="W21" s="38" t="n"/>
      <c r="X21" s="38" t="n"/>
      <c r="Y21" s="38" t="n"/>
      <c r="Z21" s="38" t="n"/>
      <c r="AA21" s="38" t="n"/>
      <c r="AB21" s="114" t="inlineStr">
        <is>
          <t>Sentir Energia</t>
        </is>
      </c>
      <c r="AC21" s="114" t="inlineStr">
        <is>
          <t>Essência</t>
        </is>
      </c>
      <c r="AD21" s="38" t="n"/>
      <c r="AE21" s="114" t="inlineStr">
        <is>
          <t>Traje 3 + Médio</t>
        </is>
      </c>
      <c r="AF21" s="141" t="n">
        <v>5</v>
      </c>
      <c r="AG21" s="141" t="n">
        <v>3</v>
      </c>
      <c r="AH21" s="141" t="inlineStr">
        <is>
          <t>sim</t>
        </is>
      </c>
      <c r="AI21" s="38" t="n"/>
      <c r="AJ21" s="114" t="inlineStr">
        <is>
          <t>Corpo nas perícias</t>
        </is>
      </c>
      <c r="AK21" s="141">
        <f>MAX(0,DADOS!$AK$13-DADOS!$AK$19)</f>
        <v/>
      </c>
      <c r="AL21" s="38" t="n"/>
      <c r="AM21" s="38" t="n"/>
      <c r="AN21" s="38" t="n"/>
      <c r="AO21" s="38" t="n"/>
      <c r="AP21" s="38" t="n"/>
      <c r="AQ21" s="141" t="n">
        <v>18</v>
      </c>
      <c r="AR21" s="141" t="n">
        <v>11700</v>
      </c>
      <c r="AS21" s="38" t="n"/>
      <c r="AT21" s="38" t="n"/>
      <c r="AU21" s="38" t="n"/>
      <c r="AV21" s="38" t="n"/>
      <c r="AW21" s="38" t="n"/>
      <c r="AX21" s="38" t="n"/>
      <c r="AY21" s="38" t="n"/>
      <c r="AZ21" s="38" t="n"/>
      <c r="BA21" s="114" t="inlineStr">
        <is>
          <t>vida</t>
        </is>
      </c>
      <c r="BB21" s="114">
        <f>ADDRESS(ROW(FICHA!D26),COLUMN(FICHA!D26),4)</f>
        <v/>
      </c>
      <c r="BD21" s="114" t="inlineStr">
        <is>
          <t>Hankyū</t>
        </is>
      </c>
      <c r="BE21" s="114" t="inlineStr">
        <is>
          <t>Yumi</t>
        </is>
      </c>
      <c r="BF21" s="141" t="n">
        <v>2</v>
      </c>
      <c r="BG21" s="114" t="inlineStr">
        <is>
          <t>1d8</t>
        </is>
      </c>
      <c r="BH21" s="114" t="inlineStr">
        <is>
          <t>Longo Alcance · Oculta</t>
        </is>
      </c>
      <c r="BI21" s="114" t="inlineStr">
        <is>
          <t>—</t>
        </is>
      </c>
      <c r="BJ21" s="141" t="n">
        <v>2</v>
      </c>
      <c r="BK21" s="114" t="inlineStr">
        <is>
          <t>24 m, longa 96 m</t>
        </is>
      </c>
      <c r="BM21" s="141">
        <f>'FICHA PESSOAL'!$AM$60</f>
        <v/>
      </c>
      <c r="BN21" s="141">
        <f>ADDRESS(ROW('FICHA PESSOAL'!AM60),COLUMN('FICHA PESSOAL'!AM60),4)</f>
        <v/>
      </c>
      <c r="CY21" s="114" t="inlineStr">
        <is>
          <t>propriedades da secundária</t>
        </is>
      </c>
      <c r="CZ21" s="141">
        <f>IF(DADOS!$CZ$17=1,IFERROR(VLOOKUP('FICHA PESSOAL'!$S$41,'FICHA PESSOAL'!$D$69:$AH$76,20,FALSE)&amp;"",""),"")</f>
        <v/>
      </c>
      <c r="DO21" s="114" t="inlineStr">
        <is>
          <t>fileira</t>
        </is>
      </c>
      <c r="DP21" s="141">
        <f>ADDRESS(ROW('FICHA PESSOAL'!D62),COLUMN('FICHA PESSOAL'!D62),4)&amp;":"&amp;ADDRESS(ROW('FICHA PESSOAL'!AT64),COLUMN('FICHA PESSOAL'!AT64),4)</f>
        <v/>
      </c>
    </row>
    <row r="22" ht="17.25" customHeight="1">
      <c r="A22" s="38" t="n"/>
      <c r="B22" s="114" t="inlineStr">
        <is>
          <t>Persuasão</t>
        </is>
      </c>
      <c r="C22" s="38" t="n"/>
      <c r="D22" s="38" t="n"/>
      <c r="E22" s="38" t="n"/>
      <c r="F22" s="114" t="inlineStr">
        <is>
          <t>Fura</t>
        </is>
      </c>
      <c r="G22" s="114" t="inlineStr">
        <is>
          <t>Restrição Própria</t>
        </is>
      </c>
      <c r="H22" s="38" t="n"/>
      <c r="I22" s="38" t="n"/>
      <c r="J22" s="38" t="n"/>
      <c r="K22" s="38" t="n"/>
      <c r="L22" s="38" t="n"/>
      <c r="M22" s="38" t="n"/>
      <c r="N22" s="38" t="n"/>
      <c r="O22" s="38" t="n"/>
      <c r="P22" s="38" t="n"/>
      <c r="Q22" s="38" t="n"/>
      <c r="R22" s="38" t="n"/>
      <c r="S22" s="38" t="n"/>
      <c r="T22" s="38" t="n"/>
      <c r="U22" s="38" t="n"/>
      <c r="V22" s="38" t="n"/>
      <c r="W22" s="38" t="n"/>
      <c r="X22" s="38" t="n"/>
      <c r="Y22" s="38" t="n"/>
      <c r="Z22" s="38" t="n"/>
      <c r="AA22" s="38" t="n"/>
      <c r="AB22" s="114" t="inlineStr">
        <is>
          <t>Percepção</t>
        </is>
      </c>
      <c r="AC22" s="114" t="inlineStr">
        <is>
          <t>Essência</t>
        </is>
      </c>
      <c r="AD22" s="38" t="n"/>
      <c r="AE22" s="114" t="inlineStr">
        <is>
          <t>Traje 3 + Torre</t>
        </is>
      </c>
      <c r="AF22" s="141" t="n">
        <v>6</v>
      </c>
      <c r="AG22" s="141" t="n">
        <v>1</v>
      </c>
      <c r="AH22" s="141" t="inlineStr">
        <is>
          <t>sim</t>
        </is>
      </c>
      <c r="AI22" s="38" t="n"/>
      <c r="AJ22" s="114" t="inlineStr">
        <is>
          <t>Corpo nos ofícios</t>
        </is>
      </c>
      <c r="AK22" s="141">
        <f>MAX(0,DADOS!$AK$14-DADOS!$AK$20)</f>
        <v/>
      </c>
      <c r="AL22" s="38" t="n"/>
      <c r="AM22" s="38" t="n"/>
      <c r="AN22" s="38" t="n"/>
      <c r="AO22" s="38" t="n"/>
      <c r="AP22" s="38" t="n"/>
      <c r="AQ22" s="141" t="n">
        <v>19</v>
      </c>
      <c r="AR22" s="141" t="n">
        <v>13000</v>
      </c>
      <c r="AS22" s="38" t="n"/>
      <c r="AT22" s="38" t="n"/>
      <c r="AU22" s="38" t="n"/>
      <c r="AV22" s="38" t="n"/>
      <c r="AW22" s="38" t="n"/>
      <c r="AX22" s="38" t="n"/>
      <c r="AY22" s="38" t="n"/>
      <c r="AZ22" s="38" t="n"/>
      <c r="BA22" s="114" t="inlineStr">
        <is>
          <t>vida_max</t>
        </is>
      </c>
      <c r="BB22" s="114">
        <f>ADDRESS(ROW(FICHA!J26),COLUMN(FICHA!J26),4)</f>
        <v/>
      </c>
      <c r="BD22" s="114" t="inlineStr">
        <is>
          <t>Kama</t>
        </is>
      </c>
      <c r="BE22" s="114" t="inlineStr">
        <is>
          <t>Ceifa</t>
        </is>
      </c>
      <c r="BF22" s="141" t="n">
        <v>1</v>
      </c>
      <c r="BG22" s="114" t="inlineStr">
        <is>
          <t>d6</t>
        </is>
      </c>
      <c r="BH22" s="114" t="inlineStr">
        <is>
          <t>Par · Rompe</t>
        </is>
      </c>
      <c r="BI22" s="114" t="inlineStr">
        <is>
          <t>—</t>
        </is>
      </c>
      <c r="BJ22" s="141" t="n">
        <v>1</v>
      </c>
      <c r="BM22" s="141">
        <f>'FICHA PESSOAL'!$V$56</f>
        <v/>
      </c>
      <c r="BN22" s="141">
        <f>ADDRESS(ROW('FICHA PESSOAL'!V56),COLUMN('FICHA PESSOAL'!V56),4)</f>
        <v/>
      </c>
      <c r="CY22" s="114" t="inlineStr">
        <is>
          <t>força da secundária</t>
        </is>
      </c>
      <c r="CZ22" s="141">
        <f>IF(DADOS!$CZ$17=1,IFERROR(VALUE(VLOOKUP('FICHA PESSOAL'!$S$41,'FICHA PESSOAL'!$D$69:$AH$76,28,FALSE)&amp;""),0),0)</f>
        <v/>
      </c>
      <c r="DO22" s="114" t="inlineStr">
        <is>
          <t>cor da barra cheia</t>
        </is>
      </c>
      <c r="DP22" s="141">
        <f>ADDRESS(ROW(DADOS!CZ48),COLUMN(DADOS!CZ48),4)</f>
        <v/>
      </c>
    </row>
    <row r="23" ht="17.25" customHeight="1">
      <c r="A23" s="38" t="n"/>
      <c r="B23" s="114" t="inlineStr">
        <is>
          <t>Enganação</t>
        </is>
      </c>
      <c r="C23" s="38" t="n"/>
      <c r="D23" s="38" t="n"/>
      <c r="E23" s="38" t="n"/>
      <c r="F23" s="114" t="inlineStr">
        <is>
          <t>Corrói</t>
        </is>
      </c>
      <c r="G23" s="38" t="n"/>
      <c r="H23" s="38" t="n"/>
      <c r="I23" s="38" t="n"/>
      <c r="J23" s="38" t="n"/>
      <c r="K23" s="38" t="n"/>
      <c r="L23" s="38" t="n"/>
      <c r="M23" s="38" t="n"/>
      <c r="N23" s="38" t="n"/>
      <c r="O23" s="38" t="n"/>
      <c r="P23" s="38" t="n"/>
      <c r="Q23" s="38" t="n"/>
      <c r="R23" s="38" t="n"/>
      <c r="S23" s="38" t="n"/>
      <c r="T23" s="38" t="n"/>
      <c r="U23" s="38" t="n"/>
      <c r="V23" s="38" t="n"/>
      <c r="W23" s="38" t="n"/>
      <c r="X23" s="38" t="n"/>
      <c r="Y23" s="38" t="n"/>
      <c r="Z23" s="38" t="n"/>
      <c r="AA23" s="38" t="n"/>
      <c r="AB23" s="114" t="inlineStr">
        <is>
          <t>Persuasão</t>
        </is>
      </c>
      <c r="AC23" s="114" t="inlineStr">
        <is>
          <t>Essência</t>
        </is>
      </c>
      <c r="AD23" s="38" t="n"/>
      <c r="AE23" s="114" t="inlineStr">
        <is>
          <t>Revestimento 1 + Broquel</t>
        </is>
      </c>
      <c r="AF23" s="141" t="n">
        <v>5</v>
      </c>
      <c r="AG23" s="141" t="n">
        <v>0</v>
      </c>
      <c r="AH23" s="141" t="inlineStr">
        <is>
          <t>sim</t>
        </is>
      </c>
      <c r="AI23" s="38" t="n"/>
      <c r="AJ23" s="114" t="inlineStr">
        <is>
          <t>Corpo por escolher</t>
        </is>
      </c>
      <c r="AK23" s="141">
        <f>DADOS!$AK$16-DADOS!$AK$21-DADOS!$AK$22</f>
        <v/>
      </c>
      <c r="AL23" s="38" t="n"/>
      <c r="AM23" s="38" t="n"/>
      <c r="AN23" s="38" t="n"/>
      <c r="AO23" s="38" t="n"/>
      <c r="AP23" s="38" t="n"/>
      <c r="AQ23" s="141" t="n">
        <v>20</v>
      </c>
      <c r="AR23" s="141" t="n">
        <v>14300</v>
      </c>
      <c r="AS23" s="38" t="n"/>
      <c r="AT23" s="38" t="n"/>
      <c r="AU23" s="38" t="n"/>
      <c r="AV23" s="38" t="n"/>
      <c r="AW23" s="38" t="n"/>
      <c r="AX23" s="38" t="n"/>
      <c r="AY23" s="38" t="n"/>
      <c r="AZ23" s="38" t="n"/>
      <c r="BA23" s="114" t="inlineStr">
        <is>
          <t>vida_temp</t>
        </is>
      </c>
      <c r="BB23" s="114">
        <f>ADDRESS(ROW(FICHA!AF26),COLUMN(FICHA!AF26),4)</f>
        <v/>
      </c>
      <c r="BD23" s="114" t="inlineStr">
        <is>
          <t>Kanabō</t>
        </is>
      </c>
      <c r="BE23" s="114" t="inlineStr">
        <is>
          <t>Massa</t>
        </is>
      </c>
      <c r="BF23" s="141" t="n">
        <v>2</v>
      </c>
      <c r="BG23" s="114" t="inlineStr">
        <is>
          <t>d12</t>
        </is>
      </c>
      <c r="BH23" s="114" t="inlineStr">
        <is>
          <t>Talha</t>
        </is>
      </c>
      <c r="BI23" s="141" t="n">
        <v>3</v>
      </c>
      <c r="BJ23" s="141" t="n">
        <v>2</v>
      </c>
      <c r="BM23" s="141">
        <f>'FICHA PESSOAL'!$AM$49</f>
        <v/>
      </c>
      <c r="BN23" s="141">
        <f>ADDRESS(ROW('FICHA PESSOAL'!AM49),COLUMN('FICHA PESSOAL'!AM49),4)</f>
        <v/>
      </c>
      <c r="CY23" s="114" t="inlineStr">
        <is>
          <t>alcance da secundária</t>
        </is>
      </c>
      <c r="CZ23" s="141">
        <f>IF(DADOS!$CZ$17=1,IFERROR(VLOOKUP('FICHA PESSOAL'!$S$41,DADOS!$BD$5:$BN$59,8,FALSE)&amp;"",""),"")</f>
        <v/>
      </c>
    </row>
    <row r="24" ht="17.25" customHeight="1">
      <c r="A24" s="38" t="n"/>
      <c r="B24" s="114" t="inlineStr">
        <is>
          <t>Intimidação</t>
        </is>
      </c>
      <c r="C24" s="38" t="n"/>
      <c r="D24" s="38" t="n"/>
      <c r="E24" s="38" t="n"/>
      <c r="F24" s="114" t="inlineStr">
        <is>
          <t>Sem Cobertura</t>
        </is>
      </c>
      <c r="G24" s="38" t="n"/>
      <c r="H24" s="38" t="n"/>
      <c r="I24" s="38" t="n"/>
      <c r="J24" s="38" t="n"/>
      <c r="K24" s="38" t="n"/>
      <c r="L24" s="38" t="n"/>
      <c r="M24" s="38" t="n"/>
      <c r="N24" s="38" t="n"/>
      <c r="O24" s="38" t="n"/>
      <c r="P24" s="38" t="n"/>
      <c r="Q24" s="38" t="n"/>
      <c r="R24" s="38" t="n"/>
      <c r="S24" s="38" t="n"/>
      <c r="T24" s="38" t="n"/>
      <c r="U24" s="38" t="n"/>
      <c r="V24" s="38" t="n"/>
      <c r="W24" s="38" t="n"/>
      <c r="X24" s="38" t="n"/>
      <c r="Y24" s="38" t="n"/>
      <c r="Z24" s="38" t="n"/>
      <c r="AA24" s="38" t="n"/>
      <c r="AB24" s="114" t="inlineStr">
        <is>
          <t>Enganação</t>
        </is>
      </c>
      <c r="AC24" s="114" t="inlineStr">
        <is>
          <t>Essência</t>
        </is>
      </c>
      <c r="AD24" s="38" t="n"/>
      <c r="AE24" s="114" t="inlineStr">
        <is>
          <t>Revestimento 1 + Médio</t>
        </is>
      </c>
      <c r="AF24" s="141" t="n">
        <v>6</v>
      </c>
      <c r="AG24" s="141" t="n">
        <v>0</v>
      </c>
      <c r="AH24" s="141" t="inlineStr">
        <is>
          <t>sim</t>
        </is>
      </c>
      <c r="AI24" s="38" t="n"/>
      <c r="AJ24" s="114" t="inlineStr">
        <is>
          <t>treinos a mais</t>
        </is>
      </c>
      <c r="AK24" s="141">
        <f>MAX(0,-DADOS!$AK$23)</f>
        <v/>
      </c>
      <c r="AL24" s="38" t="n"/>
      <c r="AM24" s="38" t="n"/>
      <c r="AN24" s="38" t="n"/>
      <c r="AO24" s="38" t="n"/>
      <c r="AP24" s="38" t="n"/>
      <c r="AQ24" s="141" t="n">
        <v>21</v>
      </c>
      <c r="AR24" s="141" t="n">
        <v>15800</v>
      </c>
      <c r="AS24" s="38" t="n"/>
      <c r="AT24" s="38" t="n"/>
      <c r="AU24" s="38" t="n"/>
      <c r="AV24" s="38" t="n"/>
      <c r="AW24" s="38" t="n"/>
      <c r="AX24" s="38" t="n"/>
      <c r="AY24" s="38" t="n"/>
      <c r="AZ24" s="38" t="n"/>
      <c r="BA24" s="114" t="inlineStr">
        <is>
          <t>vida_delta</t>
        </is>
      </c>
      <c r="BB24" s="114">
        <f>ADDRESS(ROW(FICHA!AM26),COLUMN(FICHA!AM26),4)</f>
        <v/>
      </c>
      <c r="BD24" s="114" t="inlineStr">
        <is>
          <t>Katana</t>
        </is>
      </c>
      <c r="BE24" s="114" t="inlineStr">
        <is>
          <t>Lâmina Longa</t>
        </is>
      </c>
      <c r="BF24" s="141" t="n">
        <v>1</v>
      </c>
      <c r="BG24" s="114" t="inlineStr">
        <is>
          <t>d8</t>
        </is>
      </c>
      <c r="BH24" s="114" t="inlineStr">
        <is>
          <t>Versátil · Fineza</t>
        </is>
      </c>
      <c r="BI24" s="114" t="inlineStr">
        <is>
          <t>—</t>
        </is>
      </c>
      <c r="BJ24" s="141" t="n">
        <v>1</v>
      </c>
      <c r="BM24" s="141">
        <f>'FICHA PESSOAL'!$D$51</f>
        <v/>
      </c>
      <c r="BN24" s="141">
        <f>ADDRESS(ROW('FICHA PESSOAL'!D51),COLUMN('FICHA PESSOAL'!D51),4)</f>
        <v/>
      </c>
      <c r="CY24" s="114" t="inlineStr">
        <is>
          <t>recarga da secundária</t>
        </is>
      </c>
      <c r="CZ24" s="141">
        <f>IF(DADOS!$CZ$17=1,IFERROR(VLOOKUP('FICHA PESSOAL'!$S$41,DADOS!$BD$5:$BN$59,9,FALSE)&amp;"",""),"")</f>
        <v/>
      </c>
    </row>
    <row r="25" ht="17.25" customHeight="1">
      <c r="A25" s="38" t="n"/>
      <c r="B25" s="114" t="inlineStr">
        <is>
          <t>Atuação</t>
        </is>
      </c>
      <c r="C25" s="38" t="n"/>
      <c r="D25" s="38" t="n"/>
      <c r="E25" s="38" t="n"/>
      <c r="F25" s="114" t="inlineStr">
        <is>
          <t>De Novo</t>
        </is>
      </c>
      <c r="G25" s="38" t="n"/>
      <c r="H25" s="38" t="n"/>
      <c r="I25" s="38" t="n"/>
      <c r="J25" s="38" t="n"/>
      <c r="K25" s="38" t="n"/>
      <c r="L25" s="38" t="n"/>
      <c r="M25" s="38" t="n"/>
      <c r="N25" s="38" t="n"/>
      <c r="O25" s="38" t="n"/>
      <c r="P25" s="38" t="n"/>
      <c r="Q25" s="38" t="n"/>
      <c r="R25" s="38" t="n"/>
      <c r="S25" s="38" t="n"/>
      <c r="T25" s="38" t="n"/>
      <c r="U25" s="38" t="n"/>
      <c r="V25" s="38" t="n"/>
      <c r="W25" s="38" t="n"/>
      <c r="X25" s="38" t="n"/>
      <c r="Y25" s="38" t="n"/>
      <c r="Z25" s="38" t="n"/>
      <c r="AA25" s="38" t="n"/>
      <c r="AB25" s="114" t="inlineStr">
        <is>
          <t>Intimidação</t>
        </is>
      </c>
      <c r="AC25" s="114" t="inlineStr">
        <is>
          <t>Essência</t>
        </is>
      </c>
      <c r="AD25" s="38" t="n"/>
      <c r="AE25" s="114" t="inlineStr">
        <is>
          <t>Revestimento 1 + Torre</t>
        </is>
      </c>
      <c r="AF25" s="141" t="n">
        <v>7</v>
      </c>
      <c r="AG25" s="141" t="n">
        <v>0</v>
      </c>
      <c r="AH25" s="141" t="inlineStr">
        <is>
          <t>sim</t>
        </is>
      </c>
      <c r="AI25" s="38" t="n"/>
      <c r="AJ25" s="114" t="inlineStr">
        <is>
          <t>perícias que faltam</t>
        </is>
      </c>
      <c r="AK25" s="141">
        <f>MAX(0,DADOS!$AK$19-DADOS!$AK$13)</f>
        <v/>
      </c>
      <c r="AL25" s="38" t="n"/>
      <c r="AM25" s="38" t="n"/>
      <c r="AN25" s="38" t="n"/>
      <c r="AO25" s="38" t="n"/>
      <c r="AP25" s="38" t="n"/>
      <c r="AQ25" s="141" t="n">
        <v>22</v>
      </c>
      <c r="AR25" s="141" t="n">
        <v>17300</v>
      </c>
      <c r="AS25" s="38" t="n"/>
      <c r="AT25" s="38" t="n"/>
      <c r="AU25" s="38" t="n"/>
      <c r="AV25" s="38" t="n"/>
      <c r="AW25" s="38" t="n"/>
      <c r="AX25" s="38" t="n"/>
      <c r="AY25" s="38" t="n"/>
      <c r="AZ25" s="38" t="n"/>
      <c r="BA25" s="114" t="inlineStr">
        <is>
          <t>energia</t>
        </is>
      </c>
      <c r="BB25" s="114">
        <f>ADDRESS(ROW(FICHA!D30),COLUMN(FICHA!D30),4)</f>
        <v/>
      </c>
      <c r="BD25" s="114" t="inlineStr">
        <is>
          <t>Kunai</t>
        </is>
      </c>
      <c r="BE25" s="114" t="inlineStr">
        <is>
          <t>Arremesso</t>
        </is>
      </c>
      <c r="BF25" s="141" t="n">
        <v>1</v>
      </c>
      <c r="BG25" s="114" t="inlineStr">
        <is>
          <t>d6</t>
        </is>
      </c>
      <c r="BH25" s="114" t="inlineStr">
        <is>
          <t>Longo Alcance · Oculta</t>
        </is>
      </c>
      <c r="BI25" s="114" t="inlineStr">
        <is>
          <t>—</t>
        </is>
      </c>
      <c r="BJ25" s="141" t="n">
        <v>0.1</v>
      </c>
      <c r="BK25" s="114" t="inlineStr">
        <is>
          <t>6 m, longa 18 m</t>
        </is>
      </c>
      <c r="BM25" s="141">
        <f>'FICHA PESSOAL'!$M$58</f>
        <v/>
      </c>
      <c r="BN25" s="141">
        <f>ADDRESS(ROW('FICHA PESSOAL'!M58),COLUMN('FICHA PESSOAL'!M58),4)</f>
        <v/>
      </c>
      <c r="CY25" s="114" t="inlineStr">
        <is>
          <t>guardados para a principal</t>
        </is>
      </c>
      <c r="CZ25" s="141">
        <f>SUMPRODUCT(--('FICHA PESSOAL'!$D$69:$D$76&lt;&gt;""),--('FICHA PESSOAL'!$M$69:$M$76&lt;&gt;"Escudo"))</f>
        <v/>
      </c>
    </row>
    <row r="26" ht="17.25" customHeight="1">
      <c r="A26" s="38" t="n"/>
      <c r="B26" s="114" t="inlineStr">
        <is>
          <t>Provocar</t>
        </is>
      </c>
      <c r="C26" s="38" t="n"/>
      <c r="D26" s="38" t="n"/>
      <c r="E26" s="38" t="n"/>
      <c r="F26" s="114" t="inlineStr">
        <is>
          <t>Toca a Alma</t>
        </is>
      </c>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c r="AA26" s="38" t="n"/>
      <c r="AB26" s="114" t="inlineStr">
        <is>
          <t>Atuação</t>
        </is>
      </c>
      <c r="AC26" s="114" t="inlineStr">
        <is>
          <t>Essência</t>
        </is>
      </c>
      <c r="AD26" s="38" t="n"/>
      <c r="AE26" s="114" t="inlineStr">
        <is>
          <t>Revestimento 2 + Broquel</t>
        </is>
      </c>
      <c r="AF26" s="141" t="n">
        <v>6</v>
      </c>
      <c r="AG26" s="141" t="n">
        <v>0</v>
      </c>
      <c r="AH26" s="141" t="inlineStr">
        <is>
          <t>sim</t>
        </is>
      </c>
      <c r="AI26" s="38" t="n"/>
      <c r="AJ26" s="114" t="inlineStr">
        <is>
          <t>ofícios que faltam</t>
        </is>
      </c>
      <c r="AK26" s="141">
        <f>MAX(0,DADOS!$AK$20-DADOS!$AK$14)</f>
        <v/>
      </c>
      <c r="AL26" s="38" t="n"/>
      <c r="AM26" s="38" t="n"/>
      <c r="AN26" s="38" t="n"/>
      <c r="AO26" s="38" t="n"/>
      <c r="AP26" s="38" t="n"/>
      <c r="AQ26" s="141" t="n">
        <v>23</v>
      </c>
      <c r="AR26" s="141" t="n">
        <v>18800</v>
      </c>
      <c r="AS26" s="38" t="n"/>
      <c r="AT26" s="38" t="n"/>
      <c r="AU26" s="38" t="n"/>
      <c r="AV26" s="38" t="n"/>
      <c r="AW26" s="38" t="n"/>
      <c r="AX26" s="38" t="n"/>
      <c r="AY26" s="38" t="n"/>
      <c r="AZ26" s="38" t="n"/>
      <c r="BA26" s="114" t="inlineStr">
        <is>
          <t>energia_max</t>
        </is>
      </c>
      <c r="BB26" s="114">
        <f>ADDRESS(ROW(FICHA!J30),COLUMN(FICHA!J30),4)</f>
        <v/>
      </c>
      <c r="BD26" s="114" t="inlineStr">
        <is>
          <t>Kusarigama</t>
        </is>
      </c>
      <c r="BE26" s="114" t="inlineStr">
        <is>
          <t>Ceifa</t>
        </is>
      </c>
      <c r="BF26" s="141" t="n">
        <v>2</v>
      </c>
      <c r="BG26" s="114" t="inlineStr">
        <is>
          <t>d8</t>
        </is>
      </c>
      <c r="BH26" s="114" t="inlineStr">
        <is>
          <t>Alcance · Emaranha · Longo Alcance</t>
        </is>
      </c>
      <c r="BI26" s="114" t="inlineStr">
        <is>
          <t>—</t>
        </is>
      </c>
      <c r="BJ26" s="141" t="n">
        <v>2</v>
      </c>
      <c r="BK26" s="114" t="inlineStr">
        <is>
          <t>6 m, longa 18 m</t>
        </is>
      </c>
      <c r="BM26" s="141">
        <f>'FICHA PESSOAL'!$V$57</f>
        <v/>
      </c>
      <c r="BN26" s="141">
        <f>ADDRESS(ROW('FICHA PESSOAL'!V57),COLUMN('FICHA PESSOAL'!V57),4)</f>
        <v/>
      </c>
      <c r="CY26" s="114" t="inlineStr">
        <is>
          <t>guardados para a secundária</t>
        </is>
      </c>
      <c r="CZ26" s="141">
        <f>SUMPRODUCT(--('FICHA PESSOAL'!$D$69:$D$76&lt;&gt;""),--((('FICHA PESSOAL'!$M$69:$M$76="Escudo")+('FICHA PESSOAL'!$S$69:$S$76=1))&gt;0))</f>
        <v/>
      </c>
    </row>
    <row r="27" ht="17.25" customHeight="1">
      <c r="A27" s="38" t="n"/>
      <c r="B27" s="38" t="n"/>
      <c r="C27" s="38" t="n"/>
      <c r="D27" s="38" t="n"/>
      <c r="E27" s="38" t="n"/>
      <c r="F27" s="114" t="inlineStr">
        <is>
          <t>Terreno</t>
        </is>
      </c>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c r="AA27" s="38" t="n"/>
      <c r="AB27" s="114" t="inlineStr">
        <is>
          <t>Provocar</t>
        </is>
      </c>
      <c r="AC27" s="114" t="inlineStr">
        <is>
          <t>Essência</t>
        </is>
      </c>
      <c r="AD27" s="38" t="n"/>
      <c r="AE27" s="114" t="inlineStr">
        <is>
          <t>Revestimento 2 + Médio</t>
        </is>
      </c>
      <c r="AF27" s="141" t="n">
        <v>7</v>
      </c>
      <c r="AG27" s="141" t="n">
        <v>0</v>
      </c>
      <c r="AH27" s="141" t="inlineStr">
        <is>
          <t>sim</t>
        </is>
      </c>
      <c r="AI27" s="38" t="n"/>
      <c r="AJ27" s="114" t="inlineStr">
        <is>
          <t>perícias que faltam sem ofício</t>
        </is>
      </c>
      <c r="AK27" s="141">
        <f>MAX(0,10-DADOS!$AK$13)</f>
        <v/>
      </c>
      <c r="AL27" s="38" t="n"/>
      <c r="AM27" s="38" t="n"/>
      <c r="AN27" s="38" t="n"/>
      <c r="AO27" s="38" t="n"/>
      <c r="AP27" s="38" t="n"/>
      <c r="AQ27" s="141" t="n">
        <v>24</v>
      </c>
      <c r="AR27" s="141" t="n">
        <v>20500</v>
      </c>
      <c r="AS27" s="38" t="n"/>
      <c r="AT27" s="38" t="n"/>
      <c r="AU27" s="38" t="n"/>
      <c r="AV27" s="38" t="n"/>
      <c r="AW27" s="38" t="n"/>
      <c r="AX27" s="38" t="n"/>
      <c r="AY27" s="38" t="n"/>
      <c r="AZ27" s="38" t="n"/>
      <c r="BA27" s="114" t="inlineStr">
        <is>
          <t>energia_temp</t>
        </is>
      </c>
      <c r="BB27" s="114">
        <f>ADDRESS(ROW(FICHA!AF30),COLUMN(FICHA!AF30),4)</f>
        <v/>
      </c>
      <c r="BD27" s="114" t="inlineStr">
        <is>
          <t>Lança</t>
        </is>
      </c>
      <c r="BE27" s="114" t="inlineStr">
        <is>
          <t>Armas Longas</t>
        </is>
      </c>
      <c r="BF27" s="141" t="n">
        <v>1</v>
      </c>
      <c r="BG27" s="114" t="inlineStr">
        <is>
          <t>d6</t>
        </is>
      </c>
      <c r="BH27" s="114" t="inlineStr">
        <is>
          <t>Alcance · Longo Alcance</t>
        </is>
      </c>
      <c r="BI27" s="114" t="inlineStr">
        <is>
          <t>—</t>
        </is>
      </c>
      <c r="BJ27" s="141" t="n">
        <v>1</v>
      </c>
      <c r="BK27" s="114" t="inlineStr">
        <is>
          <t>6 m, longa 18 m</t>
        </is>
      </c>
      <c r="BM27" s="141">
        <f>'FICHA PESSOAL'!$AM$55</f>
        <v/>
      </c>
      <c r="BN27" s="141">
        <f>ADDRESS(ROW('FICHA PESSOAL'!AM55),COLUMN('FICHA PESSOAL'!AM55),4)</f>
        <v/>
      </c>
      <c r="CY27" s="114" t="inlineStr">
        <is>
          <t>uniforme vale</t>
        </is>
      </c>
      <c r="CZ27" s="141">
        <f>IF(ISNUMBER(MATCH('FICHA PESSOAL'!$AH$41,DADOS!$BX$5:$BX$10,0)),1,0)</f>
        <v/>
      </c>
    </row>
    <row r="28" ht="17.25" customHeight="1">
      <c r="A28" s="38" t="n"/>
      <c r="B28" s="38" t="n"/>
      <c r="C28" s="38" t="n"/>
      <c r="D28" s="38" t="n"/>
      <c r="E28" s="38" t="n"/>
      <c r="F28" s="114" t="inlineStr">
        <is>
          <t>Anteparo</t>
        </is>
      </c>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c r="AA28" s="38" t="n"/>
      <c r="AB28" s="38" t="n"/>
      <c r="AC28" s="38" t="n"/>
      <c r="AD28" s="38" t="n"/>
      <c r="AE28" s="114" t="inlineStr">
        <is>
          <t>Revestimento 2 + Torre</t>
        </is>
      </c>
      <c r="AF28" s="141" t="n">
        <v>8</v>
      </c>
      <c r="AG28" s="141" t="n">
        <v>0</v>
      </c>
      <c r="AH28" s="141" t="inlineStr">
        <is>
          <t>sim</t>
        </is>
      </c>
      <c r="AI28" s="38" t="n"/>
      <c r="AJ28" s="114" t="inlineStr">
        <is>
          <t>Corpo por escolher sem ofício</t>
        </is>
      </c>
      <c r="AK28" s="141">
        <f>DADOS!$AK$16-MAX(0,DADOS!$AK$13-10)-MAX(0,DADOS!$AK$14-0)</f>
        <v/>
      </c>
      <c r="AL28" s="38" t="n"/>
      <c r="AM28" s="38" t="n"/>
      <c r="AN28" s="38" t="n"/>
      <c r="AO28" s="38" t="n"/>
      <c r="AP28" s="38" t="n"/>
      <c r="AQ28" s="141" t="n">
        <v>25</v>
      </c>
      <c r="AR28" s="141" t="n">
        <v>22200</v>
      </c>
      <c r="AS28" s="38" t="n"/>
      <c r="AT28" s="38" t="n"/>
      <c r="AU28" s="38" t="n"/>
      <c r="AV28" s="38" t="n"/>
      <c r="AW28" s="38" t="n"/>
      <c r="AX28" s="38" t="n"/>
      <c r="AY28" s="38" t="n"/>
      <c r="AZ28" s="38" t="n"/>
      <c r="BA28" s="114" t="inlineStr">
        <is>
          <t>energia_delta</t>
        </is>
      </c>
      <c r="BB28" s="114">
        <f>ADDRESS(ROW(FICHA!AM30),COLUMN(FICHA!AM30),4)</f>
        <v/>
      </c>
      <c r="BD28" s="114" t="inlineStr">
        <is>
          <t>Maça</t>
        </is>
      </c>
      <c r="BE28" s="114" t="inlineStr">
        <is>
          <t>Massa</t>
        </is>
      </c>
      <c r="BF28" s="141" t="n">
        <v>1</v>
      </c>
      <c r="BG28" s="114" t="inlineStr">
        <is>
          <t>d8</t>
        </is>
      </c>
      <c r="BH28" s="114" t="inlineStr">
        <is>
          <t>Talha</t>
        </is>
      </c>
      <c r="BI28" s="114" t="inlineStr">
        <is>
          <t>—</t>
        </is>
      </c>
      <c r="BJ28" s="141" t="n">
        <v>1</v>
      </c>
      <c r="BM28" s="141">
        <f>'FICHA PESSOAL'!$AM$50</f>
        <v/>
      </c>
      <c r="BN28" s="141">
        <f>ADDRESS(ROW('FICHA PESSOAL'!AM50),COLUMN('FICHA PESSOAL'!AM50),4)</f>
        <v/>
      </c>
      <c r="CY28" s="114" t="inlineStr">
        <is>
          <t>proteção do uniforme</t>
        </is>
      </c>
      <c r="CZ28" s="141">
        <f>IF(DADOS!$CZ$27=1,VLOOKUP('FICHA PESSOAL'!$AH$41,DADOS!$BX$5:$CD$10,2,FALSE),0)</f>
        <v/>
      </c>
    </row>
    <row r="29" ht="17.25" customHeight="1">
      <c r="A29" s="38" t="n"/>
      <c r="B29" s="38" t="n"/>
      <c r="C29" s="38" t="n"/>
      <c r="D29" s="38" t="n"/>
      <c r="E29" s="38" t="n"/>
      <c r="F29" s="114" t="inlineStr">
        <is>
          <t>Prende</t>
        </is>
      </c>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c r="AA29" s="38" t="n"/>
      <c r="AB29" s="38" t="n"/>
      <c r="AC29" s="38" t="n"/>
      <c r="AD29" s="38" t="n"/>
      <c r="AE29" s="114" t="inlineStr">
        <is>
          <t>Revestimento 3 + Broquel</t>
        </is>
      </c>
      <c r="AF29" s="141" t="n">
        <v>7</v>
      </c>
      <c r="AG29" s="141" t="n">
        <v>0</v>
      </c>
      <c r="AH29" s="141" t="inlineStr">
        <is>
          <t>sim</t>
        </is>
      </c>
      <c r="AI29" s="38" t="n"/>
      <c r="AJ29" s="114" t="inlineStr">
        <is>
          <t>testes treinados</t>
        </is>
      </c>
      <c r="AK29" s="141">
        <f>COUNTIF(FICHA!$AF$79:$AF$82,TRUE)</f>
        <v/>
      </c>
      <c r="AL29" s="38" t="n"/>
      <c r="AM29" s="38" t="n"/>
      <c r="AN29" s="38" t="n"/>
      <c r="AO29" s="38" t="n"/>
      <c r="AP29" s="38" t="n"/>
      <c r="AQ29" s="141" t="n">
        <v>26</v>
      </c>
      <c r="AR29" s="141" t="n">
        <v>23900</v>
      </c>
      <c r="AS29" s="38" t="n"/>
      <c r="AT29" s="38" t="n"/>
      <c r="AU29" s="38" t="n"/>
      <c r="AV29" s="38" t="n"/>
      <c r="AW29" s="38" t="n"/>
      <c r="AX29" s="38" t="n"/>
      <c r="AY29" s="38" t="n"/>
      <c r="AZ29" s="38" t="n"/>
      <c r="BA29" s="114" t="inlineStr">
        <is>
          <t>integridade</t>
        </is>
      </c>
      <c r="BB29" s="114">
        <f>ADDRESS(ROW(FICHA!D34),COLUMN(FICHA!D34),4)</f>
        <v/>
      </c>
      <c r="BD29" s="114" t="inlineStr">
        <is>
          <t>Machadinha</t>
        </is>
      </c>
      <c r="BE29" s="114" t="inlineStr">
        <is>
          <t>Machado</t>
        </is>
      </c>
      <c r="BF29" s="141" t="n">
        <v>1</v>
      </c>
      <c r="BG29" s="114" t="inlineStr">
        <is>
          <t>d6</t>
        </is>
      </c>
      <c r="BH29" s="114" t="inlineStr">
        <is>
          <t>Longo Alcance · Rompe</t>
        </is>
      </c>
      <c r="BI29" s="114" t="inlineStr">
        <is>
          <t>—</t>
        </is>
      </c>
      <c r="BJ29" s="141" t="n">
        <v>1</v>
      </c>
      <c r="BK29" s="114" t="inlineStr">
        <is>
          <t>6 m, longa 18 m</t>
        </is>
      </c>
      <c r="BM29" s="141">
        <f>'FICHA PESSOAL'!$D$58</f>
        <v/>
      </c>
      <c r="BN29" s="141">
        <f>ADDRESS(ROW('FICHA PESSOAL'!D58),COLUMN('FICHA PESSOAL'!D58),4)</f>
        <v/>
      </c>
      <c r="CY29" s="114" t="inlineStr">
        <is>
          <t>teto do uniforme</t>
        </is>
      </c>
      <c r="CZ29" s="141">
        <f>IF(DADOS!$CZ$27=1,VLOOKUP('FICHA PESSOAL'!$AH$41,DADOS!$BX$5:$CD$10,3,FALSE),"")</f>
        <v/>
      </c>
    </row>
    <row r="30" ht="17.25" customHeight="1">
      <c r="A30" s="38" t="n"/>
      <c r="B30" s="38" t="n"/>
      <c r="C30" s="38" t="n"/>
      <c r="D30" s="38" t="n"/>
      <c r="E30" s="38" t="n"/>
      <c r="F30" s="114" t="inlineStr">
        <is>
          <t>Cerca</t>
        </is>
      </c>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c r="AA30" s="38" t="n"/>
      <c r="AB30" s="38" t="n"/>
      <c r="AC30" s="38" t="n"/>
      <c r="AD30" s="38" t="n"/>
      <c r="AE30" s="114" t="inlineStr">
        <is>
          <t>Revestimento 3 + Médio</t>
        </is>
      </c>
      <c r="AF30" s="141" t="n">
        <v>8</v>
      </c>
      <c r="AG30" s="141" t="n">
        <v>0</v>
      </c>
      <c r="AH30" s="141" t="inlineStr">
        <is>
          <t>sim</t>
        </is>
      </c>
      <c r="AI30" s="38" t="n"/>
      <c r="AJ30" s="114" t="inlineStr">
        <is>
          <t>sem energia</t>
        </is>
      </c>
      <c r="AK30" s="141">
        <f>IF(FICHA!$X$11="Restrição Celestial · sem energia",1,0)</f>
        <v/>
      </c>
      <c r="AL30" s="38" t="n"/>
      <c r="AM30" s="38" t="n"/>
      <c r="AN30" s="38" t="n"/>
      <c r="AO30" s="38" t="n"/>
      <c r="AP30" s="38" t="n"/>
      <c r="AQ30" s="141" t="n">
        <v>27</v>
      </c>
      <c r="AR30" s="141" t="n">
        <v>25600</v>
      </c>
      <c r="AS30" s="38" t="n"/>
      <c r="AT30" s="38" t="n"/>
      <c r="AU30" s="38" t="n"/>
      <c r="AV30" s="38" t="n"/>
      <c r="AW30" s="38" t="n"/>
      <c r="AX30" s="38" t="n"/>
      <c r="AY30" s="38" t="n"/>
      <c r="AZ30" s="38" t="n"/>
      <c r="BA30" s="114" t="inlineStr">
        <is>
          <t>integridade_max</t>
        </is>
      </c>
      <c r="BB30" s="114">
        <f>ADDRESS(ROW(FICHA!J34),COLUMN(FICHA!J34),4)</f>
        <v/>
      </c>
      <c r="BD30" s="114" t="inlineStr">
        <is>
          <t>Machado</t>
        </is>
      </c>
      <c r="BE30" s="114" t="inlineStr">
        <is>
          <t>Machado</t>
        </is>
      </c>
      <c r="BF30" s="141" t="n">
        <v>1</v>
      </c>
      <c r="BG30" s="114" t="inlineStr">
        <is>
          <t>d8</t>
        </is>
      </c>
      <c r="BH30" s="114" t="inlineStr">
        <is>
          <t>Rompe</t>
        </is>
      </c>
      <c r="BI30" s="114" t="inlineStr">
        <is>
          <t>—</t>
        </is>
      </c>
      <c r="BJ30" s="141" t="n">
        <v>1</v>
      </c>
      <c r="BM30" s="141">
        <f>'FICHA PESSOAL'!$D$59</f>
        <v/>
      </c>
      <c r="BN30" s="141">
        <f>ADDRESS(ROW('FICHA PESSOAL'!D59),COLUMN('FICHA PESSOAL'!D59),4)</f>
        <v/>
      </c>
      <c r="CY30" s="114" t="inlineStr">
        <is>
          <t>força do uniforme</t>
        </is>
      </c>
      <c r="CZ30" s="141">
        <f>IF(DADOS!$CZ$27=1,VLOOKUP('FICHA PESSOAL'!$AH$41,DADOS!$BX$5:$CD$10,4,FALSE),0)</f>
        <v/>
      </c>
    </row>
    <row r="31" ht="17.25" customHeight="1">
      <c r="A31" s="38" t="n"/>
      <c r="B31" s="38" t="n"/>
      <c r="C31" s="38" t="n"/>
      <c r="D31" s="38" t="n"/>
      <c r="E31" s="38" t="n"/>
      <c r="F31" s="114" t="inlineStr">
        <is>
          <t>Puxa</t>
        </is>
      </c>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c r="AA31" s="38" t="n"/>
      <c r="AB31" s="38" t="n"/>
      <c r="AC31" s="38" t="n"/>
      <c r="AD31" s="38" t="n"/>
      <c r="AE31" s="114" t="inlineStr">
        <is>
          <t>Revestimento 3 + Torre</t>
        </is>
      </c>
      <c r="AF31" s="141" t="n">
        <v>9</v>
      </c>
      <c r="AG31" s="141" t="n">
        <v>0</v>
      </c>
      <c r="AH31" s="141" t="inlineStr">
        <is>
          <t>sim</t>
        </is>
      </c>
      <c r="AI31" s="38" t="n"/>
      <c r="AJ31" s="114" t="inlineStr">
        <is>
          <t>sem técnica</t>
        </is>
      </c>
      <c r="AK31" s="141">
        <f>IF(ISNUMBER(SEARCH(" · Sem Técnica",FICHA!$X$11)),1,0)</f>
        <v/>
      </c>
      <c r="AL31" s="38" t="n"/>
      <c r="AM31" s="38" t="n"/>
      <c r="AN31" s="38" t="n"/>
      <c r="AO31" s="38" t="n"/>
      <c r="AP31" s="38" t="n"/>
      <c r="AQ31" s="141" t="n">
        <v>28</v>
      </c>
      <c r="AR31" s="141" t="n">
        <v>27300</v>
      </c>
      <c r="AS31" s="38" t="n"/>
      <c r="AT31" s="38" t="n"/>
      <c r="AU31" s="38" t="n"/>
      <c r="AV31" s="38" t="n"/>
      <c r="AW31" s="38" t="n"/>
      <c r="AX31" s="38" t="n"/>
      <c r="AY31" s="38" t="n"/>
      <c r="AZ31" s="38" t="n"/>
      <c r="BA31" s="114" t="inlineStr">
        <is>
          <t>integridade_temp</t>
        </is>
      </c>
      <c r="BB31" s="114">
        <f>ADDRESS(ROW(FICHA!AF34),COLUMN(FICHA!AF34),4)</f>
        <v/>
      </c>
      <c r="BD31" s="114" t="inlineStr">
        <is>
          <t>Machado de Guerra</t>
        </is>
      </c>
      <c r="BE31" s="114" t="inlineStr">
        <is>
          <t>Machado</t>
        </is>
      </c>
      <c r="BF31" s="141" t="n">
        <v>2</v>
      </c>
      <c r="BG31" s="114" t="inlineStr">
        <is>
          <t>d12</t>
        </is>
      </c>
      <c r="BH31" s="114" t="inlineStr">
        <is>
          <t>Rompe · Talha · Volumosa</t>
        </is>
      </c>
      <c r="BI31" s="141" t="n">
        <v>3</v>
      </c>
      <c r="BJ31" s="141" t="n">
        <v>2</v>
      </c>
      <c r="BM31" s="141">
        <f>'FICHA PESSOAL'!$D$60</f>
        <v/>
      </c>
      <c r="BN31" s="141">
        <f>ADDRESS(ROW('FICHA PESSOAL'!D60),COLUMN('FICHA PESSOAL'!D60),4)</f>
        <v/>
      </c>
      <c r="CY31" s="114" t="inlineStr">
        <is>
          <t>volume do uniforme</t>
        </is>
      </c>
      <c r="CZ31" s="141">
        <f>IF(DADOS!$CZ$27=1,VLOOKUP('FICHA PESSOAL'!$AH$41,DADOS!$BX$5:$CD$10,5,FALSE),0)</f>
        <v/>
      </c>
    </row>
    <row r="32" ht="17.25" customHeight="1">
      <c r="A32" s="38" t="n"/>
      <c r="B32" s="38" t="n"/>
      <c r="C32" s="38" t="n"/>
      <c r="D32" s="38" t="n"/>
      <c r="E32" s="38" t="n"/>
      <c r="F32" s="114" t="inlineStr">
        <is>
          <t>Desarma o Feitiço</t>
        </is>
      </c>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c r="AA32" s="38" t="n"/>
      <c r="AB32" s="38" t="n"/>
      <c r="AC32" s="38" t="n"/>
      <c r="AD32" s="38" t="n"/>
      <c r="AE32" s="38" t="n"/>
      <c r="AF32" s="38" t="n"/>
      <c r="AG32" s="38" t="n"/>
      <c r="AH32" s="38" t="n"/>
      <c r="AI32" s="38" t="n"/>
      <c r="AJ32" s="114" t="inlineStr">
        <is>
          <t>técnica marcial</t>
        </is>
      </c>
      <c r="AK32" s="141">
        <f>IF(OR(FICHA!$X$11="Corpo Amaldiçoado",FICHA!$X$11="Restrição Celestial · sem energia"),1,0)</f>
        <v/>
      </c>
      <c r="AL32" s="38" t="n"/>
      <c r="AM32" s="38" t="n"/>
      <c r="AN32" s="38" t="n"/>
      <c r="AO32" s="38" t="n"/>
      <c r="AP32" s="38" t="n"/>
      <c r="AQ32" s="141" t="n">
        <v>29</v>
      </c>
      <c r="AR32" s="141" t="n">
        <v>29000</v>
      </c>
      <c r="AS32" s="38" t="n"/>
      <c r="AT32" s="38" t="n"/>
      <c r="AU32" s="38" t="n"/>
      <c r="AV32" s="38" t="n"/>
      <c r="AW32" s="38" t="n"/>
      <c r="AX32" s="38" t="n"/>
      <c r="AY32" s="38" t="n"/>
      <c r="AZ32" s="38" t="n"/>
      <c r="BA32" s="114" t="inlineStr">
        <is>
          <t>integridade_delta</t>
        </is>
      </c>
      <c r="BB32" s="114">
        <f>ADDRESS(ROW(FICHA!AM34),COLUMN(FICHA!AM34),4)</f>
        <v/>
      </c>
      <c r="BD32" s="114" t="inlineStr">
        <is>
          <t>Machete</t>
        </is>
      </c>
      <c r="BE32" s="114" t="inlineStr">
        <is>
          <t>Lâmina Longa</t>
        </is>
      </c>
      <c r="BF32" s="141" t="n">
        <v>1</v>
      </c>
      <c r="BG32" s="114" t="inlineStr">
        <is>
          <t>d8</t>
        </is>
      </c>
      <c r="BH32" s="114" t="inlineStr">
        <is>
          <t>Rompe</t>
        </is>
      </c>
      <c r="BI32" s="114" t="inlineStr">
        <is>
          <t>—</t>
        </is>
      </c>
      <c r="BJ32" s="141" t="n">
        <v>1</v>
      </c>
      <c r="BM32" s="141">
        <f>'FICHA PESSOAL'!$D$52</f>
        <v/>
      </c>
      <c r="BN32" s="141">
        <f>ADDRESS(ROW('FICHA PESSOAL'!D52),COLUMN('FICHA PESSOAL'!D52),4)</f>
        <v/>
      </c>
      <c r="CY32" s="114" t="inlineStr">
        <is>
          <t>ordem do grau mínimo</t>
        </is>
      </c>
      <c r="CZ32" s="141">
        <f>IF(DADOS!$CZ$27=1,VLOOKUP('FICHA PESSOAL'!$AH$41,DADOS!$BX$5:$CD$10,6,FALSE),0)</f>
        <v/>
      </c>
    </row>
    <row r="33" ht="17.25" customHeight="1">
      <c r="A33" s="38" t="n"/>
      <c r="B33" s="38" t="n"/>
      <c r="C33" s="38" t="n"/>
      <c r="D33" s="38" t="n"/>
      <c r="E33" s="38" t="n"/>
      <c r="F33" s="114" t="inlineStr">
        <is>
          <t>Impulso</t>
        </is>
      </c>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c r="AA33" s="38" t="n"/>
      <c r="AB33" s="38" t="n"/>
      <c r="AC33" s="38" t="n"/>
      <c r="AD33" s="38" t="n"/>
      <c r="AE33" s="38" t="n"/>
      <c r="AF33" s="38" t="n"/>
      <c r="AG33" s="38" t="n"/>
      <c r="AH33" s="38" t="n"/>
      <c r="AI33" s="38" t="n"/>
      <c r="AJ33" s="114" t="inlineStr">
        <is>
          <t>refino escolhido</t>
        </is>
      </c>
      <c r="AK33" s="141">
        <f>MIN(IFERROR(VALUE(FICHA!$AO$40&amp;""),0),DADOS!$AK$5)</f>
        <v/>
      </c>
      <c r="AL33" s="38" t="n"/>
      <c r="AM33" s="38" t="n"/>
      <c r="AN33" s="38" t="n"/>
      <c r="AO33" s="38" t="n"/>
      <c r="AP33" s="38" t="n"/>
      <c r="AQ33" s="141" t="n">
        <v>30</v>
      </c>
      <c r="AR33" s="141" t="n">
        <v>30700</v>
      </c>
      <c r="AS33" s="38" t="n"/>
      <c r="AT33" s="38" t="n"/>
      <c r="AU33" s="38" t="n"/>
      <c r="AV33" s="38" t="n"/>
      <c r="AW33" s="38" t="n"/>
      <c r="AX33" s="38" t="n"/>
      <c r="AY33" s="38" t="n"/>
      <c r="AZ33" s="38" t="n"/>
      <c r="BA33" s="114" t="inlineStr">
        <is>
          <t>estagio_alma</t>
        </is>
      </c>
      <c r="BB33" s="114">
        <f>ADDRESS(ROW(FICHA!D37),COLUMN(FICHA!D37),4)</f>
        <v/>
      </c>
      <c r="BD33" s="114" t="inlineStr">
        <is>
          <t>Manriki</t>
        </is>
      </c>
      <c r="BE33" s="114" t="inlineStr">
        <is>
          <t>Flexível</t>
        </is>
      </c>
      <c r="BF33" s="141" t="n">
        <v>1</v>
      </c>
      <c r="BG33" s="114" t="inlineStr">
        <is>
          <t>d6</t>
        </is>
      </c>
      <c r="BH33" s="114" t="inlineStr">
        <is>
          <t>Emaranha · Oculta</t>
        </is>
      </c>
      <c r="BI33" s="114" t="inlineStr">
        <is>
          <t>—</t>
        </is>
      </c>
      <c r="BJ33" s="141" t="n">
        <v>0.1</v>
      </c>
      <c r="BM33" s="141">
        <f>'FICHA PESSOAL'!$AE$57</f>
        <v/>
      </c>
      <c r="BN33" s="141">
        <f>ADDRESS(ROW('FICHA PESSOAL'!AE57),COLUMN('FICHA PESSOAL'!AE57),4)</f>
        <v/>
      </c>
      <c r="CY33" s="114" t="inlineStr">
        <is>
          <t>grau mínimo</t>
        </is>
      </c>
      <c r="CZ33" s="141">
        <f>IF(DADOS!$CZ$27=1,VLOOKUP('FICHA PESSOAL'!$AH$41,DADOS!$BX$5:$CD$10,7,FALSE),"")</f>
        <v/>
      </c>
    </row>
    <row r="34" ht="17.25" customHeight="1">
      <c r="A34" s="38" t="n"/>
      <c r="B34" s="38" t="n"/>
      <c r="C34" s="38" t="n"/>
      <c r="D34" s="38" t="n"/>
      <c r="E34" s="38" t="n"/>
      <c r="F34" s="114" t="inlineStr">
        <is>
          <t>Trava</t>
        </is>
      </c>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c r="AA34" s="38" t="n"/>
      <c r="AB34" s="38" t="n"/>
      <c r="AC34" s="38" t="n"/>
      <c r="AD34" s="38" t="n"/>
      <c r="AE34" s="38" t="n"/>
      <c r="AF34" s="38" t="n"/>
      <c r="AG34" s="38" t="n"/>
      <c r="AH34" s="38" t="n"/>
      <c r="AI34" s="38" t="n"/>
      <c r="AJ34" s="114" t="inlineStr">
        <is>
          <t>refino atual</t>
        </is>
      </c>
      <c r="AK34" s="141">
        <f>MIN(10,FICHA!$O$57+DADOS!$AK$33)</f>
        <v/>
      </c>
      <c r="AL34" s="38" t="n"/>
      <c r="AM34" s="38" t="n"/>
      <c r="AN34" s="38" t="n"/>
      <c r="AO34" s="38" t="n"/>
      <c r="AP34" s="38" t="n"/>
      <c r="AQ34" s="38" t="n"/>
      <c r="AR34" s="38" t="n"/>
      <c r="AS34" s="38" t="n"/>
      <c r="AT34" s="38" t="n"/>
      <c r="AU34" s="38" t="n"/>
      <c r="AV34" s="38" t="n"/>
      <c r="AW34" s="38" t="n"/>
      <c r="AX34" s="38" t="n"/>
      <c r="AY34" s="38" t="n"/>
      <c r="AZ34" s="38" t="n"/>
      <c r="BA34" s="114" t="inlineStr">
        <is>
          <t>defesa</t>
        </is>
      </c>
      <c r="BB34" s="114">
        <f>ADDRESS(ROW(FICHA!D43),COLUMN(FICHA!D43),4)</f>
        <v/>
      </c>
      <c r="BD34" s="114" t="inlineStr">
        <is>
          <t>Marreta</t>
        </is>
      </c>
      <c r="BE34" s="114" t="inlineStr">
        <is>
          <t>Massa</t>
        </is>
      </c>
      <c r="BF34" s="141" t="n">
        <v>2</v>
      </c>
      <c r="BG34" s="114" t="inlineStr">
        <is>
          <t>d10</t>
        </is>
      </c>
      <c r="BH34" s="114" t="inlineStr">
        <is>
          <t>Rompe · Talha</t>
        </is>
      </c>
      <c r="BI34" s="141" t="n">
        <v>3</v>
      </c>
      <c r="BJ34" s="141" t="n">
        <v>2</v>
      </c>
      <c r="BM34" s="141">
        <f>'FICHA PESSOAL'!$AM$51</f>
        <v/>
      </c>
      <c r="BN34" s="141">
        <f>ADDRESS(ROW('FICHA PESSOAL'!AM51),COLUMN('FICHA PESSOAL'!AM51),4)</f>
        <v/>
      </c>
      <c r="CY34" s="114" t="inlineStr">
        <is>
          <t>ordem do grau</t>
        </is>
      </c>
      <c r="CZ34" s="141">
        <f>IFERROR(VLOOKUP('FICHA PESSOAL'!$AB$11,DADOS!$CF$5:$CH$9,3,FALSE),1)</f>
        <v/>
      </c>
    </row>
    <row r="35" ht="17.25" customHeight="1">
      <c r="A35" s="38" t="n"/>
      <c r="B35" s="38" t="n"/>
      <c r="C35" s="38" t="n"/>
      <c r="D35" s="38" t="n"/>
      <c r="E35" s="38" t="n"/>
      <c r="F35" s="114" t="inlineStr">
        <is>
          <t>Abre Ferida</t>
        </is>
      </c>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c r="AA35" s="38" t="n"/>
      <c r="AB35" s="38" t="n"/>
      <c r="AC35" s="38" t="n"/>
      <c r="AD35" s="38" t="n"/>
      <c r="AE35" s="38" t="n"/>
      <c r="AF35" s="38" t="n"/>
      <c r="AG35" s="38" t="n"/>
      <c r="AH35" s="38" t="n"/>
      <c r="AI35" s="38" t="n"/>
      <c r="AJ35" s="114" t="inlineStr">
        <is>
          <t>aptidões a mais no teto</t>
        </is>
      </c>
      <c r="AK35" s="141">
        <f>MAX(0,DADOS!$AK$33-MAX(0,CEILING((10-DADOS!$AK$5+DADOS!$AK$33)/2,1)-1))*(2-1)</f>
        <v/>
      </c>
      <c r="AL35" s="38" t="n"/>
      <c r="AM35" s="38" t="n"/>
      <c r="AN35" s="38" t="n"/>
      <c r="AO35" s="38" t="n"/>
      <c r="AP35" s="38" t="n"/>
      <c r="AQ35" s="38" t="n"/>
      <c r="AR35" s="38" t="n"/>
      <c r="AS35" s="38" t="n"/>
      <c r="AT35" s="38" t="n"/>
      <c r="AU35" s="38" t="n"/>
      <c r="AV35" s="38" t="n"/>
      <c r="AW35" s="38" t="n"/>
      <c r="AX35" s="38" t="n"/>
      <c r="AY35" s="38" t="n"/>
      <c r="AZ35" s="38" t="n"/>
      <c r="BA35" s="114" t="inlineStr">
        <is>
          <t>proteção</t>
        </is>
      </c>
      <c r="BB35" s="114">
        <f>ADDRESS(ROW(FICHA!O43),COLUMN(FICHA!O43),4)</f>
        <v/>
      </c>
      <c r="BD35" s="114" t="inlineStr">
        <is>
          <t>Maul</t>
        </is>
      </c>
      <c r="BE35" s="114" t="inlineStr">
        <is>
          <t>Massa</t>
        </is>
      </c>
      <c r="BF35" s="141" t="n">
        <v>2</v>
      </c>
      <c r="BG35" s="114" t="inlineStr">
        <is>
          <t>d12</t>
        </is>
      </c>
      <c r="BH35" s="114" t="inlineStr">
        <is>
          <t>Rompe</t>
        </is>
      </c>
      <c r="BI35" s="141" t="n">
        <v>3</v>
      </c>
      <c r="BJ35" s="141" t="n">
        <v>2</v>
      </c>
      <c r="BM35" s="141">
        <f>'FICHA PESSOAL'!$AM$52</f>
        <v/>
      </c>
      <c r="BN35" s="141">
        <f>ADDRESS(ROW('FICHA PESSOAL'!AM52),COLUMN('FICHA PESSOAL'!AM52),4)</f>
        <v/>
      </c>
      <c r="CY35" s="114" t="inlineStr">
        <is>
          <t>uniforme liberado</t>
        </is>
      </c>
      <c r="CZ35" s="141">
        <f>IF(OR(DADOS!$CZ$27=0,DADOS!$CZ$34&gt;=DADOS!$CZ$32),1,0)</f>
        <v/>
      </c>
    </row>
    <row r="36" ht="17.25" customHeight="1">
      <c r="A36" s="38" t="n"/>
      <c r="B36" s="38" t="n"/>
      <c r="C36" s="38" t="n"/>
      <c r="D36" s="38" t="n"/>
      <c r="E36" s="38" t="n"/>
      <c r="F36" s="114" t="inlineStr">
        <is>
          <t>Sobrecarga</t>
        </is>
      </c>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c r="AA36" s="38" t="n"/>
      <c r="AB36" s="38" t="n"/>
      <c r="AC36" s="38" t="n"/>
      <c r="AD36" s="38" t="n"/>
      <c r="AE36" s="38" t="n"/>
      <c r="AF36" s="38" t="n"/>
      <c r="AG36" s="38" t="n"/>
      <c r="AH36" s="38" t="n"/>
      <c r="AI36" s="38" t="n"/>
      <c r="AJ36" s="114" t="inlineStr">
        <is>
          <t>máximo de aptidões</t>
        </is>
      </c>
      <c r="AK36" s="141">
        <f>2+1*DADOS!$AK$31+DADOS!$AK$33+DADOS!$AK$35</f>
        <v/>
      </c>
      <c r="AL36" s="38" t="n"/>
      <c r="AM36" s="38" t="n"/>
      <c r="AN36" s="38" t="n"/>
      <c r="AO36" s="38" t="n"/>
      <c r="AP36" s="38" t="n"/>
      <c r="AQ36" s="38" t="n"/>
      <c r="AR36" s="38" t="n"/>
      <c r="AS36" s="38" t="n"/>
      <c r="AT36" s="38" t="n"/>
      <c r="AU36" s="38" t="n"/>
      <c r="AV36" s="38" t="n"/>
      <c r="AW36" s="38" t="n"/>
      <c r="AX36" s="38" t="n"/>
      <c r="AY36" s="38" t="n"/>
      <c r="AZ36" s="38" t="n"/>
      <c r="BA36" s="114" t="inlineStr">
        <is>
          <t>equipamento</t>
        </is>
      </c>
      <c r="BB36" s="114">
        <f>ADDRESS(ROW(FICHA!Z43),COLUMN(FICHA!Z43),4)</f>
        <v/>
      </c>
      <c r="BD36" s="114" t="inlineStr">
        <is>
          <t>Médio</t>
        </is>
      </c>
      <c r="BE36" s="114" t="inlineStr">
        <is>
          <t>Escudo</t>
        </is>
      </c>
      <c r="BF36" s="141" t="n">
        <v>1</v>
      </c>
      <c r="BG36" s="114" t="inlineStr">
        <is>
          <t>—</t>
        </is>
      </c>
      <c r="BH36" s="114" t="inlineStr">
        <is>
          <t>Proteção +2 · teto de Destreza 3</t>
        </is>
      </c>
      <c r="BI36" s="141" t="n">
        <v>3</v>
      </c>
      <c r="BJ36" s="141" t="n">
        <v>1</v>
      </c>
      <c r="BM36" s="141">
        <f>TRUE</f>
        <v/>
      </c>
      <c r="CY36" s="114" t="inlineStr">
        <is>
          <t>falta força na principal</t>
        </is>
      </c>
      <c r="CZ36" s="141">
        <f>IF(DADOS!$CZ$11&gt;DADOS!$CZ$5,1,0)</f>
        <v/>
      </c>
    </row>
    <row r="37" ht="17.25" customHeight="1">
      <c r="A37" s="38" t="n"/>
      <c r="B37" s="38" t="n"/>
      <c r="C37" s="38" t="n"/>
      <c r="D37" s="38" t="n"/>
      <c r="E37" s="38" t="n"/>
      <c r="F37" s="114" t="inlineStr">
        <is>
          <t>Firmeza</t>
        </is>
      </c>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c r="AA37" s="38" t="n"/>
      <c r="AB37" s="38" t="n"/>
      <c r="AC37" s="38" t="n"/>
      <c r="AD37" s="38" t="n"/>
      <c r="AE37" s="38" t="n"/>
      <c r="AF37" s="38" t="n"/>
      <c r="AG37" s="38" t="n"/>
      <c r="AH37" s="38" t="n"/>
      <c r="AI37" s="38" t="n"/>
      <c r="AJ37" s="114" t="inlineStr">
        <is>
          <t>aptidões anotadas</t>
        </is>
      </c>
      <c r="AK37" s="141">
        <f>COUNTIF(FICHA!$V$124:$V$135,"?*")</f>
        <v/>
      </c>
      <c r="AL37" s="38" t="n"/>
      <c r="AM37" s="38" t="n"/>
      <c r="AN37" s="38" t="n"/>
      <c r="AO37" s="38" t="n"/>
      <c r="AP37" s="38" t="n"/>
      <c r="AQ37" s="38" t="n"/>
      <c r="AR37" s="38" t="n"/>
      <c r="AS37" s="38" t="n"/>
      <c r="AT37" s="38" t="n"/>
      <c r="AU37" s="38" t="n"/>
      <c r="AV37" s="38" t="n"/>
      <c r="AW37" s="38" t="n"/>
      <c r="AX37" s="38" t="n"/>
      <c r="AY37" s="38" t="n"/>
      <c r="AZ37" s="38" t="n"/>
      <c r="BA37" s="114" t="inlineStr">
        <is>
          <t>iniciativa</t>
        </is>
      </c>
      <c r="BB37" s="114">
        <f>ADDRESS(ROW(FICHA!AK43),COLUMN(FICHA!AK43),4)</f>
        <v/>
      </c>
      <c r="BD37" s="114" t="inlineStr">
        <is>
          <t>Metralhadora Pesada</t>
        </is>
      </c>
      <c r="BE37" s="114" t="inlineStr">
        <is>
          <t>Arma de Fogo</t>
        </is>
      </c>
      <c r="BF37" s="141" t="n">
        <v>2</v>
      </c>
      <c r="BG37" s="114" t="inlineStr">
        <is>
          <t>2d10</t>
        </is>
      </c>
      <c r="BH37" s="114" t="inlineStr">
        <is>
          <t>Longo Alcance · Munição · Rompe · Volumosa</t>
        </is>
      </c>
      <c r="BI37" s="141" t="n">
        <v>3</v>
      </c>
      <c r="BJ37" s="141" t="n">
        <v>2</v>
      </c>
      <c r="BK37" s="114" t="inlineStr">
        <is>
          <t>24 m, longa 72 m</t>
        </is>
      </c>
      <c r="BL37" s="141" t="n">
        <v>4</v>
      </c>
      <c r="BM37" s="141">
        <f>'FICHA PESSOAL'!$M$50</f>
        <v/>
      </c>
      <c r="BN37" s="141">
        <f>ADDRESS(ROW('FICHA PESSOAL'!M50),COLUMN('FICHA PESSOAL'!M50),4)</f>
        <v/>
      </c>
      <c r="CY37" s="114" t="inlineStr">
        <is>
          <t>falta força na secundária</t>
        </is>
      </c>
      <c r="CZ37" s="141">
        <f>IF(AND(DADOS!$CZ$17=1,DADOS!$CZ$22&gt;DADOS!$CZ$5),1,0)</f>
        <v/>
      </c>
    </row>
    <row r="38" ht="17.25" customHeight="1">
      <c r="A38" s="38" t="n"/>
      <c r="B38" s="38" t="n"/>
      <c r="C38" s="38" t="n"/>
      <c r="D38" s="38" t="n"/>
      <c r="E38" s="38" t="n"/>
      <c r="F38" s="114" t="inlineStr">
        <is>
          <t>Guarda</t>
        </is>
      </c>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c r="AA38" s="38" t="n"/>
      <c r="AB38" s="38" t="n"/>
      <c r="AC38" s="38" t="n"/>
      <c r="AD38" s="38" t="n"/>
      <c r="AE38" s="38" t="n"/>
      <c r="AF38" s="38" t="n"/>
      <c r="AG38" s="38" t="n"/>
      <c r="AH38" s="38" t="n"/>
      <c r="AI38" s="38" t="n"/>
      <c r="AJ38" s="114" t="inlineStr">
        <is>
          <t>escolhas de Leque</t>
        </is>
      </c>
      <c r="AK38" s="141">
        <f>IFERROR(VALUE(FICHA!$AS$40&amp;""),0)</f>
        <v/>
      </c>
      <c r="AL38" s="38" t="n"/>
      <c r="AM38" s="38" t="n"/>
      <c r="AN38" s="38" t="n"/>
      <c r="AO38" s="38" t="n"/>
      <c r="AP38" s="38" t="n"/>
      <c r="AQ38" s="38" t="n"/>
      <c r="AR38" s="38" t="n"/>
      <c r="AS38" s="38" t="n"/>
      <c r="AT38" s="38" t="n"/>
      <c r="AU38" s="38" t="n"/>
      <c r="AV38" s="38" t="n"/>
      <c r="AW38" s="38" t="n"/>
      <c r="AX38" s="38" t="n"/>
      <c r="AY38" s="38" t="n"/>
      <c r="AZ38" s="38" t="n"/>
      <c r="BA38" s="114" t="inlineStr">
        <is>
          <t>cd de feitiço</t>
        </is>
      </c>
      <c r="BB38" s="114">
        <f>ADDRESS(ROW(FICHA!D47),COLUMN(FICHA!D47),4)</f>
        <v/>
      </c>
      <c r="BD38" s="114" t="inlineStr">
        <is>
          <t>Naginata</t>
        </is>
      </c>
      <c r="BE38" s="114" t="inlineStr">
        <is>
          <t>Armas Longas</t>
        </is>
      </c>
      <c r="BF38" s="141" t="n">
        <v>2</v>
      </c>
      <c r="BG38" s="114" t="inlineStr">
        <is>
          <t>d10</t>
        </is>
      </c>
      <c r="BH38" s="114" t="inlineStr">
        <is>
          <t>Alcance · Rompe</t>
        </is>
      </c>
      <c r="BI38" s="141" t="n">
        <v>3</v>
      </c>
      <c r="BJ38" s="141" t="n">
        <v>2</v>
      </c>
      <c r="BM38" s="141">
        <f>'FICHA PESSOAL'!$AM$56</f>
        <v/>
      </c>
      <c r="BN38" s="141">
        <f>ADDRESS(ROW('FICHA PESSOAL'!AM56),COLUMN('FICHA PESSOAL'!AM56),4)</f>
        <v/>
      </c>
      <c r="CY38" s="114" t="inlineStr">
        <is>
          <t>falta força no uniforme</t>
        </is>
      </c>
      <c r="CZ38" s="141">
        <f>IF(AND(DADOS!$CZ$27=1,DADOS!$CZ$30&gt;DADOS!$CZ$5),1,0)</f>
        <v/>
      </c>
    </row>
    <row r="39" ht="17.25" customHeight="1">
      <c r="A39" s="38" t="n"/>
      <c r="B39" s="38" t="n"/>
      <c r="C39" s="38" t="n"/>
      <c r="D39" s="38" t="n"/>
      <c r="E39" s="38" t="n"/>
      <c r="F39" s="114" t="inlineStr">
        <is>
          <t>Pressa</t>
        </is>
      </c>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c r="AA39" s="38" t="n"/>
      <c r="AB39" s="38" t="n"/>
      <c r="AC39" s="38" t="n"/>
      <c r="AD39" s="38" t="n"/>
      <c r="AE39" s="38" t="n"/>
      <c r="AF39" s="38" t="n"/>
      <c r="AG39" s="38" t="n"/>
      <c r="AH39" s="38" t="n"/>
      <c r="AI39" s="38" t="n"/>
      <c r="AJ39" s="114" t="inlineStr">
        <is>
          <t>Passivas do Leque anotadas</t>
        </is>
      </c>
      <c r="AK39" s="141">
        <f>COUNTIF(FICHA!$AF$139:$AF$144,"?*")</f>
        <v/>
      </c>
      <c r="AL39" s="38" t="n"/>
      <c r="AM39" s="38" t="n"/>
      <c r="AN39" s="38" t="n"/>
      <c r="AO39" s="38" t="n"/>
      <c r="AP39" s="38" t="n"/>
      <c r="AQ39" s="38" t="n"/>
      <c r="AR39" s="38" t="n"/>
      <c r="AS39" s="38" t="n"/>
      <c r="AT39" s="38" t="n"/>
      <c r="AU39" s="38" t="n"/>
      <c r="AV39" s="38" t="n"/>
      <c r="AW39" s="38" t="n"/>
      <c r="AX39" s="38" t="n"/>
      <c r="AY39" s="38" t="n"/>
      <c r="AZ39" s="38" t="n"/>
      <c r="BA39" s="114" t="inlineStr">
        <is>
          <t>conjuração</t>
        </is>
      </c>
      <c r="BB39" s="114">
        <f>ADDRESS(ROW(FICHA!O47),COLUMN(FICHA!O47),4)</f>
        <v/>
      </c>
      <c r="BD39" s="114" t="inlineStr">
        <is>
          <t>Nodachi</t>
        </is>
      </c>
      <c r="BE39" s="114" t="inlineStr">
        <is>
          <t>Lâmina Longa</t>
        </is>
      </c>
      <c r="BF39" s="141" t="n">
        <v>2</v>
      </c>
      <c r="BG39" s="114" t="inlineStr">
        <is>
          <t>d12</t>
        </is>
      </c>
      <c r="BH39" s="114" t="inlineStr">
        <is>
          <t>Alcance · Rompe · Volumosa</t>
        </is>
      </c>
      <c r="BI39" s="141" t="n">
        <v>3</v>
      </c>
      <c r="BJ39" s="141" t="n">
        <v>2</v>
      </c>
      <c r="BM39" s="141">
        <f>'FICHA PESSOAL'!$D$53</f>
        <v/>
      </c>
      <c r="BN39" s="141">
        <f>ADDRESS(ROW('FICHA PESSOAL'!D53),COLUMN('FICHA PESSOAL'!D53),4)</f>
        <v/>
      </c>
      <c r="CY39" s="114" t="inlineStr">
        <is>
          <t>volume guardado</t>
        </is>
      </c>
      <c r="CZ39" s="141">
        <f>SUM('FICHA PESSOAL'!$AG$69:$AG$76)+SUM('FICHA PESSOAL'!$V$81:$V$86)+SUM('FICHA PESSOAL'!$AR$81:$AR$86)</f>
        <v/>
      </c>
    </row>
    <row r="40" ht="17.25" customHeight="1">
      <c r="A40" s="38" t="n"/>
      <c r="B40" s="38" t="n"/>
      <c r="C40" s="38" t="n"/>
      <c r="D40" s="38" t="n"/>
      <c r="E40" s="38" t="n"/>
      <c r="F40" s="114" t="inlineStr">
        <is>
          <t>Enfraquece</t>
        </is>
      </c>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c r="AA40" s="38" t="n"/>
      <c r="AB40" s="38" t="n"/>
      <c r="AC40" s="38" t="n"/>
      <c r="AD40" s="38" t="n"/>
      <c r="AE40" s="38" t="n"/>
      <c r="AF40" s="38" t="n"/>
      <c r="AG40" s="38" t="n"/>
      <c r="AH40" s="38" t="n"/>
      <c r="AI40" s="38" t="n"/>
      <c r="AJ40" s="38" t="n"/>
      <c r="AK40" s="38" t="n"/>
      <c r="AL40" s="38" t="n"/>
      <c r="AM40" s="38" t="n"/>
      <c r="AN40" s="38" t="n"/>
      <c r="AO40" s="38" t="n"/>
      <c r="AP40" s="38" t="n"/>
      <c r="AQ40" s="38" t="n"/>
      <c r="AR40" s="38" t="n"/>
      <c r="AS40" s="38" t="n"/>
      <c r="AT40" s="38" t="n"/>
      <c r="AU40" s="38" t="n"/>
      <c r="AV40" s="38" t="n"/>
      <c r="AW40" s="38" t="n"/>
      <c r="AX40" s="38" t="n"/>
      <c r="AY40" s="38" t="n"/>
      <c r="AZ40" s="38" t="n"/>
      <c r="BA40" s="114" t="inlineStr">
        <is>
          <t>corpo a corpo</t>
        </is>
      </c>
      <c r="BB40" s="114">
        <f>ADDRESS(ROW(FICHA!Z47),COLUMN(FICHA!Z47),4)</f>
        <v/>
      </c>
      <c r="BD40" s="114" t="inlineStr">
        <is>
          <t>Nunchaku</t>
        </is>
      </c>
      <c r="BE40" s="114" t="inlineStr">
        <is>
          <t>Porrete</t>
        </is>
      </c>
      <c r="BF40" s="141" t="n">
        <v>1</v>
      </c>
      <c r="BG40" s="114" t="inlineStr">
        <is>
          <t>d6</t>
        </is>
      </c>
      <c r="BH40" s="114" t="inlineStr">
        <is>
          <t>Par · Emaranha</t>
        </is>
      </c>
      <c r="BI40" s="114" t="inlineStr">
        <is>
          <t>—</t>
        </is>
      </c>
      <c r="BJ40" s="141" t="n">
        <v>1</v>
      </c>
      <c r="BM40" s="141">
        <f>'FICHA PESSOAL'!$V$52</f>
        <v/>
      </c>
      <c r="BN40" s="141">
        <f>ADDRESS(ROW('FICHA PESSOAL'!V52),COLUMN('FICHA PESSOAL'!V52),4)</f>
        <v/>
      </c>
      <c r="CY40" s="114" t="inlineStr">
        <is>
          <t>carga</t>
        </is>
      </c>
      <c r="CZ40" s="141">
        <f>ROUND(DADOS!$CZ$39+DADOS!$CZ$31,1)</f>
        <v/>
      </c>
    </row>
    <row r="41" ht="17.25" customHeight="1">
      <c r="A41" s="38" t="n"/>
      <c r="B41" s="38" t="n"/>
      <c r="C41" s="38" t="n"/>
      <c r="D41" s="38" t="n"/>
      <c r="E41" s="38" t="n"/>
      <c r="F41" s="114" t="inlineStr">
        <is>
          <t>Ecoa</t>
        </is>
      </c>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c r="AA41" s="38" t="n"/>
      <c r="AB41" s="38" t="n"/>
      <c r="AC41" s="38" t="n"/>
      <c r="AD41" s="38" t="n"/>
      <c r="AE41" s="38" t="n"/>
      <c r="AF41" s="38" t="n"/>
      <c r="AG41" s="38" t="n"/>
      <c r="AH41" s="38" t="n"/>
      <c r="AI41" s="38" t="n"/>
      <c r="AJ41" s="38" t="n"/>
      <c r="AK41" s="38" t="n"/>
      <c r="AL41" s="38" t="n"/>
      <c r="AM41" s="38" t="n"/>
      <c r="AN41" s="38" t="n"/>
      <c r="AO41" s="38" t="n"/>
      <c r="AP41" s="38" t="n"/>
      <c r="AQ41" s="38" t="n"/>
      <c r="AR41" s="38" t="n"/>
      <c r="AS41" s="38" t="n"/>
      <c r="AT41" s="38" t="n"/>
      <c r="AU41" s="38" t="n"/>
      <c r="AV41" s="38" t="n"/>
      <c r="AW41" s="38" t="n"/>
      <c r="AX41" s="38" t="n"/>
      <c r="AY41" s="38" t="n"/>
      <c r="AZ41" s="38" t="n"/>
      <c r="BA41" s="114" t="inlineStr">
        <is>
          <t>à distância</t>
        </is>
      </c>
      <c r="BB41" s="114">
        <f>ADDRESS(ROW(FICHA!AK47),COLUMN(FICHA!AK47),4)</f>
        <v/>
      </c>
      <c r="BD41" s="114" t="inlineStr">
        <is>
          <t>Odachi</t>
        </is>
      </c>
      <c r="BE41" s="114" t="inlineStr">
        <is>
          <t>Lâmina Longa</t>
        </is>
      </c>
      <c r="BF41" s="141" t="n">
        <v>2</v>
      </c>
      <c r="BG41" s="114" t="inlineStr">
        <is>
          <t>d12</t>
        </is>
      </c>
      <c r="BH41" s="114" t="inlineStr">
        <is>
          <t>Alcance · Talha · Embainhada</t>
        </is>
      </c>
      <c r="BI41" s="141" t="n">
        <v>3</v>
      </c>
      <c r="BJ41" s="141" t="n">
        <v>2</v>
      </c>
      <c r="BM41" s="141">
        <f>'FICHA PESSOAL'!$D$54</f>
        <v/>
      </c>
      <c r="BN41" s="141">
        <f>ADDRESS(ROW('FICHA PESSOAL'!D54),COLUMN('FICHA PESSOAL'!D54),4)</f>
        <v/>
      </c>
      <c r="CY41" s="114" t="inlineStr">
        <is>
          <t>limite de carga</t>
        </is>
      </c>
      <c r="CZ41" s="141">
        <f>5+DADOS!$CZ$5</f>
        <v/>
      </c>
    </row>
    <row r="42" ht="17.25" customHeight="1">
      <c r="A42" s="38" t="n"/>
      <c r="B42" s="38" t="n"/>
      <c r="C42" s="38" t="n"/>
      <c r="D42" s="38" t="n"/>
      <c r="E42" s="38" t="n"/>
      <c r="F42" s="114" t="inlineStr">
        <is>
          <t>Queima</t>
        </is>
      </c>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c r="AA42" s="38" t="n"/>
      <c r="AB42" s="38" t="n"/>
      <c r="AC42" s="38" t="n"/>
      <c r="AD42" s="38" t="n"/>
      <c r="AE42" s="38" t="n"/>
      <c r="AF42" s="38" t="n"/>
      <c r="AG42" s="38" t="n"/>
      <c r="AH42" s="38" t="n"/>
      <c r="AI42" s="38" t="n"/>
      <c r="AJ42" s="38" t="n"/>
      <c r="AK42" s="38" t="n"/>
      <c r="AL42" s="38" t="n"/>
      <c r="AM42" s="38" t="n"/>
      <c r="AN42" s="38" t="n"/>
      <c r="AO42" s="38" t="n"/>
      <c r="AP42" s="38" t="n"/>
      <c r="AQ42" s="38" t="n"/>
      <c r="AR42" s="38" t="n"/>
      <c r="AS42" s="38" t="n"/>
      <c r="AT42" s="38" t="n"/>
      <c r="AU42" s="38" t="n"/>
      <c r="AV42" s="38" t="n"/>
      <c r="AW42" s="38" t="n"/>
      <c r="AX42" s="38" t="n"/>
      <c r="AY42" s="38" t="n"/>
      <c r="AZ42" s="38" t="n"/>
      <c r="BA42" s="114" t="inlineStr">
        <is>
          <t>maestria</t>
        </is>
      </c>
      <c r="BB42" s="114">
        <f>ADDRESS(ROW(FICHA!D51),COLUMN(FICHA!D51),4)</f>
        <v/>
      </c>
      <c r="BD42" s="114" t="inlineStr">
        <is>
          <t>Pistola</t>
        </is>
      </c>
      <c r="BE42" s="114" t="inlineStr">
        <is>
          <t>Arma de Fogo</t>
        </is>
      </c>
      <c r="BF42" s="141" t="n">
        <v>1</v>
      </c>
      <c r="BG42" s="114" t="inlineStr">
        <is>
          <t>1d10</t>
        </is>
      </c>
      <c r="BH42" s="114" t="inlineStr">
        <is>
          <t>Longo Alcance · Munição · Oculta</t>
        </is>
      </c>
      <c r="BI42" s="114" t="inlineStr">
        <is>
          <t>—</t>
        </is>
      </c>
      <c r="BJ42" s="141" t="n">
        <v>0.1</v>
      </c>
      <c r="BK42" s="114" t="inlineStr">
        <is>
          <t>9 m, longa 27 m</t>
        </is>
      </c>
      <c r="BL42" s="141" t="n">
        <v>2</v>
      </c>
      <c r="BM42" s="141">
        <f>'FICHA PESSOAL'!$M$51</f>
        <v/>
      </c>
      <c r="BN42" s="141">
        <f>ADDRESS(ROW('FICHA PESSOAL'!M51),COLUMN('FICHA PESSOAL'!M51),4)</f>
        <v/>
      </c>
      <c r="CY42" s="114" t="inlineStr">
        <is>
          <t>carga acima</t>
        </is>
      </c>
      <c r="CZ42" s="141">
        <f>IF(DADOS!$CZ$40&gt;DADOS!$CZ$41,1,0)</f>
        <v/>
      </c>
    </row>
    <row r="43" ht="17.25" customHeight="1">
      <c r="A43" s="38" t="n"/>
      <c r="B43" s="38" t="n"/>
      <c r="C43" s="38" t="n"/>
      <c r="D43" s="38" t="n"/>
      <c r="E43" s="38" t="n"/>
      <c r="F43" s="114" t="inlineStr">
        <is>
          <t>Acúmulo</t>
        </is>
      </c>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c r="AA43" s="38" t="n"/>
      <c r="AB43" s="38" t="n"/>
      <c r="AC43" s="38" t="n"/>
      <c r="AD43" s="38" t="n"/>
      <c r="AE43" s="38" t="n"/>
      <c r="AF43" s="38" t="n"/>
      <c r="AG43" s="38" t="n"/>
      <c r="AH43" s="38" t="n"/>
      <c r="AI43" s="38" t="n"/>
      <c r="AJ43" s="38" t="n"/>
      <c r="AK43" s="38" t="n"/>
      <c r="AL43" s="38" t="n"/>
      <c r="AM43" s="38" t="n"/>
      <c r="AN43" s="38" t="n"/>
      <c r="AO43" s="38" t="n"/>
      <c r="AP43" s="38" t="n"/>
      <c r="AQ43" s="38" t="n"/>
      <c r="AR43" s="38" t="n"/>
      <c r="AS43" s="38" t="n"/>
      <c r="AT43" s="38" t="n"/>
      <c r="AU43" s="38" t="n"/>
      <c r="AV43" s="38" t="n"/>
      <c r="AW43" s="38" t="n"/>
      <c r="AX43" s="38" t="n"/>
      <c r="AY43" s="38" t="n"/>
      <c r="AZ43" s="38" t="n"/>
      <c r="BA43" s="114" t="inlineStr">
        <is>
          <t>deslocamento</t>
        </is>
      </c>
      <c r="BB43" s="114">
        <f>ADDRESS(ROW(FICHA!O51),COLUMN(FICHA!O51),4)</f>
        <v/>
      </c>
      <c r="BD43" s="114" t="inlineStr">
        <is>
          <t>Punhal</t>
        </is>
      </c>
      <c r="BE43" s="114" t="inlineStr">
        <is>
          <t>Lâmina Curta</t>
        </is>
      </c>
      <c r="BF43" s="141" t="n">
        <v>1</v>
      </c>
      <c r="BG43" s="114" t="inlineStr">
        <is>
          <t>d6</t>
        </is>
      </c>
      <c r="BH43" s="114" t="inlineStr">
        <is>
          <t>Fineza · Longo Alcance</t>
        </is>
      </c>
      <c r="BI43" s="114" t="inlineStr">
        <is>
          <t>—</t>
        </is>
      </c>
      <c r="BJ43" s="141" t="n">
        <v>1</v>
      </c>
      <c r="BK43" s="114" t="inlineStr">
        <is>
          <t>6 m, longa 18 m</t>
        </is>
      </c>
      <c r="BM43" s="141">
        <f>'FICHA PESSOAL'!$AE$51</f>
        <v/>
      </c>
      <c r="BN43" s="141">
        <f>ADDRESS(ROW('FICHA PESSOAL'!AE51),COLUMN('FICHA PESSOAL'!AE51),4)</f>
        <v/>
      </c>
      <c r="CY43" s="114" t="inlineStr">
        <is>
          <t>meia marcha</t>
        </is>
      </c>
      <c r="CZ43" s="141">
        <f>IF(OR(DADOS!$CZ$38=1,AND(DADOS!$CZ$37=1,DADOS!$CZ$19=1),DADOS!$CZ$42=1),1,0)</f>
        <v/>
      </c>
    </row>
    <row r="44" ht="17.25" customHeight="1">
      <c r="A44" s="38" t="n"/>
      <c r="B44" s="38" t="n"/>
      <c r="C44" s="38" t="n"/>
      <c r="D44" s="38" t="n"/>
      <c r="E44" s="38" t="n"/>
      <c r="F44" s="114" t="inlineStr">
        <is>
          <t>Remate</t>
        </is>
      </c>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c r="AA44" s="38" t="n"/>
      <c r="AB44" s="38" t="n"/>
      <c r="AC44" s="38" t="n"/>
      <c r="AD44" s="38" t="n"/>
      <c r="AE44" s="38" t="n"/>
      <c r="AF44" s="38" t="n"/>
      <c r="AG44" s="38" t="n"/>
      <c r="AH44" s="38" t="n"/>
      <c r="AI44" s="38" t="n"/>
      <c r="AJ44" s="38" t="n"/>
      <c r="AK44" s="38" t="n"/>
      <c r="AL44" s="38" t="n"/>
      <c r="AM44" s="38" t="n"/>
      <c r="AN44" s="38" t="n"/>
      <c r="AO44" s="38" t="n"/>
      <c r="AP44" s="38" t="n"/>
      <c r="AQ44" s="38" t="n"/>
      <c r="AR44" s="38" t="n"/>
      <c r="AS44" s="38" t="n"/>
      <c r="AT44" s="38" t="n"/>
      <c r="AU44" s="38" t="n"/>
      <c r="AV44" s="38" t="n"/>
      <c r="AW44" s="38" t="n"/>
      <c r="AX44" s="38" t="n"/>
      <c r="AY44" s="38" t="n"/>
      <c r="AZ44" s="38" t="n"/>
      <c r="BA44" s="114" t="inlineStr">
        <is>
          <t>espaços de feitiço</t>
        </is>
      </c>
      <c r="BB44" s="114">
        <f>ADDRESS(ROW(FICHA!D57),COLUMN(FICHA!D57),4)</f>
        <v/>
      </c>
      <c r="BD44" s="114" t="inlineStr">
        <is>
          <t>Rapieira</t>
        </is>
      </c>
      <c r="BE44" s="114" t="inlineStr">
        <is>
          <t>Lâmina Longa</t>
        </is>
      </c>
      <c r="BF44" s="141" t="n">
        <v>1</v>
      </c>
      <c r="BG44" s="114" t="inlineStr">
        <is>
          <t>d6</t>
        </is>
      </c>
      <c r="BH44" s="114" t="inlineStr">
        <is>
          <t>Fineza · Talha</t>
        </is>
      </c>
      <c r="BI44" s="114" t="inlineStr">
        <is>
          <t>—</t>
        </is>
      </c>
      <c r="BJ44" s="141" t="n">
        <v>1</v>
      </c>
      <c r="BM44" s="141">
        <f>'FICHA PESSOAL'!$D$55</f>
        <v/>
      </c>
      <c r="BN44" s="141">
        <f>ADDRESS(ROW('FICHA PESSOAL'!D55),COLUMN('FICHA PESSOAL'!D55),4)</f>
        <v/>
      </c>
      <c r="CY44" s="114" t="inlineStr">
        <is>
          <t>xp total</t>
        </is>
      </c>
      <c r="CZ44" s="141">
        <f>SUM('FICHA PESSOAL'!$BA$15:$BA$64)+SUM('FICHA PESSOAL'!$BG$15:$BG$64)+SUM('FICHA PESSOAL'!$BM$15:$BM$64)+SUM('FICHA PESSOAL'!$BS$15:$BS$64)</f>
        <v/>
      </c>
    </row>
    <row r="45" ht="17.25" customHeight="1">
      <c r="A45" s="38" t="n"/>
      <c r="B45" s="38" t="n"/>
      <c r="C45" s="38" t="n"/>
      <c r="D45" s="38" t="n"/>
      <c r="E45" s="38" t="n"/>
      <c r="F45" s="114" t="inlineStr">
        <is>
          <t>Estilhaço</t>
        </is>
      </c>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c r="AV45" s="38" t="n"/>
      <c r="AW45" s="38" t="n"/>
      <c r="AX45" s="38" t="n"/>
      <c r="AY45" s="38" t="n"/>
      <c r="AZ45" s="38" t="n"/>
      <c r="BA45" s="114" t="inlineStr">
        <is>
          <t>refino de graça</t>
        </is>
      </c>
      <c r="BB45" s="114">
        <f>ADDRESS(ROW(FICHA!O57),COLUMN(FICHA!O57),4)</f>
        <v/>
      </c>
      <c r="BD45" s="114" t="inlineStr">
        <is>
          <t>Revólver</t>
        </is>
      </c>
      <c r="BE45" s="114" t="inlineStr">
        <is>
          <t>Arma de Fogo</t>
        </is>
      </c>
      <c r="BF45" s="141" t="n">
        <v>1</v>
      </c>
      <c r="BG45" s="114" t="inlineStr">
        <is>
          <t>1d10</t>
        </is>
      </c>
      <c r="BH45" s="114" t="inlineStr">
        <is>
          <t>Longo Alcance · Munição · Oculta</t>
        </is>
      </c>
      <c r="BI45" s="114" t="inlineStr">
        <is>
          <t>—</t>
        </is>
      </c>
      <c r="BJ45" s="141" t="n">
        <v>0.1</v>
      </c>
      <c r="BK45" s="114" t="inlineStr">
        <is>
          <t>12 m, longa 36 m</t>
        </is>
      </c>
      <c r="BL45" s="141" t="n">
        <v>2</v>
      </c>
      <c r="BM45" s="141">
        <f>'FICHA PESSOAL'!$M$52</f>
        <v/>
      </c>
      <c r="BN45" s="141">
        <f>ADDRESS(ROW('FICHA PESSOAL'!M52),COLUMN('FICHA PESSOAL'!M52),4)</f>
        <v/>
      </c>
      <c r="CY45" s="114" t="inlineStr">
        <is>
          <t>nível</t>
        </is>
      </c>
      <c r="CZ45" s="141">
        <f>N(FICHA!$AH$11)</f>
        <v/>
      </c>
    </row>
    <row r="46" ht="17.25" customHeight="1">
      <c r="A46" s="38" t="n"/>
      <c r="B46" s="38" t="n"/>
      <c r="C46" s="38" t="n"/>
      <c r="D46" s="38" t="n"/>
      <c r="E46" s="38" t="n"/>
      <c r="F46" s="114" t="inlineStr">
        <is>
          <t>Quebra Coisa</t>
        </is>
      </c>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c r="AV46" s="38" t="n"/>
      <c r="AW46" s="38" t="n"/>
      <c r="AX46" s="38" t="n"/>
      <c r="AY46" s="38" t="n"/>
      <c r="AZ46" s="38" t="n"/>
      <c r="BA46" s="114" t="inlineStr">
        <is>
          <t>classe máxima</t>
        </is>
      </c>
      <c r="BB46" s="114">
        <f>ADDRESS(ROW(FICHA!Z57),COLUMN(FICHA!Z57),4)</f>
        <v/>
      </c>
      <c r="BD46" s="114" t="inlineStr">
        <is>
          <t>Rifle</t>
        </is>
      </c>
      <c r="BE46" s="114" t="inlineStr">
        <is>
          <t>Arma de Fogo</t>
        </is>
      </c>
      <c r="BF46" s="141" t="n">
        <v>2</v>
      </c>
      <c r="BG46" s="114" t="inlineStr">
        <is>
          <t>2d8</t>
        </is>
      </c>
      <c r="BH46" s="114" t="inlineStr">
        <is>
          <t>Longo Alcance · Munição · Talha</t>
        </is>
      </c>
      <c r="BI46" s="141" t="n">
        <v>1</v>
      </c>
      <c r="BJ46" s="141" t="n">
        <v>2</v>
      </c>
      <c r="BK46" s="114" t="inlineStr">
        <is>
          <t>24 m, longa 72 m</t>
        </is>
      </c>
      <c r="BL46" s="141" t="n">
        <v>3</v>
      </c>
      <c r="BM46" s="141">
        <f>'FICHA PESSOAL'!$M$53</f>
        <v/>
      </c>
      <c r="BN46" s="141">
        <f>ADDRESS(ROW('FICHA PESSOAL'!M53),COLUMN('FICHA PESSOAL'!M53),4)</f>
        <v/>
      </c>
      <c r="CY46" s="114" t="inlineStr">
        <is>
          <t>xp do próximo nível</t>
        </is>
      </c>
      <c r="CZ46" s="141">
        <f>IFERROR(VLOOKUP(DADOS!$CZ$45+1,DADOS!$AQ$5:$AR$33,2,FALSE),"")</f>
        <v/>
      </c>
    </row>
    <row r="47" ht="17.25" customHeight="1">
      <c r="A47" s="38" t="n"/>
      <c r="B47" s="38" t="n"/>
      <c r="C47" s="38" t="n"/>
      <c r="D47" s="38" t="n"/>
      <c r="E47" s="38" t="n"/>
      <c r="F47" s="114" t="inlineStr">
        <is>
          <t>Rasga Escudo</t>
        </is>
      </c>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c r="AA47" s="38" t="n"/>
      <c r="AB47" s="38" t="n"/>
      <c r="AC47" s="38" t="n"/>
      <c r="AD47" s="38" t="n"/>
      <c r="AE47" s="38" t="n"/>
      <c r="AF47" s="38" t="n"/>
      <c r="AG47" s="38" t="n"/>
      <c r="AH47" s="38" t="n"/>
      <c r="AI47" s="38" t="n"/>
      <c r="AJ47" s="38" t="n"/>
      <c r="AK47" s="38" t="n"/>
      <c r="AL47" s="38" t="n"/>
      <c r="AM47" s="38" t="n"/>
      <c r="AN47" s="38" t="n"/>
      <c r="AO47" s="38" t="n"/>
      <c r="AP47" s="38" t="n"/>
      <c r="AQ47" s="38" t="n"/>
      <c r="AR47" s="38" t="n"/>
      <c r="AS47" s="38" t="n"/>
      <c r="AT47" s="38" t="n"/>
      <c r="AU47" s="38" t="n"/>
      <c r="AV47" s="38" t="n"/>
      <c r="AW47" s="38" t="n"/>
      <c r="AX47" s="38" t="n"/>
      <c r="AY47" s="38" t="n"/>
      <c r="AZ47" s="38" t="n"/>
      <c r="BA47" s="114" t="inlineStr">
        <is>
          <t>classe 0 grátis</t>
        </is>
      </c>
      <c r="BB47" s="114">
        <f>ADDRESS(ROW(FICHA!AK57),COLUMN(FICHA!AK57),4)</f>
        <v/>
      </c>
      <c r="BD47" s="114" t="inlineStr">
        <is>
          <t>Rifle de Precisão</t>
        </is>
      </c>
      <c r="BE47" s="114" t="inlineStr">
        <is>
          <t>Arma de Fogo</t>
        </is>
      </c>
      <c r="BF47" s="141" t="n">
        <v>2</v>
      </c>
      <c r="BG47" s="114" t="inlineStr">
        <is>
          <t>2d10</t>
        </is>
      </c>
      <c r="BH47" s="114" t="inlineStr">
        <is>
          <t>Longo Alcance · Munição</t>
        </is>
      </c>
      <c r="BI47" s="141" t="n">
        <v>3</v>
      </c>
      <c r="BJ47" s="141" t="n">
        <v>2</v>
      </c>
      <c r="BK47" s="114" t="inlineStr">
        <is>
          <t>24 m, longa 72 m</t>
        </is>
      </c>
      <c r="BL47" s="141" t="n">
        <v>2</v>
      </c>
      <c r="BM47" s="141">
        <f>'FICHA PESSOAL'!$M$54</f>
        <v/>
      </c>
      <c r="BN47" s="141">
        <f>ADDRESS(ROW('FICHA PESSOAL'!M54),COLUMN('FICHA PESSOAL'!M54),4)</f>
        <v/>
      </c>
      <c r="CY47" s="114" t="inlineStr">
        <is>
          <t>xp deste nível</t>
        </is>
      </c>
      <c r="CZ47" s="141">
        <f>IFERROR(VLOOKUP(DADOS!$CZ$45,DADOS!$AQ$5:$AR$33,2,FALSE),0)</f>
        <v/>
      </c>
    </row>
    <row r="48" ht="17.25" customHeight="1">
      <c r="A48" s="38" t="n"/>
      <c r="B48" s="38" t="n"/>
      <c r="C48" s="38" t="n"/>
      <c r="D48" s="38" t="n"/>
      <c r="E48" s="38" t="n"/>
      <c r="F48" s="114" t="inlineStr">
        <is>
          <t>Sem Cura</t>
        </is>
      </c>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c r="AA48" s="38" t="n"/>
      <c r="AB48" s="38" t="n"/>
      <c r="AC48" s="38" t="n"/>
      <c r="AD48" s="38" t="n"/>
      <c r="AE48" s="38" t="n"/>
      <c r="AF48" s="38" t="n"/>
      <c r="AG48" s="38" t="n"/>
      <c r="AH48" s="38" t="n"/>
      <c r="AI48" s="38" t="n"/>
      <c r="AJ48" s="38" t="n"/>
      <c r="AK48" s="38" t="n"/>
      <c r="AL48" s="38" t="n"/>
      <c r="AM48" s="38" t="n"/>
      <c r="AN48" s="38" t="n"/>
      <c r="AO48" s="38" t="n"/>
      <c r="AP48" s="38" t="n"/>
      <c r="AQ48" s="38" t="n"/>
      <c r="AR48" s="38" t="n"/>
      <c r="AS48" s="38" t="n"/>
      <c r="AT48" s="38" t="n"/>
      <c r="AU48" s="38" t="n"/>
      <c r="AV48" s="38" t="n"/>
      <c r="AW48" s="38" t="n"/>
      <c r="AX48" s="38" t="n"/>
      <c r="AY48" s="38" t="n"/>
      <c r="AZ48" s="38" t="n"/>
      <c r="BA48" s="114" t="inlineStr">
        <is>
          <t>refino escolhido</t>
        </is>
      </c>
      <c r="BB48" s="114">
        <f>ADDRESS(ROW(FICHA!AO40),COLUMN(FICHA!AO40),4)</f>
        <v/>
      </c>
      <c r="BD48" s="114" t="inlineStr">
        <is>
          <t>Sai</t>
        </is>
      </c>
      <c r="BE48" s="114" t="inlineStr">
        <is>
          <t>Lâmina Curta</t>
        </is>
      </c>
      <c r="BF48" s="141" t="n">
        <v>1</v>
      </c>
      <c r="BG48" s="114" t="inlineStr">
        <is>
          <t>d6</t>
        </is>
      </c>
      <c r="BH48" s="114" t="inlineStr">
        <is>
          <t>Fineza · Par</t>
        </is>
      </c>
      <c r="BI48" s="114" t="inlineStr">
        <is>
          <t>—</t>
        </is>
      </c>
      <c r="BJ48" s="141" t="n">
        <v>1</v>
      </c>
      <c r="BM48" s="141">
        <f>'FICHA PESSOAL'!$AE$52</f>
        <v/>
      </c>
      <c r="BN48" s="141">
        <f>ADDRESS(ROW('FICHA PESSOAL'!AE52),COLUMN('FICHA PESSOAL'!AE52),4)</f>
        <v/>
      </c>
      <c r="CY48" s="114" t="inlineStr">
        <is>
          <t>cor da barra cheia</t>
        </is>
      </c>
      <c r="CZ48" s="141" t="inlineStr">
        <is>
          <t>#E8DCD4</t>
        </is>
      </c>
    </row>
    <row r="49" ht="17.25" customHeight="1">
      <c r="A49" s="38" t="n"/>
      <c r="B49" s="38" t="n"/>
      <c r="C49" s="38" t="n"/>
      <c r="D49" s="38" t="n"/>
      <c r="E49" s="38" t="n"/>
      <c r="F49" s="114" t="inlineStr">
        <is>
          <t>Rápido</t>
        </is>
      </c>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38" t="n"/>
      <c r="AD49" s="38" t="n"/>
      <c r="AE49" s="38" t="n"/>
      <c r="AF49" s="38" t="n"/>
      <c r="AG49" s="38" t="n"/>
      <c r="AH49" s="38" t="n"/>
      <c r="AI49" s="38" t="n"/>
      <c r="AJ49" s="38" t="n"/>
      <c r="AK49" s="38" t="n"/>
      <c r="AL49" s="38" t="n"/>
      <c r="AM49" s="38" t="n"/>
      <c r="AN49" s="38" t="n"/>
      <c r="AO49" s="38" t="n"/>
      <c r="AP49" s="38" t="n"/>
      <c r="AQ49" s="38" t="n"/>
      <c r="AR49" s="38" t="n"/>
      <c r="AS49" s="38" t="n"/>
      <c r="AT49" s="38" t="n"/>
      <c r="AU49" s="38" t="n"/>
      <c r="AV49" s="38" t="n"/>
      <c r="AW49" s="38" t="n"/>
      <c r="AX49" s="38" t="n"/>
      <c r="AY49" s="38" t="n"/>
      <c r="AZ49" s="38" t="n"/>
      <c r="BA49" s="114" t="inlineStr">
        <is>
          <t>marco corpo</t>
        </is>
      </c>
      <c r="BB49" s="114">
        <f>ADDRESS(ROW(FICHA!AQ40),COLUMN(FICHA!AQ40),4)</f>
        <v/>
      </c>
      <c r="BD49" s="114" t="inlineStr">
        <is>
          <t>Shuriken</t>
        </is>
      </c>
      <c r="BE49" s="114" t="inlineStr">
        <is>
          <t>Arremesso</t>
        </is>
      </c>
      <c r="BF49" s="141" t="n">
        <v>1</v>
      </c>
      <c r="BG49" s="114" t="inlineStr">
        <is>
          <t>d4</t>
        </is>
      </c>
      <c r="BH49" s="114" t="inlineStr">
        <is>
          <t>Longo Alcance · Oculta · Par</t>
        </is>
      </c>
      <c r="BI49" s="114" t="inlineStr">
        <is>
          <t>—</t>
        </is>
      </c>
      <c r="BJ49" s="141" t="n">
        <v>0.1</v>
      </c>
      <c r="BK49" s="114" t="inlineStr">
        <is>
          <t>6 m, longa 18 m</t>
        </is>
      </c>
      <c r="BM49" s="141">
        <f>'FICHA PESSOAL'!$M$59</f>
        <v/>
      </c>
      <c r="BN49" s="141">
        <f>ADDRESS(ROW('FICHA PESSOAL'!M59),COLUMN('FICHA PESSOAL'!M59),4)</f>
        <v/>
      </c>
    </row>
    <row r="50" ht="17.25" customHeight="1">
      <c r="A50" s="38" t="n"/>
      <c r="B50" s="38" t="n"/>
      <c r="C50" s="38" t="n"/>
      <c r="D50" s="38" t="n"/>
      <c r="E50" s="38" t="n"/>
      <c r="F50" s="114" t="inlineStr">
        <is>
          <t>Reação</t>
        </is>
      </c>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c r="AA50" s="38" t="n"/>
      <c r="AB50" s="38" t="n"/>
      <c r="AC50" s="38" t="n"/>
      <c r="AD50" s="38" t="n"/>
      <c r="AE50" s="38" t="n"/>
      <c r="AF50" s="38" t="n"/>
      <c r="AG50" s="38" t="n"/>
      <c r="AH50" s="38" t="n"/>
      <c r="AI50" s="38" t="n"/>
      <c r="AJ50" s="38" t="n"/>
      <c r="AK50" s="38" t="n"/>
      <c r="AL50" s="38" t="n"/>
      <c r="AM50" s="38" t="n"/>
      <c r="AN50" s="38" t="n"/>
      <c r="AO50" s="38" t="n"/>
      <c r="AP50" s="38" t="n"/>
      <c r="AQ50" s="38" t="n"/>
      <c r="AR50" s="38" t="n"/>
      <c r="AS50" s="38" t="n"/>
      <c r="AT50" s="38" t="n"/>
      <c r="AU50" s="38" t="n"/>
      <c r="AV50" s="38" t="n"/>
      <c r="AW50" s="38" t="n"/>
      <c r="AX50" s="38" t="n"/>
      <c r="AY50" s="38" t="n"/>
      <c r="AZ50" s="38" t="n"/>
      <c r="BA50" s="114" t="inlineStr">
        <is>
          <t>marco leque</t>
        </is>
      </c>
      <c r="BB50" s="114">
        <f>ADDRESS(ROW(FICHA!AS40),COLUMN(FICHA!AS40),4)</f>
        <v/>
      </c>
      <c r="BD50" s="114" t="inlineStr">
        <is>
          <t>Soqueira</t>
        </is>
      </c>
      <c r="BE50" s="114" t="inlineStr">
        <is>
          <t>Manopla</t>
        </is>
      </c>
      <c r="BF50" s="141" t="n">
        <v>1</v>
      </c>
      <c r="BG50" s="114" t="inlineStr">
        <is>
          <t>d4</t>
        </is>
      </c>
      <c r="BH50" s="114" t="inlineStr">
        <is>
          <t>Vestida · Oculta · Par</t>
        </is>
      </c>
      <c r="BI50" s="114" t="inlineStr">
        <is>
          <t>—</t>
        </is>
      </c>
      <c r="BJ50" s="141" t="n">
        <v>0.1</v>
      </c>
      <c r="BM50" s="141">
        <f>'FICHA PESSOAL'!$AE$59</f>
        <v/>
      </c>
      <c r="BN50" s="141">
        <f>ADDRESS(ROW('FICHA PESSOAL'!AE59),COLUMN('FICHA PESSOAL'!AE59),4)</f>
        <v/>
      </c>
    </row>
    <row r="51" ht="17.25" customHeight="1">
      <c r="A51" s="38" t="n"/>
      <c r="B51" s="38" t="n"/>
      <c r="C51" s="38" t="n"/>
      <c r="D51" s="38" t="n"/>
      <c r="E51" s="38" t="n"/>
      <c r="F51" s="114" t="inlineStr">
        <is>
          <t>Armado</t>
        </is>
      </c>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c r="AA51" s="38" t="n"/>
      <c r="AB51" s="38" t="n"/>
      <c r="AC51" s="38" t="n"/>
      <c r="AD51" s="38" t="n"/>
      <c r="AE51" s="38" t="n"/>
      <c r="AF51" s="38" t="n"/>
      <c r="AG51" s="38" t="n"/>
      <c r="AH51" s="38" t="n"/>
      <c r="AI51" s="38" t="n"/>
      <c r="AJ51" s="38" t="n"/>
      <c r="AK51" s="38" t="n"/>
      <c r="AL51" s="38" t="n"/>
      <c r="AM51" s="38" t="n"/>
      <c r="AN51" s="38" t="n"/>
      <c r="AO51" s="38" t="n"/>
      <c r="AP51" s="38" t="n"/>
      <c r="AQ51" s="38" t="n"/>
      <c r="AR51" s="38" t="n"/>
      <c r="AS51" s="38" t="n"/>
      <c r="AT51" s="38" t="n"/>
      <c r="AU51" s="38" t="n"/>
      <c r="AV51" s="38" t="n"/>
      <c r="AW51" s="38" t="n"/>
      <c r="AX51" s="38" t="n"/>
      <c r="AY51" s="38" t="n"/>
      <c r="AZ51" s="38" t="n"/>
      <c r="BA51" s="114" t="inlineStr">
        <is>
          <t>marcos escolhidos</t>
        </is>
      </c>
      <c r="BB51" s="114">
        <f>ADDRESS(ROW(FICHA!AK40),COLUMN(FICHA!AK40),4)</f>
        <v/>
      </c>
      <c r="BD51" s="114" t="inlineStr">
        <is>
          <t>Submetralhadora</t>
        </is>
      </c>
      <c r="BE51" s="114" t="inlineStr">
        <is>
          <t>Arma de Fogo</t>
        </is>
      </c>
      <c r="BF51" s="141" t="n">
        <v>2</v>
      </c>
      <c r="BG51" s="114" t="inlineStr">
        <is>
          <t>2d6</t>
        </is>
      </c>
      <c r="BH51" s="114" t="inlineStr">
        <is>
          <t>Longo Alcance · Munição · Par · Oculta</t>
        </is>
      </c>
      <c r="BI51" s="114" t="inlineStr">
        <is>
          <t>—</t>
        </is>
      </c>
      <c r="BJ51" s="141" t="n">
        <v>2</v>
      </c>
      <c r="BK51" s="114" t="inlineStr">
        <is>
          <t>15 m, longa 45 m</t>
        </is>
      </c>
      <c r="BL51" s="141" t="n">
        <v>3</v>
      </c>
      <c r="BM51" s="141">
        <f>'FICHA PESSOAL'!$M$55</f>
        <v/>
      </c>
      <c r="BN51" s="141">
        <f>ADDRESS(ROW('FICHA PESSOAL'!M55),COLUMN('FICHA PESSOAL'!M55),4)</f>
        <v/>
      </c>
    </row>
    <row r="52" ht="17.25" customHeight="1">
      <c r="A52" s="38" t="n"/>
      <c r="B52" s="38" t="n"/>
      <c r="C52" s="38" t="n"/>
      <c r="D52" s="38" t="n"/>
      <c r="E52" s="38" t="n"/>
      <c r="F52" s="114" t="inlineStr">
        <is>
          <t>Silencioso</t>
        </is>
      </c>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c r="AA52" s="38" t="n"/>
      <c r="AB52" s="38" t="n"/>
      <c r="AC52" s="38" t="n"/>
      <c r="AD52" s="38" t="n"/>
      <c r="AE52" s="38" t="n"/>
      <c r="AF52" s="38" t="n"/>
      <c r="AG52" s="38" t="n"/>
      <c r="AH52" s="38" t="n"/>
      <c r="AI52" s="38" t="n"/>
      <c r="AJ52" s="38" t="n"/>
      <c r="AK52" s="38" t="n"/>
      <c r="AL52" s="38" t="n"/>
      <c r="AM52" s="38" t="n"/>
      <c r="AN52" s="38" t="n"/>
      <c r="AO52" s="38" t="n"/>
      <c r="AP52" s="38" t="n"/>
      <c r="AQ52" s="38" t="n"/>
      <c r="AR52" s="38" t="n"/>
      <c r="AS52" s="38" t="n"/>
      <c r="AT52" s="38" t="n"/>
      <c r="AU52" s="38" t="n"/>
      <c r="AV52" s="38" t="n"/>
      <c r="AW52" s="38" t="n"/>
      <c r="AX52" s="38" t="n"/>
      <c r="AY52" s="38" t="n"/>
      <c r="AZ52" s="38" t="n"/>
      <c r="BA52" s="114" t="inlineStr">
        <is>
          <t>buff de defesa</t>
        </is>
      </c>
      <c r="BB52" s="114">
        <f>ADDRESS(ROW(FICHA!L43),COLUMN(FICHA!L43),4)</f>
        <v/>
      </c>
      <c r="BD52" s="114" t="inlineStr">
        <is>
          <t>Taco</t>
        </is>
      </c>
      <c r="BE52" s="114" t="inlineStr">
        <is>
          <t>Massa</t>
        </is>
      </c>
      <c r="BF52" s="141" t="n">
        <v>1</v>
      </c>
      <c r="BG52" s="114" t="inlineStr">
        <is>
          <t>d8</t>
        </is>
      </c>
      <c r="BH52" s="114" t="inlineStr">
        <is>
          <t>Versátil · Oculta</t>
        </is>
      </c>
      <c r="BI52" s="114" t="inlineStr">
        <is>
          <t>—</t>
        </is>
      </c>
      <c r="BJ52" s="141" t="n">
        <v>0.1</v>
      </c>
      <c r="BM52" s="141">
        <f>'FICHA PESSOAL'!$AM$53</f>
        <v/>
      </c>
      <c r="BN52" s="141">
        <f>ADDRESS(ROW('FICHA PESSOAL'!AM53),COLUMN('FICHA PESSOAL'!AM53),4)</f>
        <v/>
      </c>
    </row>
    <row r="53" ht="17.25" customHeight="1">
      <c r="A53" s="38" t="n"/>
      <c r="B53" s="38" t="n"/>
      <c r="C53" s="38" t="n"/>
      <c r="D53" s="38" t="n"/>
      <c r="E53" s="38" t="n"/>
      <c r="F53" s="114" t="inlineStr">
        <is>
          <t>Adianta</t>
        </is>
      </c>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c r="AA53" s="38" t="n"/>
      <c r="AB53" s="38" t="n"/>
      <c r="AC53" s="38" t="n"/>
      <c r="AD53" s="38" t="n"/>
      <c r="AE53" s="38" t="n"/>
      <c r="AF53" s="38" t="n"/>
      <c r="AG53" s="38" t="n"/>
      <c r="AH53" s="38" t="n"/>
      <c r="AI53" s="38" t="n"/>
      <c r="AJ53" s="38" t="n"/>
      <c r="AK53" s="38" t="n"/>
      <c r="AL53" s="38" t="n"/>
      <c r="AM53" s="38" t="n"/>
      <c r="AN53" s="38" t="n"/>
      <c r="AO53" s="38" t="n"/>
      <c r="AP53" s="38" t="n"/>
      <c r="AQ53" s="38" t="n"/>
      <c r="AR53" s="38" t="n"/>
      <c r="AS53" s="38" t="n"/>
      <c r="AT53" s="38" t="n"/>
      <c r="AU53" s="38" t="n"/>
      <c r="AV53" s="38" t="n"/>
      <c r="AW53" s="38" t="n"/>
      <c r="AX53" s="38" t="n"/>
      <c r="AY53" s="38" t="n"/>
      <c r="AZ53" s="38" t="n"/>
      <c r="BA53" s="114" t="inlineStr">
        <is>
          <t>buff de iniciativa</t>
        </is>
      </c>
      <c r="BB53" s="114">
        <f>ADDRESS(ROW(FICHA!AS43),COLUMN(FICHA!AS43),4)</f>
        <v/>
      </c>
      <c r="BD53" s="114" t="inlineStr">
        <is>
          <t>Tanto</t>
        </is>
      </c>
      <c r="BE53" s="114" t="inlineStr">
        <is>
          <t>Lâmina Curta</t>
        </is>
      </c>
      <c r="BF53" s="141" t="n">
        <v>1</v>
      </c>
      <c r="BG53" s="114" t="inlineStr">
        <is>
          <t>d6</t>
        </is>
      </c>
      <c r="BH53" s="114" t="inlineStr">
        <is>
          <t>Fineza · Oculta</t>
        </is>
      </c>
      <c r="BI53" s="114" t="inlineStr">
        <is>
          <t>—</t>
        </is>
      </c>
      <c r="BJ53" s="141" t="n">
        <v>0.1</v>
      </c>
      <c r="BM53" s="141">
        <f>'FICHA PESSOAL'!$AE$53</f>
        <v/>
      </c>
      <c r="BN53" s="141">
        <f>ADDRESS(ROW('FICHA PESSOAL'!AE53),COLUMN('FICHA PESSOAL'!AE53),4)</f>
        <v/>
      </c>
    </row>
    <row r="54" ht="17.25" customHeight="1">
      <c r="A54" s="38" t="n"/>
      <c r="B54" s="38" t="n"/>
      <c r="C54" s="38" t="n"/>
      <c r="D54" s="38" t="n"/>
      <c r="E54" s="38" t="n"/>
      <c r="F54" s="114" t="inlineStr">
        <is>
          <t>Segura</t>
        </is>
      </c>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c r="AA54" s="38" t="n"/>
      <c r="AB54" s="38" t="n"/>
      <c r="AC54" s="38" t="n"/>
      <c r="AD54" s="38" t="n"/>
      <c r="AE54" s="38" t="n"/>
      <c r="AF54" s="38" t="n"/>
      <c r="AG54" s="38" t="n"/>
      <c r="AH54" s="38" t="n"/>
      <c r="AI54" s="38" t="n"/>
      <c r="AJ54" s="38" t="n"/>
      <c r="AK54" s="38" t="n"/>
      <c r="AL54" s="38" t="n"/>
      <c r="AM54" s="38" t="n"/>
      <c r="AN54" s="38" t="n"/>
      <c r="AO54" s="38" t="n"/>
      <c r="AP54" s="38" t="n"/>
      <c r="AQ54" s="38" t="n"/>
      <c r="AR54" s="38" t="n"/>
      <c r="AS54" s="38" t="n"/>
      <c r="AT54" s="38" t="n"/>
      <c r="AU54" s="38" t="n"/>
      <c r="AV54" s="38" t="n"/>
      <c r="AW54" s="38" t="n"/>
      <c r="AX54" s="38" t="n"/>
      <c r="AY54" s="38" t="n"/>
      <c r="AZ54" s="38" t="n"/>
      <c r="BA54" s="114" t="inlineStr">
        <is>
          <t>buff de cd de feitiço</t>
        </is>
      </c>
      <c r="BB54" s="114">
        <f>ADDRESS(ROW(FICHA!L47),COLUMN(FICHA!L47),4)</f>
        <v/>
      </c>
      <c r="BD54" s="114" t="inlineStr">
        <is>
          <t>Tekko</t>
        </is>
      </c>
      <c r="BE54" s="114" t="inlineStr">
        <is>
          <t>Manopla</t>
        </is>
      </c>
      <c r="BF54" s="141" t="n">
        <v>1</v>
      </c>
      <c r="BG54" s="114" t="inlineStr">
        <is>
          <t>d4</t>
        </is>
      </c>
      <c r="BH54" s="114" t="inlineStr">
        <is>
          <t>Vestida · Par · Oculta</t>
        </is>
      </c>
      <c r="BI54" s="114" t="inlineStr">
        <is>
          <t>—</t>
        </is>
      </c>
      <c r="BJ54" s="141" t="n">
        <v>0.1</v>
      </c>
      <c r="BM54" s="141">
        <f>'FICHA PESSOAL'!$AE$60</f>
        <v/>
      </c>
      <c r="BN54" s="141">
        <f>ADDRESS(ROW('FICHA PESSOAL'!AE60),COLUMN('FICHA PESSOAL'!AE60),4)</f>
        <v/>
      </c>
    </row>
    <row r="55" ht="17.25" customHeight="1">
      <c r="A55" s="38" t="n"/>
      <c r="B55" s="38" t="n"/>
      <c r="C55" s="38" t="n"/>
      <c r="D55" s="38" t="n"/>
      <c r="E55" s="38" t="n"/>
      <c r="F55" s="114" t="inlineStr">
        <is>
          <t>Concentrada</t>
        </is>
      </c>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c r="AA55" s="38" t="n"/>
      <c r="AB55" s="38" t="n"/>
      <c r="AC55" s="38" t="n"/>
      <c r="AD55" s="38" t="n"/>
      <c r="AE55" s="38" t="n"/>
      <c r="AF55" s="38" t="n"/>
      <c r="AG55" s="38" t="n"/>
      <c r="AH55" s="38" t="n"/>
      <c r="AI55" s="38" t="n"/>
      <c r="AJ55" s="38" t="n"/>
      <c r="AK55" s="38" t="n"/>
      <c r="AL55" s="38" t="n"/>
      <c r="AM55" s="38" t="n"/>
      <c r="AN55" s="38" t="n"/>
      <c r="AO55" s="38" t="n"/>
      <c r="AP55" s="38" t="n"/>
      <c r="AQ55" s="38" t="n"/>
      <c r="AR55" s="38" t="n"/>
      <c r="AS55" s="38" t="n"/>
      <c r="AT55" s="38" t="n"/>
      <c r="AU55" s="38" t="n"/>
      <c r="AV55" s="38" t="n"/>
      <c r="AW55" s="38" t="n"/>
      <c r="AX55" s="38" t="n"/>
      <c r="AY55" s="38" t="n"/>
      <c r="AZ55" s="38" t="n"/>
      <c r="BA55" s="114" t="inlineStr">
        <is>
          <t>buff de conjuração</t>
        </is>
      </c>
      <c r="BB55" s="114">
        <f>ADDRESS(ROW(FICHA!W47),COLUMN(FICHA!W47),4)</f>
        <v/>
      </c>
      <c r="BD55" s="114" t="inlineStr">
        <is>
          <t>Tessen</t>
        </is>
      </c>
      <c r="BE55" s="114" t="inlineStr">
        <is>
          <t>Arremesso</t>
        </is>
      </c>
      <c r="BF55" s="141" t="n">
        <v>1</v>
      </c>
      <c r="BG55" s="114" t="inlineStr">
        <is>
          <t>d4</t>
        </is>
      </c>
      <c r="BH55" s="114" t="inlineStr">
        <is>
          <t>Longo Alcance · Oculta · Vestida</t>
        </is>
      </c>
      <c r="BI55" s="114" t="inlineStr">
        <is>
          <t>—</t>
        </is>
      </c>
      <c r="BJ55" s="141" t="n">
        <v>0.1</v>
      </c>
      <c r="BK55" s="114" t="inlineStr">
        <is>
          <t>6 m, longa 18 m</t>
        </is>
      </c>
      <c r="BM55" s="141">
        <f>'FICHA PESSOAL'!$M$60</f>
        <v/>
      </c>
      <c r="BN55" s="141">
        <f>ADDRESS(ROW('FICHA PESSOAL'!M60),COLUMN('FICHA PESSOAL'!M60),4)</f>
        <v/>
      </c>
    </row>
    <row r="56" ht="17.25" customHeight="1">
      <c r="A56" s="38" t="n"/>
      <c r="B56" s="38" t="n"/>
      <c r="C56" s="38" t="n"/>
      <c r="D56" s="38" t="n"/>
      <c r="E56" s="38" t="n"/>
      <c r="F56" s="114" t="inlineStr">
        <is>
          <t>Duradoura</t>
        </is>
      </c>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c r="AA56" s="38" t="n"/>
      <c r="AB56" s="38" t="n"/>
      <c r="AC56" s="38" t="n"/>
      <c r="AD56" s="38" t="n"/>
      <c r="AE56" s="38" t="n"/>
      <c r="AF56" s="38" t="n"/>
      <c r="AG56" s="38" t="n"/>
      <c r="AH56" s="38" t="n"/>
      <c r="AI56" s="38" t="n"/>
      <c r="AJ56" s="38" t="n"/>
      <c r="AK56" s="38" t="n"/>
      <c r="AL56" s="38" t="n"/>
      <c r="AM56" s="38" t="n"/>
      <c r="AN56" s="38" t="n"/>
      <c r="AO56" s="38" t="n"/>
      <c r="AP56" s="38" t="n"/>
      <c r="AQ56" s="38" t="n"/>
      <c r="AR56" s="38" t="n"/>
      <c r="AS56" s="38" t="n"/>
      <c r="AT56" s="38" t="n"/>
      <c r="AU56" s="38" t="n"/>
      <c r="AV56" s="38" t="n"/>
      <c r="AW56" s="38" t="n"/>
      <c r="AX56" s="38" t="n"/>
      <c r="AY56" s="38" t="n"/>
      <c r="AZ56" s="38" t="n"/>
      <c r="BA56" s="114" t="inlineStr">
        <is>
          <t>buff de corpo a corpo</t>
        </is>
      </c>
      <c r="BB56" s="114">
        <f>ADDRESS(ROW(FICHA!AH47),COLUMN(FICHA!AH47),4)</f>
        <v/>
      </c>
      <c r="BD56" s="114" t="inlineStr">
        <is>
          <t>Tonfa</t>
        </is>
      </c>
      <c r="BE56" s="114" t="inlineStr">
        <is>
          <t>Porrete</t>
        </is>
      </c>
      <c r="BF56" s="141" t="n">
        <v>1</v>
      </c>
      <c r="BG56" s="114" t="inlineStr">
        <is>
          <t>d6</t>
        </is>
      </c>
      <c r="BH56" s="114" t="inlineStr">
        <is>
          <t>Par · Vestida</t>
        </is>
      </c>
      <c r="BI56" s="114" t="inlineStr">
        <is>
          <t>—</t>
        </is>
      </c>
      <c r="BJ56" s="141" t="n">
        <v>0.1</v>
      </c>
      <c r="BM56" s="141">
        <f>'FICHA PESSOAL'!$V$53</f>
        <v/>
      </c>
      <c r="BN56" s="141">
        <f>ADDRESS(ROW('FICHA PESSOAL'!V53),COLUMN('FICHA PESSOAL'!V53),4)</f>
        <v/>
      </c>
    </row>
    <row r="57" ht="17.25" customHeight="1">
      <c r="A57" s="38" t="n"/>
      <c r="B57" s="38" t="n"/>
      <c r="C57" s="38" t="n"/>
      <c r="D57" s="38" t="n"/>
      <c r="E57" s="38" t="n"/>
      <c r="F57" s="114" t="inlineStr">
        <is>
          <t>Marca</t>
        </is>
      </c>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c r="AA57" s="38" t="n"/>
      <c r="AB57" s="38" t="n"/>
      <c r="AC57" s="38" t="n"/>
      <c r="AD57" s="38" t="n"/>
      <c r="AE57" s="38" t="n"/>
      <c r="AF57" s="38" t="n"/>
      <c r="AG57" s="38" t="n"/>
      <c r="AH57" s="38" t="n"/>
      <c r="AI57" s="38" t="n"/>
      <c r="AJ57" s="38" t="n"/>
      <c r="AK57" s="38" t="n"/>
      <c r="AL57" s="38" t="n"/>
      <c r="AM57" s="38" t="n"/>
      <c r="AN57" s="38" t="n"/>
      <c r="AO57" s="38" t="n"/>
      <c r="AP57" s="38" t="n"/>
      <c r="AQ57" s="38" t="n"/>
      <c r="AR57" s="38" t="n"/>
      <c r="AS57" s="38" t="n"/>
      <c r="AT57" s="38" t="n"/>
      <c r="AU57" s="38" t="n"/>
      <c r="AV57" s="38" t="n"/>
      <c r="AW57" s="38" t="n"/>
      <c r="AX57" s="38" t="n"/>
      <c r="AY57" s="38" t="n"/>
      <c r="AZ57" s="38" t="n"/>
      <c r="BA57" s="114" t="inlineStr">
        <is>
          <t>buff de à distância</t>
        </is>
      </c>
      <c r="BB57" s="114">
        <f>ADDRESS(ROW(FICHA!AS47),COLUMN(FICHA!AS47),4)</f>
        <v/>
      </c>
      <c r="BD57" s="114" t="inlineStr">
        <is>
          <t>Torre</t>
        </is>
      </c>
      <c r="BE57" s="114" t="inlineStr">
        <is>
          <t>Escudo</t>
        </is>
      </c>
      <c r="BF57" s="141" t="n">
        <v>1</v>
      </c>
      <c r="BG57" s="114" t="inlineStr">
        <is>
          <t>—</t>
        </is>
      </c>
      <c r="BH57" s="114" t="inlineStr">
        <is>
          <t>Proteção +3 · teto de Destreza 1</t>
        </is>
      </c>
      <c r="BI57" s="141" t="n">
        <v>5</v>
      </c>
      <c r="BJ57" s="141" t="n">
        <v>2</v>
      </c>
      <c r="BM57" s="141">
        <f>TRUE</f>
        <v/>
      </c>
    </row>
    <row r="58" ht="17.25" customHeight="1">
      <c r="A58" s="38" t="n"/>
      <c r="B58" s="38" t="n"/>
      <c r="C58" s="38" t="n"/>
      <c r="D58" s="38" t="n"/>
      <c r="E58" s="38" t="n"/>
      <c r="F58" s="114" t="inlineStr">
        <is>
          <t>Alvo de Caça</t>
        </is>
      </c>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c r="AA58" s="38" t="n"/>
      <c r="AB58" s="38" t="n"/>
      <c r="AC58" s="38" t="n"/>
      <c r="AD58" s="38" t="n"/>
      <c r="AE58" s="38" t="n"/>
      <c r="AF58" s="38" t="n"/>
      <c r="AG58" s="38" t="n"/>
      <c r="AH58" s="38" t="n"/>
      <c r="AI58" s="38" t="n"/>
      <c r="AJ58" s="38" t="n"/>
      <c r="AK58" s="38" t="n"/>
      <c r="AL58" s="38" t="n"/>
      <c r="AM58" s="38" t="n"/>
      <c r="AN58" s="38" t="n"/>
      <c r="AO58" s="38" t="n"/>
      <c r="AP58" s="38" t="n"/>
      <c r="AQ58" s="38" t="n"/>
      <c r="AR58" s="38" t="n"/>
      <c r="AS58" s="38" t="n"/>
      <c r="AT58" s="38" t="n"/>
      <c r="AU58" s="38" t="n"/>
      <c r="AV58" s="38" t="n"/>
      <c r="AW58" s="38" t="n"/>
      <c r="AX58" s="38" t="n"/>
      <c r="AY58" s="38" t="n"/>
      <c r="AZ58" s="38" t="n"/>
      <c r="BA58" s="114" t="inlineStr">
        <is>
          <t>buff de deslocamento</t>
        </is>
      </c>
      <c r="BB58" s="114">
        <f>ADDRESS(ROW(FICHA!W51),COLUMN(FICHA!W51),4)</f>
        <v/>
      </c>
      <c r="BD58" s="114" t="inlineStr">
        <is>
          <t>Wakizashi</t>
        </is>
      </c>
      <c r="BE58" s="114" t="inlineStr">
        <is>
          <t>Lâmina Longa</t>
        </is>
      </c>
      <c r="BF58" s="141" t="n">
        <v>1</v>
      </c>
      <c r="BG58" s="114" t="inlineStr">
        <is>
          <t>d8</t>
        </is>
      </c>
      <c r="BH58" s="114" t="inlineStr">
        <is>
          <t>Oculta</t>
        </is>
      </c>
      <c r="BI58" s="114" t="inlineStr">
        <is>
          <t>—</t>
        </is>
      </c>
      <c r="BJ58" s="141" t="n">
        <v>0.1</v>
      </c>
      <c r="BM58" s="141">
        <f>'FICHA PESSOAL'!$D$56</f>
        <v/>
      </c>
      <c r="BN58" s="141">
        <f>ADDRESS(ROW('FICHA PESSOAL'!D56),COLUMN('FICHA PESSOAL'!D56),4)</f>
        <v/>
      </c>
    </row>
    <row r="59" ht="17.25" customHeight="1">
      <c r="A59" s="38" t="n"/>
      <c r="B59" s="38" t="n"/>
      <c r="C59" s="38" t="n"/>
      <c r="D59" s="38" t="n"/>
      <c r="E59" s="38" t="n"/>
      <c r="F59" s="114" t="inlineStr">
        <is>
          <t>Rastro</t>
        </is>
      </c>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c r="AU59" s="38" t="n"/>
      <c r="AV59" s="38" t="n"/>
      <c r="AW59" s="38" t="n"/>
      <c r="AX59" s="38" t="n"/>
      <c r="AY59" s="38" t="n"/>
      <c r="AZ59" s="38" t="n"/>
      <c r="BA59" s="114" t="inlineStr">
        <is>
          <t>corpo_Força</t>
        </is>
      </c>
      <c r="BB59" s="114">
        <f>ADDRESS(ROW(FICHA!AK15),COLUMN(FICHA!AK15),4)</f>
        <v/>
      </c>
      <c r="BD59" s="114" t="inlineStr">
        <is>
          <t>Yari</t>
        </is>
      </c>
      <c r="BE59" s="114" t="inlineStr">
        <is>
          <t>Armas Longas</t>
        </is>
      </c>
      <c r="BF59" s="141" t="n">
        <v>2</v>
      </c>
      <c r="BG59" s="114" t="inlineStr">
        <is>
          <t>d10</t>
        </is>
      </c>
      <c r="BH59" s="114" t="inlineStr">
        <is>
          <t>Alcance · Talha</t>
        </is>
      </c>
      <c r="BI59" s="141" t="n">
        <v>3</v>
      </c>
      <c r="BJ59" s="141" t="n">
        <v>2</v>
      </c>
      <c r="BM59" s="141">
        <f>'FICHA PESSOAL'!$AM$57</f>
        <v/>
      </c>
      <c r="BN59" s="141">
        <f>ADDRESS(ROW('FICHA PESSOAL'!AM57),COLUMN('FICHA PESSOAL'!AM57),4)</f>
        <v/>
      </c>
    </row>
    <row r="60" ht="17.25" customHeight="1">
      <c r="A60" s="38" t="n"/>
      <c r="B60" s="38" t="n"/>
      <c r="C60" s="38" t="n"/>
      <c r="D60" s="38" t="n"/>
      <c r="E60" s="38" t="n"/>
      <c r="F60" s="114" t="inlineStr">
        <is>
          <t>Sugar</t>
        </is>
      </c>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c r="AA60" s="38" t="n"/>
      <c r="AB60" s="38" t="n"/>
      <c r="AC60" s="38" t="n"/>
      <c r="AD60" s="38" t="n"/>
      <c r="AE60" s="38" t="n"/>
      <c r="AF60" s="38" t="n"/>
      <c r="AG60" s="38" t="n"/>
      <c r="AH60" s="38" t="n"/>
      <c r="AI60" s="38" t="n"/>
      <c r="AJ60" s="38" t="n"/>
      <c r="AK60" s="38" t="n"/>
      <c r="AL60" s="38" t="n"/>
      <c r="AM60" s="38" t="n"/>
      <c r="AN60" s="38" t="n"/>
      <c r="AO60" s="38" t="n"/>
      <c r="AP60" s="38" t="n"/>
      <c r="AQ60" s="38" t="n"/>
      <c r="AR60" s="38" t="n"/>
      <c r="AS60" s="38" t="n"/>
      <c r="AT60" s="38" t="n"/>
      <c r="AU60" s="38" t="n"/>
      <c r="AV60" s="38" t="n"/>
      <c r="AW60" s="38" t="n"/>
      <c r="AX60" s="38" t="n"/>
      <c r="AY60" s="38" t="n"/>
      <c r="AZ60" s="38" t="n"/>
      <c r="BA60" s="114" t="inlineStr">
        <is>
          <t>corpo_Destreza</t>
        </is>
      </c>
      <c r="BB60" s="114">
        <f>ADDRESS(ROW(FICHA!AM15),COLUMN(FICHA!AM15),4)</f>
        <v/>
      </c>
    </row>
    <row r="61" ht="17.25" customHeight="1">
      <c r="A61" s="38" t="n"/>
      <c r="B61" s="38" t="n"/>
      <c r="C61" s="38" t="n"/>
      <c r="D61" s="38" t="n"/>
      <c r="E61" s="38" t="n"/>
      <c r="F61" s="114" t="inlineStr">
        <is>
          <t>Isca</t>
        </is>
      </c>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c r="AA61" s="38" t="n"/>
      <c r="AB61" s="38" t="n"/>
      <c r="AC61" s="38" t="n"/>
      <c r="AD61" s="38" t="n"/>
      <c r="AE61" s="38" t="n"/>
      <c r="AF61" s="38" t="n"/>
      <c r="AG61" s="38" t="n"/>
      <c r="AH61" s="38" t="n"/>
      <c r="AI61" s="38" t="n"/>
      <c r="AJ61" s="38" t="n"/>
      <c r="AK61" s="38" t="n"/>
      <c r="AL61" s="38" t="n"/>
      <c r="AM61" s="38" t="n"/>
      <c r="AN61" s="38" t="n"/>
      <c r="AO61" s="38" t="n"/>
      <c r="AP61" s="38" t="n"/>
      <c r="AQ61" s="38" t="n"/>
      <c r="AR61" s="38" t="n"/>
      <c r="AS61" s="38" t="n"/>
      <c r="AT61" s="38" t="n"/>
      <c r="AU61" s="38" t="n"/>
      <c r="AV61" s="38" t="n"/>
      <c r="AW61" s="38" t="n"/>
      <c r="AX61" s="38" t="n"/>
      <c r="AY61" s="38" t="n"/>
      <c r="AZ61" s="38" t="n"/>
      <c r="BA61" s="114" t="inlineStr">
        <is>
          <t>corpo_Constituição</t>
        </is>
      </c>
      <c r="BB61" s="114">
        <f>ADDRESS(ROW(FICHA!AO15),COLUMN(FICHA!AO15),4)</f>
        <v/>
      </c>
    </row>
    <row r="62" ht="17.25" customHeight="1">
      <c r="A62" s="38" t="n"/>
      <c r="B62" s="38" t="n"/>
      <c r="C62" s="38" t="n"/>
      <c r="D62" s="38" t="n"/>
      <c r="E62" s="38" t="n"/>
      <c r="F62" s="114" t="inlineStr">
        <is>
          <t>Cobrança</t>
        </is>
      </c>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c r="AA62" s="38" t="n"/>
      <c r="AB62" s="38" t="n"/>
      <c r="AC62" s="38" t="n"/>
      <c r="AD62" s="38" t="n"/>
      <c r="AE62" s="38" t="n"/>
      <c r="AF62" s="38" t="n"/>
      <c r="AG62" s="38" t="n"/>
      <c r="AH62" s="38" t="n"/>
      <c r="AI62" s="38" t="n"/>
      <c r="AJ62" s="38" t="n"/>
      <c r="AK62" s="38" t="n"/>
      <c r="AL62" s="38" t="n"/>
      <c r="AM62" s="38" t="n"/>
      <c r="AN62" s="38" t="n"/>
      <c r="AO62" s="38" t="n"/>
      <c r="AP62" s="38" t="n"/>
      <c r="AQ62" s="38" t="n"/>
      <c r="AR62" s="38" t="n"/>
      <c r="AS62" s="38" t="n"/>
      <c r="AT62" s="38" t="n"/>
      <c r="AU62" s="38" t="n"/>
      <c r="AV62" s="38" t="n"/>
      <c r="AW62" s="38" t="n"/>
      <c r="AX62" s="38" t="n"/>
      <c r="AY62" s="38" t="n"/>
      <c r="AZ62" s="38" t="n"/>
      <c r="BA62" s="114" t="inlineStr">
        <is>
          <t>corpo_Inteligência</t>
        </is>
      </c>
      <c r="BB62" s="114">
        <f>ADDRESS(ROW(FICHA!AQ15),COLUMN(FICHA!AQ15),4)</f>
        <v/>
      </c>
    </row>
    <row r="63" ht="17.25" customHeight="1">
      <c r="A63" s="38" t="n"/>
      <c r="B63" s="38" t="n"/>
      <c r="C63" s="38" t="n"/>
      <c r="D63" s="38" t="n"/>
      <c r="E63" s="38" t="n"/>
      <c r="F63" s="114" t="inlineStr">
        <is>
          <t>Aviso</t>
        </is>
      </c>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c r="AA63" s="38" t="n"/>
      <c r="AB63" s="38" t="n"/>
      <c r="AC63" s="38" t="n"/>
      <c r="AD63" s="38" t="n"/>
      <c r="AE63" s="38" t="n"/>
      <c r="AF63" s="38" t="n"/>
      <c r="AG63" s="38" t="n"/>
      <c r="AH63" s="38" t="n"/>
      <c r="AI63" s="38" t="n"/>
      <c r="AJ63" s="38" t="n"/>
      <c r="AK63" s="38" t="n"/>
      <c r="AL63" s="38" t="n"/>
      <c r="AM63" s="38" t="n"/>
      <c r="AN63" s="38" t="n"/>
      <c r="AO63" s="38" t="n"/>
      <c r="AP63" s="38" t="n"/>
      <c r="AQ63" s="38" t="n"/>
      <c r="AR63" s="38" t="n"/>
      <c r="AS63" s="38" t="n"/>
      <c r="AT63" s="38" t="n"/>
      <c r="AU63" s="38" t="n"/>
      <c r="AV63" s="38" t="n"/>
      <c r="AW63" s="38" t="n"/>
      <c r="AX63" s="38" t="n"/>
      <c r="AY63" s="38" t="n"/>
      <c r="AZ63" s="38" t="n"/>
      <c r="BA63" s="114" t="inlineStr">
        <is>
          <t>corpo_Essência</t>
        </is>
      </c>
      <c r="BB63" s="114">
        <f>ADDRESS(ROW(FICHA!AS15),COLUMN(FICHA!AS15),4)</f>
        <v/>
      </c>
    </row>
    <row r="64" ht="17.25" customHeight="1">
      <c r="A64" s="38" t="n"/>
      <c r="B64" s="38" t="n"/>
      <c r="C64" s="38" t="n"/>
      <c r="D64" s="38" t="n"/>
      <c r="E64" s="38" t="n"/>
      <c r="F64" s="114" t="inlineStr">
        <is>
          <t>Limpa</t>
        </is>
      </c>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c r="AA64" s="38" t="n"/>
      <c r="AB64" s="38" t="n"/>
      <c r="AC64" s="38" t="n"/>
      <c r="AD64" s="38" t="n"/>
      <c r="AE64" s="38" t="n"/>
      <c r="AF64" s="38" t="n"/>
      <c r="AG64" s="38" t="n"/>
      <c r="AH64" s="38" t="n"/>
      <c r="AI64" s="38" t="n"/>
      <c r="AJ64" s="38" t="n"/>
      <c r="AK64" s="38" t="n"/>
      <c r="AL64" s="38" t="n"/>
      <c r="AM64" s="38" t="n"/>
      <c r="AN64" s="38" t="n"/>
      <c r="AO64" s="38" t="n"/>
      <c r="AP64" s="38" t="n"/>
      <c r="AQ64" s="38" t="n"/>
      <c r="AR64" s="38" t="n"/>
      <c r="AS64" s="38" t="n"/>
      <c r="AT64" s="38" t="n"/>
      <c r="AU64" s="38" t="n"/>
      <c r="AV64" s="38" t="n"/>
      <c r="AW64" s="38" t="n"/>
      <c r="AX64" s="38" t="n"/>
      <c r="AY64" s="38" t="n"/>
      <c r="AZ64" s="38" t="n"/>
      <c r="BA64" s="114" t="inlineStr">
        <is>
          <t>pontos de corpo</t>
        </is>
      </c>
      <c r="BB64" s="114">
        <f>ADDRESS(ROW(FICHA!AK14),COLUMN(FICHA!AK14),4)</f>
        <v/>
      </c>
    </row>
    <row r="65" ht="17.25" customHeight="1">
      <c r="A65" s="38" t="n"/>
      <c r="B65" s="38" t="n"/>
      <c r="C65" s="38" t="n"/>
      <c r="D65" s="38" t="n"/>
      <c r="E65" s="38" t="n"/>
      <c r="F65" s="114" t="inlineStr">
        <is>
          <t>Limpa Fundo</t>
        </is>
      </c>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c r="AA65" s="38" t="n"/>
      <c r="AB65" s="38" t="n"/>
      <c r="AC65" s="38" t="n"/>
      <c r="AD65" s="38" t="n"/>
      <c r="AE65" s="38" t="n"/>
      <c r="AF65" s="38" t="n"/>
      <c r="AG65" s="38" t="n"/>
      <c r="AH65" s="38" t="n"/>
      <c r="AI65" s="38" t="n"/>
      <c r="AJ65" s="38" t="n"/>
      <c r="AK65" s="38" t="n"/>
      <c r="AL65" s="38" t="n"/>
      <c r="AM65" s="38" t="n"/>
      <c r="AN65" s="38" t="n"/>
      <c r="AO65" s="38" t="n"/>
      <c r="AP65" s="38" t="n"/>
      <c r="AQ65" s="38" t="n"/>
      <c r="AR65" s="38" t="n"/>
      <c r="AS65" s="38" t="n"/>
      <c r="AT65" s="38" t="n"/>
      <c r="AU65" s="38" t="n"/>
      <c r="AV65" s="38" t="n"/>
      <c r="AW65" s="38" t="n"/>
      <c r="AX65" s="38" t="n"/>
      <c r="AY65" s="38" t="n"/>
      <c r="AZ65" s="38" t="n"/>
      <c r="BA65" s="114" t="inlineStr">
        <is>
          <t>pontos disponíveis</t>
        </is>
      </c>
      <c r="BB65" s="114">
        <f>ADDRESS(ROW(FICHA!Z15),COLUMN(FICHA!Z15),4)</f>
        <v/>
      </c>
    </row>
    <row r="66" ht="17.25" customHeight="1">
      <c r="A66" s="38" t="n"/>
      <c r="B66" s="38" t="n"/>
      <c r="C66" s="38" t="n"/>
      <c r="D66" s="38" t="n"/>
      <c r="E66" s="38" t="n"/>
      <c r="F66" s="114" t="inlineStr">
        <is>
          <t>Levanta</t>
        </is>
      </c>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c r="AA66" s="38" t="n"/>
      <c r="AB66" s="38" t="n"/>
      <c r="AC66" s="38" t="n"/>
      <c r="AD66" s="38" t="n"/>
      <c r="AE66" s="38" t="n"/>
      <c r="AF66" s="38" t="n"/>
      <c r="AG66" s="38" t="n"/>
      <c r="AH66" s="38" t="n"/>
      <c r="AI66" s="38" t="n"/>
      <c r="AJ66" s="38" t="n"/>
      <c r="AK66" s="38" t="n"/>
      <c r="AL66" s="38" t="n"/>
      <c r="AM66" s="38" t="n"/>
      <c r="AN66" s="38" t="n"/>
      <c r="AO66" s="38" t="n"/>
      <c r="AP66" s="38" t="n"/>
      <c r="AQ66" s="38" t="n"/>
      <c r="AR66" s="38" t="n"/>
      <c r="AS66" s="38" t="n"/>
      <c r="AT66" s="38" t="n"/>
      <c r="AU66" s="38" t="n"/>
      <c r="AV66" s="38" t="n"/>
      <c r="AW66" s="38" t="n"/>
      <c r="AX66" s="38" t="n"/>
      <c r="AY66" s="38" t="n"/>
      <c r="AZ66" s="38" t="n"/>
      <c r="BA66" s="114" t="inlineStr">
        <is>
          <t>perícias disponíveis</t>
        </is>
      </c>
      <c r="BB66" s="114">
        <f>ADDRESS(ROW(FICHA!AK73),COLUMN(FICHA!AK73),4)</f>
        <v/>
      </c>
    </row>
    <row r="67" ht="17.25" customHeight="1">
      <c r="A67" s="38" t="n"/>
      <c r="B67" s="38" t="n"/>
      <c r="C67" s="38" t="n"/>
      <c r="D67" s="38" t="n"/>
      <c r="E67" s="38" t="n"/>
      <c r="F67" s="114" t="inlineStr">
        <is>
          <t>Divide</t>
        </is>
      </c>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c r="AA67" s="38" t="n"/>
      <c r="AB67" s="38" t="n"/>
      <c r="AC67" s="38" t="n"/>
      <c r="AD67" s="38" t="n"/>
      <c r="AE67" s="38" t="n"/>
      <c r="AF67" s="38" t="n"/>
      <c r="AG67" s="38" t="n"/>
      <c r="AH67" s="38" t="n"/>
      <c r="AI67" s="38" t="n"/>
      <c r="AJ67" s="38" t="n"/>
      <c r="AK67" s="38" t="n"/>
      <c r="AL67" s="38" t="n"/>
      <c r="AM67" s="38" t="n"/>
      <c r="AN67" s="38" t="n"/>
      <c r="AO67" s="38" t="n"/>
      <c r="AP67" s="38" t="n"/>
      <c r="AQ67" s="38" t="n"/>
      <c r="AR67" s="38" t="n"/>
      <c r="AS67" s="38" t="n"/>
      <c r="AT67" s="38" t="n"/>
      <c r="AU67" s="38" t="n"/>
      <c r="AV67" s="38" t="n"/>
      <c r="AW67" s="38" t="n"/>
      <c r="AX67" s="38" t="n"/>
      <c r="AY67" s="38" t="n"/>
      <c r="AZ67" s="38" t="n"/>
      <c r="BA67" s="114" t="inlineStr">
        <is>
          <t>ofícios disponíveis</t>
        </is>
      </c>
      <c r="BB67" s="114">
        <f>ADDRESS(ROW(FICHA!AF85),COLUMN(FICHA!AF85),4)</f>
        <v/>
      </c>
    </row>
    <row r="68" ht="17.25" customHeight="1">
      <c r="A68" s="38" t="n"/>
      <c r="B68" s="38" t="n"/>
      <c r="C68" s="38" t="n"/>
      <c r="D68" s="38" t="n"/>
      <c r="E68" s="38" t="n"/>
      <c r="F68" s="114" t="inlineStr">
        <is>
          <t>Junto</t>
        </is>
      </c>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c r="AA68" s="38" t="n"/>
      <c r="AB68" s="38" t="n"/>
      <c r="AC68" s="38" t="n"/>
      <c r="AD68" s="38" t="n"/>
      <c r="AE68" s="38" t="n"/>
      <c r="AF68" s="38" t="n"/>
      <c r="AG68" s="38" t="n"/>
      <c r="AH68" s="38" t="n"/>
      <c r="AI68" s="38" t="n"/>
      <c r="AJ68" s="38" t="n"/>
      <c r="AK68" s="38" t="n"/>
      <c r="AL68" s="38" t="n"/>
      <c r="AM68" s="38" t="n"/>
      <c r="AN68" s="38" t="n"/>
      <c r="AO68" s="38" t="n"/>
      <c r="AP68" s="38" t="n"/>
      <c r="AQ68" s="38" t="n"/>
      <c r="AR68" s="38" t="n"/>
      <c r="AS68" s="38" t="n"/>
      <c r="AT68" s="38" t="n"/>
      <c r="AU68" s="38" t="n"/>
      <c r="AV68" s="38" t="n"/>
      <c r="AW68" s="38" t="n"/>
      <c r="AX68" s="38" t="n"/>
      <c r="AY68" s="38" t="n"/>
      <c r="AZ68" s="38" t="n"/>
      <c r="BA68" s="114" t="inlineStr">
        <is>
          <t>testes disponíveis</t>
        </is>
      </c>
      <c r="BB68" s="114">
        <f>ADDRESS(ROW(FICHA!AN85),COLUMN(FICHA!AN85),4)</f>
        <v/>
      </c>
    </row>
    <row r="69" ht="17.25" customHeight="1">
      <c r="A69" s="38" t="n"/>
      <c r="B69" s="38" t="n"/>
      <c r="C69" s="38" t="n"/>
      <c r="D69" s="38" t="n"/>
      <c r="E69" s="38" t="n"/>
      <c r="F69" s="114" t="inlineStr">
        <is>
          <t>Reserva</t>
        </is>
      </c>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c r="AA69" s="38" t="n"/>
      <c r="AB69" s="38" t="n"/>
      <c r="AC69" s="38" t="n"/>
      <c r="AD69" s="38" t="n"/>
      <c r="AE69" s="38" t="n"/>
      <c r="AF69" s="38" t="n"/>
      <c r="AG69" s="38" t="n"/>
      <c r="AH69" s="38" t="n"/>
      <c r="AI69" s="38" t="n"/>
      <c r="AJ69" s="38" t="n"/>
      <c r="AK69" s="38" t="n"/>
      <c r="AL69" s="38" t="n"/>
      <c r="AM69" s="38" t="n"/>
      <c r="AN69" s="38" t="n"/>
      <c r="AO69" s="38" t="n"/>
      <c r="AP69" s="38" t="n"/>
      <c r="AQ69" s="38" t="n"/>
      <c r="AR69" s="38" t="n"/>
      <c r="AS69" s="38" t="n"/>
      <c r="AT69" s="38" t="n"/>
      <c r="AU69" s="38" t="n"/>
      <c r="AV69" s="38" t="n"/>
      <c r="AW69" s="38" t="n"/>
      <c r="AX69" s="38" t="n"/>
      <c r="AY69" s="38" t="n"/>
      <c r="AZ69" s="38" t="n"/>
      <c r="BA69" s="114" t="inlineStr">
        <is>
          <t>escolhas de perícia</t>
        </is>
      </c>
      <c r="BB69" s="114">
        <f>ADDRESS(ROW(FICHA!AK76),COLUMN(FICHA!AK76),4)</f>
        <v/>
      </c>
    </row>
    <row r="70">
      <c r="A70" s="38" t="n"/>
      <c r="B70" s="38" t="n"/>
      <c r="C70" s="38" t="n"/>
      <c r="D70" s="38" t="n"/>
      <c r="E70" s="38" t="n"/>
      <c r="F70" s="38" t="inlineStr">
        <is>
          <t>Remenda</t>
        </is>
      </c>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c r="AA70" s="38" t="n"/>
      <c r="AB70" s="38" t="n"/>
      <c r="AC70" s="38" t="n"/>
      <c r="AD70" s="38" t="n"/>
      <c r="AE70" s="38" t="n"/>
      <c r="AF70" s="38" t="n"/>
      <c r="AG70" s="38" t="n"/>
      <c r="AH70" s="38" t="n"/>
      <c r="AI70" s="38" t="n"/>
      <c r="AJ70" s="38" t="n"/>
      <c r="AK70" s="38" t="n"/>
      <c r="AL70" s="38" t="n"/>
      <c r="AM70" s="38" t="n"/>
      <c r="AN70" s="38" t="n"/>
      <c r="AO70" s="38" t="n"/>
      <c r="AP70" s="38" t="n"/>
      <c r="AQ70" s="38" t="n"/>
      <c r="AR70" s="38" t="n"/>
      <c r="AS70" s="38" t="n"/>
      <c r="AT70" s="38" t="n"/>
      <c r="AU70" s="38" t="n"/>
      <c r="AV70" s="38" t="n"/>
      <c r="AW70" s="38" t="n"/>
      <c r="AX70" s="38" t="n"/>
      <c r="AY70" s="38" t="n"/>
      <c r="AZ70" s="38" t="n"/>
      <c r="BA70" s="114" t="inlineStr">
        <is>
          <t>feitiços disponíveis</t>
        </is>
      </c>
      <c r="BB70" s="114">
        <f>ADDRESS(ROW(FICHA!F122),COLUMN(FICHA!F122),4)</f>
        <v/>
      </c>
    </row>
    <row r="71">
      <c r="A71" s="38" t="n"/>
      <c r="B71" s="38" t="n"/>
      <c r="C71" s="38" t="n"/>
      <c r="D71" s="38" t="n"/>
      <c r="E71" s="38" t="n"/>
      <c r="F71" s="38" t="inlineStr">
        <is>
          <t>Condição</t>
        </is>
      </c>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c r="AA71" s="38" t="n"/>
      <c r="AB71" s="38" t="n"/>
      <c r="AC71" s="38" t="n"/>
      <c r="AD71" s="38" t="n"/>
      <c r="AE71" s="38" t="n"/>
      <c r="AF71" s="38" t="n"/>
      <c r="AG71" s="38" t="n"/>
      <c r="AH71" s="38" t="n"/>
      <c r="AI71" s="38" t="n"/>
      <c r="AJ71" s="38" t="n"/>
      <c r="AK71" s="38" t="n"/>
      <c r="AL71" s="38" t="n"/>
      <c r="AM71" s="38" t="n"/>
      <c r="AN71" s="38" t="n"/>
      <c r="AO71" s="38" t="n"/>
      <c r="AP71" s="38" t="n"/>
      <c r="AQ71" s="38" t="n"/>
      <c r="AR71" s="38" t="n"/>
      <c r="AS71" s="38" t="n"/>
      <c r="AT71" s="38" t="n"/>
      <c r="AU71" s="38" t="n"/>
      <c r="AV71" s="38" t="n"/>
      <c r="AW71" s="38" t="n"/>
      <c r="AX71" s="38" t="n"/>
      <c r="AY71" s="38" t="n"/>
      <c r="AZ71" s="38" t="n"/>
      <c r="BA71" s="114" t="inlineStr">
        <is>
          <t>passivas</t>
        </is>
      </c>
      <c r="BB71" s="114">
        <f>ADDRESS(ROW(FICHA!X137),COLUMN(FICHA!X137),4)</f>
        <v/>
      </c>
    </row>
    <row r="72">
      <c r="A72" s="38" t="n"/>
      <c r="B72" s="38" t="n"/>
      <c r="C72" s="38" t="n"/>
      <c r="D72" s="38" t="n"/>
      <c r="E72" s="38" t="n"/>
      <c r="F72" s="38" t="inlineStr">
        <is>
          <t>Efeito Próprio</t>
        </is>
      </c>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c r="AA72" s="38" t="n"/>
      <c r="AB72" s="38" t="n"/>
      <c r="AC72" s="38" t="n"/>
      <c r="AD72" s="38" t="n"/>
      <c r="AE72" s="38" t="n"/>
      <c r="AF72" s="38" t="n"/>
      <c r="AG72" s="38" t="n"/>
      <c r="AH72" s="38" t="n"/>
      <c r="AI72" s="38" t="n"/>
      <c r="AJ72" s="38" t="n"/>
      <c r="AK72" s="38" t="n"/>
      <c r="AL72" s="38" t="n"/>
      <c r="AM72" s="38" t="n"/>
      <c r="AN72" s="38" t="n"/>
      <c r="AO72" s="38" t="n"/>
      <c r="AP72" s="38" t="n"/>
      <c r="AQ72" s="38" t="n"/>
      <c r="AR72" s="38" t="n"/>
      <c r="AS72" s="38" t="n"/>
      <c r="AT72" s="38" t="n"/>
      <c r="AU72" s="38" t="n"/>
      <c r="AV72" s="38" t="n"/>
      <c r="AW72" s="38" t="n"/>
      <c r="AX72" s="38" t="n"/>
      <c r="AY72" s="38" t="n"/>
      <c r="AZ72" s="38" t="n"/>
      <c r="BA72" s="114" t="inlineStr">
        <is>
          <t>aptidão de graça 1</t>
        </is>
      </c>
      <c r="BB72" s="114">
        <f>ADDRESS(ROW(FICHA!V124),COLUMN(FICHA!V124),4)</f>
        <v/>
      </c>
    </row>
    <row r="73">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c r="AA73" s="38" t="n"/>
      <c r="AB73" s="38" t="n"/>
      <c r="AC73" s="38" t="n"/>
      <c r="AD73" s="38" t="n"/>
      <c r="AE73" s="38" t="n"/>
      <c r="AF73" s="38" t="n"/>
      <c r="AG73" s="38" t="n"/>
      <c r="AH73" s="38" t="n"/>
      <c r="AI73" s="38" t="n"/>
      <c r="AJ73" s="38" t="n"/>
      <c r="AK73" s="38" t="n"/>
      <c r="AL73" s="38" t="n"/>
      <c r="AM73" s="38" t="n"/>
      <c r="AN73" s="38" t="n"/>
      <c r="AO73" s="38" t="n"/>
      <c r="AP73" s="38" t="n"/>
      <c r="AQ73" s="38" t="n"/>
      <c r="AR73" s="38" t="n"/>
      <c r="AS73" s="38" t="n"/>
      <c r="AT73" s="38" t="n"/>
      <c r="AU73" s="38" t="n"/>
      <c r="AV73" s="38" t="n"/>
      <c r="AW73" s="38" t="n"/>
      <c r="AX73" s="38" t="n"/>
      <c r="AY73" s="38" t="n"/>
      <c r="AZ73" s="38" t="n"/>
      <c r="BA73" s="114" t="inlineStr">
        <is>
          <t>aptidão de graça 2</t>
        </is>
      </c>
      <c r="BB73" s="114">
        <f>ADDRESS(ROW(FICHA!V125),COLUMN(FICHA!V125),4)</f>
        <v/>
      </c>
    </row>
    <row r="74">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c r="AA74" s="38" t="n"/>
      <c r="AB74" s="38" t="n"/>
      <c r="AC74" s="38" t="n"/>
      <c r="AD74" s="38" t="n"/>
      <c r="AE74" s="38" t="n"/>
      <c r="AF74" s="38" t="n"/>
      <c r="AG74" s="38" t="n"/>
      <c r="AH74" s="38" t="n"/>
      <c r="AI74" s="38" t="n"/>
      <c r="AJ74" s="38" t="n"/>
      <c r="AK74" s="38" t="n"/>
      <c r="AL74" s="38" t="n"/>
      <c r="AM74" s="38" t="n"/>
      <c r="AN74" s="38" t="n"/>
      <c r="AO74" s="38" t="n"/>
      <c r="AP74" s="38" t="n"/>
      <c r="AQ74" s="38" t="n"/>
      <c r="AR74" s="38" t="n"/>
      <c r="AS74" s="38" t="n"/>
      <c r="AT74" s="38" t="n"/>
      <c r="AU74" s="38" t="n"/>
      <c r="AV74" s="38" t="n"/>
      <c r="AW74" s="38" t="n"/>
      <c r="AX74" s="38" t="n"/>
      <c r="AY74" s="38" t="n"/>
      <c r="AZ74" s="38" t="n"/>
      <c r="BA74" s="114" t="inlineStr">
        <is>
          <t>aptidões disponíveis</t>
        </is>
      </c>
      <c r="BB74" s="114">
        <f>ADDRESS(ROW(FICHA!V122),COLUMN(FICHA!V122),4)</f>
        <v/>
      </c>
    </row>
    <row r="75">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c r="AA75" s="38" t="n"/>
      <c r="AB75" s="38" t="n"/>
      <c r="AC75" s="38" t="n"/>
      <c r="AD75" s="38" t="n"/>
      <c r="AE75" s="38" t="n"/>
      <c r="AF75" s="38" t="n"/>
      <c r="AG75" s="38" t="n"/>
      <c r="AH75" s="38" t="n"/>
      <c r="AI75" s="38" t="n"/>
      <c r="AJ75" s="38" t="n"/>
      <c r="AK75" s="38" t="n"/>
      <c r="AL75" s="38" t="n"/>
      <c r="AM75" s="38" t="n"/>
      <c r="AN75" s="38" t="n"/>
      <c r="AO75" s="38" t="n"/>
      <c r="AP75" s="38" t="n"/>
      <c r="AQ75" s="38" t="n"/>
      <c r="AR75" s="38" t="n"/>
      <c r="AS75" s="38" t="n"/>
      <c r="AT75" s="38" t="n"/>
      <c r="AU75" s="38" t="n"/>
      <c r="AV75" s="38" t="n"/>
      <c r="AW75" s="38" t="n"/>
      <c r="AX75" s="38" t="n"/>
      <c r="AY75" s="38" t="n"/>
      <c r="AZ75" s="38" t="n"/>
      <c r="BA75" s="114" t="inlineStr">
        <is>
          <t>passivas do leque</t>
        </is>
      </c>
      <c r="BB75" s="114">
        <f>ADDRESS(ROW(FICHA!AF137),COLUMN(FICHA!AF137),4)</f>
        <v/>
      </c>
    </row>
    <row r="76">
      <c r="A76" s="114" t="n"/>
      <c r="B76" s="114" t="n"/>
      <c r="C76" s="114" t="n"/>
      <c r="D76" s="114" t="n"/>
      <c r="E76" s="114" t="n"/>
      <c r="F76" s="114" t="n"/>
      <c r="G76" s="114" t="n"/>
      <c r="H76" s="114" t="n"/>
      <c r="I76" s="114" t="n"/>
      <c r="J76" s="114" t="n"/>
      <c r="K76" s="114" t="n"/>
      <c r="L76" s="114" t="n"/>
      <c r="M76" s="114" t="n"/>
      <c r="N76" s="114" t="n"/>
      <c r="O76" s="114" t="n"/>
      <c r="P76" s="114" t="n"/>
      <c r="Q76" s="114" t="n"/>
      <c r="R76" s="114" t="n"/>
      <c r="S76" s="114" t="n"/>
      <c r="T76" s="114" t="n"/>
      <c r="U76" s="114" t="n"/>
      <c r="V76" s="114" t="n"/>
      <c r="W76" s="114" t="n"/>
      <c r="X76" s="114" t="n"/>
      <c r="Y76" s="114" t="n"/>
      <c r="Z76" s="114" t="n"/>
      <c r="AA76" s="114" t="n"/>
      <c r="AB76" s="114" t="n"/>
      <c r="AC76" s="114" t="n"/>
      <c r="AD76" s="114" t="n"/>
      <c r="AE76" s="114" t="n"/>
      <c r="AF76" s="114" t="n"/>
      <c r="AG76" s="114" t="n"/>
      <c r="AH76" s="114" t="n"/>
      <c r="AI76" s="114" t="n"/>
      <c r="AJ76" s="114" t="n"/>
      <c r="AK76" s="114" t="n"/>
      <c r="AL76" s="114" t="n"/>
      <c r="AM76" s="114" t="n"/>
      <c r="AN76" s="114" t="n"/>
      <c r="AO76" s="114" t="n"/>
      <c r="AP76" s="114" t="n"/>
      <c r="AQ76" s="114" t="n"/>
      <c r="AR76" s="114" t="n"/>
      <c r="AS76" s="114" t="n"/>
      <c r="AT76" s="114" t="n"/>
      <c r="AU76" s="114" t="n"/>
      <c r="AV76" s="114" t="n"/>
      <c r="AW76" s="114" t="n"/>
      <c r="AX76" s="114" t="n"/>
      <c r="AY76" s="114" t="n"/>
      <c r="AZ76" s="114" t="n"/>
      <c r="BA76" s="114" t="inlineStr">
        <is>
          <t>treinado em armas</t>
        </is>
      </c>
      <c r="BB76" s="114">
        <f>ADDRESS(ROW(FICHA!AK63),COLUMN(FICHA!AK63),4)</f>
        <v/>
      </c>
    </row>
    <row r="77">
      <c r="A77" s="114" t="n"/>
      <c r="B77" s="114" t="n"/>
      <c r="C77" s="114" t="n"/>
      <c r="D77" s="114" t="n"/>
      <c r="E77" s="114" t="n"/>
      <c r="F77" s="114" t="n"/>
      <c r="G77" s="114" t="n"/>
      <c r="H77" s="114" t="n"/>
      <c r="I77" s="114" t="n"/>
      <c r="J77" s="114" t="n"/>
      <c r="K77" s="114" t="n"/>
      <c r="L77" s="114" t="n"/>
      <c r="M77" s="114" t="n"/>
      <c r="N77" s="114" t="n"/>
      <c r="O77" s="114" t="n"/>
      <c r="P77" s="114" t="n"/>
      <c r="Q77" s="114" t="n"/>
      <c r="R77" s="114" t="n"/>
      <c r="S77" s="114" t="n"/>
      <c r="T77" s="114" t="n"/>
      <c r="U77" s="114" t="n"/>
      <c r="V77" s="114" t="n"/>
      <c r="W77" s="114" t="n"/>
      <c r="X77" s="114" t="n"/>
      <c r="Y77" s="114" t="n"/>
      <c r="Z77" s="114" t="n"/>
      <c r="AA77" s="114" t="n"/>
      <c r="AB77" s="114" t="n"/>
      <c r="AC77" s="114" t="n"/>
      <c r="AD77" s="114" t="n"/>
      <c r="AE77" s="114" t="n"/>
      <c r="AF77" s="114" t="n"/>
      <c r="AG77" s="114" t="n"/>
      <c r="AH77" s="114" t="n"/>
      <c r="AI77" s="114" t="n"/>
      <c r="AJ77" s="114" t="n"/>
      <c r="AK77" s="114" t="n"/>
      <c r="AL77" s="114" t="n"/>
      <c r="AM77" s="114" t="n"/>
      <c r="AN77" s="114" t="n"/>
      <c r="AO77" s="114" t="n"/>
      <c r="AP77" s="114" t="n"/>
      <c r="AQ77" s="114" t="n"/>
      <c r="AR77" s="114" t="n"/>
      <c r="AS77" s="114" t="n"/>
      <c r="AT77" s="114" t="n"/>
      <c r="AU77" s="114" t="n"/>
      <c r="AV77" s="114" t="n"/>
      <c r="AW77" s="114" t="n"/>
      <c r="AX77" s="114" t="n"/>
      <c r="AY77" s="114" t="n"/>
      <c r="AZ77" s="114" t="n"/>
      <c r="BA77" s="114" t="inlineStr">
        <is>
          <t>trocou por arma</t>
        </is>
      </c>
      <c r="BB77" s="114">
        <f>ADDRESS(ROW(FICHA!AK65),COLUMN(FICHA!AK65),4)</f>
        <v/>
      </c>
    </row>
    <row r="78">
      <c r="A78" s="114" t="n"/>
      <c r="B78" s="114" t="n"/>
      <c r="C78" s="114" t="n"/>
      <c r="D78" s="114" t="n"/>
      <c r="E78" s="114" t="n"/>
      <c r="F78" s="114" t="n"/>
      <c r="G78" s="114" t="n"/>
      <c r="H78" s="114" t="n"/>
      <c r="I78" s="114" t="n"/>
      <c r="J78" s="114" t="n"/>
      <c r="K78" s="114" t="n"/>
      <c r="L78" s="114" t="n"/>
      <c r="M78" s="114" t="n"/>
      <c r="N78" s="114" t="n"/>
      <c r="O78" s="114" t="n"/>
      <c r="P78" s="114" t="n"/>
      <c r="Q78" s="114" t="n"/>
      <c r="R78" s="114" t="n"/>
      <c r="S78" s="114" t="n"/>
      <c r="T78" s="114" t="n"/>
      <c r="U78" s="114" t="n"/>
      <c r="V78" s="114" t="n"/>
      <c r="W78" s="114" t="n"/>
      <c r="X78" s="114" t="n"/>
      <c r="Y78" s="114" t="n"/>
      <c r="Z78" s="114" t="n"/>
      <c r="AA78" s="114" t="n"/>
      <c r="AB78" s="114" t="n"/>
      <c r="AC78" s="114" t="n"/>
      <c r="AD78" s="114" t="n"/>
      <c r="AE78" s="114" t="n"/>
      <c r="AF78" s="114" t="n"/>
      <c r="AG78" s="114" t="n"/>
      <c r="AH78" s="114" t="n"/>
      <c r="AI78" s="114" t="n"/>
      <c r="AJ78" s="114" t="n"/>
      <c r="AK78" s="114" t="n"/>
      <c r="AL78" s="114" t="n"/>
      <c r="AM78" s="114" t="n"/>
      <c r="AN78" s="114" t="n"/>
      <c r="AO78" s="114" t="n"/>
      <c r="AP78" s="114" t="n"/>
      <c r="AQ78" s="114" t="n"/>
      <c r="AR78" s="114" t="n"/>
      <c r="AS78" s="114" t="n"/>
      <c r="AT78" s="114" t="n"/>
      <c r="AU78" s="114" t="n"/>
      <c r="AV78" s="114" t="n"/>
      <c r="AW78" s="114" t="n"/>
      <c r="AX78" s="114" t="n"/>
      <c r="AY78" s="114" t="n"/>
      <c r="AZ78" s="114" t="n"/>
      <c r="BA78" s="114" t="inlineStr">
        <is>
          <t>grupo de arma da trilha</t>
        </is>
      </c>
      <c r="BB78" s="114">
        <f>ADDRESS(ROW(FICHA!AK69),COLUMN(FICHA!AK69),4)</f>
        <v/>
      </c>
    </row>
    <row r="79">
      <c r="A79" s="114" t="n"/>
      <c r="B79" s="114" t="n"/>
      <c r="C79" s="114" t="n"/>
      <c r="D79" s="114" t="n"/>
      <c r="E79" s="114" t="n"/>
      <c r="F79" s="114" t="n"/>
      <c r="G79" s="114" t="n"/>
      <c r="H79" s="114" t="n"/>
      <c r="I79" s="114" t="n"/>
      <c r="J79" s="114" t="n"/>
      <c r="K79" s="114" t="n"/>
      <c r="L79" s="114" t="n"/>
      <c r="M79" s="114" t="n"/>
      <c r="N79" s="114" t="n"/>
      <c r="O79" s="114" t="n"/>
      <c r="P79" s="114" t="n"/>
      <c r="Q79" s="114" t="n"/>
      <c r="R79" s="114" t="n"/>
      <c r="S79" s="114" t="n"/>
      <c r="T79" s="114" t="n"/>
      <c r="U79" s="114" t="n"/>
      <c r="V79" s="114" t="n"/>
      <c r="W79" s="114" t="n"/>
      <c r="X79" s="114" t="n"/>
      <c r="Y79" s="114" t="n"/>
      <c r="Z79" s="114" t="n"/>
      <c r="AA79" s="114" t="n"/>
      <c r="AB79" s="114" t="n"/>
      <c r="AC79" s="114" t="n"/>
      <c r="AD79" s="114" t="n"/>
      <c r="AE79" s="114" t="n"/>
      <c r="AF79" s="114" t="n"/>
      <c r="AG79" s="114" t="n"/>
      <c r="AH79" s="114" t="n"/>
      <c r="AI79" s="114" t="n"/>
      <c r="AJ79" s="114" t="n"/>
      <c r="AK79" s="114" t="n"/>
      <c r="AL79" s="114" t="n"/>
      <c r="AM79" s="114" t="n"/>
      <c r="AN79" s="114" t="n"/>
      <c r="AO79" s="114" t="n"/>
      <c r="AP79" s="114" t="n"/>
      <c r="AQ79" s="114" t="n"/>
      <c r="AR79" s="114" t="n"/>
      <c r="AS79" s="114" t="n"/>
      <c r="AT79" s="114" t="n"/>
      <c r="AU79" s="114" t="n"/>
      <c r="AV79" s="114" t="n"/>
      <c r="AW79" s="114" t="n"/>
      <c r="AX79" s="114" t="n"/>
      <c r="AY79" s="114" t="n"/>
      <c r="AZ79" s="114" t="n"/>
      <c r="BA79" s="114" t="n"/>
      <c r="BB79" s="11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K85"/>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s>
  <sheetData>
    <row r="1">
      <c r="A1" s="140" t="inlineStr">
        <is>
          <t>rota da ficha</t>
        </is>
      </c>
      <c r="C1" s="140" t="inlineStr">
        <is>
          <t>rótulo da rota</t>
        </is>
      </c>
      <c r="D1" s="140" t="inlineStr">
        <is>
          <t>fundamento</t>
        </is>
      </c>
      <c r="E1" s="140" t="inlineStr">
        <is>
          <t>sem técnica</t>
        </is>
      </c>
      <c r="F1" s="140" t="inlineStr">
        <is>
          <t>técnica marcial com energia</t>
        </is>
      </c>
      <c r="G1" s="140" t="inlineStr">
        <is>
          <t>técnica marcial sem energia</t>
        </is>
      </c>
      <c r="I1" s="140" t="inlineStr">
        <is>
          <t>família da técnica</t>
        </is>
      </c>
      <c r="J1" s="140" t="inlineStr">
        <is>
          <t>estado da família</t>
        </is>
      </c>
      <c r="K1" s="140" t="inlineStr">
        <is>
          <t>família livre</t>
        </is>
      </c>
      <c r="L1" s="140" t="inlineStr">
        <is>
          <t>família fechada</t>
        </is>
      </c>
      <c r="N1" s="140" t="inlineStr">
        <is>
          <t>estado de família</t>
        </is>
      </c>
      <c r="P1" s="140" t="inlineStr">
        <is>
          <t>classe do feitiço</t>
        </is>
      </c>
      <c r="Q1" s="140" t="inlineStr">
        <is>
          <t>leve</t>
        </is>
      </c>
      <c r="R1" s="140" t="inlineStr">
        <is>
          <t>média</t>
        </is>
      </c>
      <c r="S1" s="140" t="inlineStr">
        <is>
          <t>pesada</t>
        </is>
      </c>
      <c r="T1" s="140" t="inlineStr">
        <is>
          <t>leve livre</t>
        </is>
      </c>
      <c r="U1" s="140" t="inlineStr">
        <is>
          <t>média livre</t>
        </is>
      </c>
      <c r="V1" s="140" t="inlineStr">
        <is>
          <t>pesada livre</t>
        </is>
      </c>
      <c r="W1" s="140" t="inlineStr">
        <is>
          <t>limite de melhorias</t>
        </is>
      </c>
      <c r="Y1" s="140" t="inlineStr">
        <is>
          <t>forma</t>
        </is>
      </c>
      <c r="Z1" s="140" t="inlineStr">
        <is>
          <t>família da forma</t>
        </is>
      </c>
      <c r="AA1" s="140" t="inlineStr">
        <is>
          <t>peso da forma</t>
        </is>
      </c>
      <c r="AB1" s="140" t="inlineStr">
        <is>
          <t>código de preço da forma</t>
        </is>
      </c>
      <c r="AC1" s="140" t="inlineStr">
        <is>
          <t>forma fechada</t>
        </is>
      </c>
      <c r="AD1" s="140" t="inlineStr">
        <is>
          <t>restrição embutida</t>
        </is>
      </c>
      <c r="AE1" s="140" t="inlineStr">
        <is>
          <t>tipo de dano</t>
        </is>
      </c>
      <c r="AF1" s="140" t="inlineStr">
        <is>
          <t>como resolve</t>
        </is>
      </c>
      <c r="AG1" s="140" t="inlineStr">
        <is>
          <t>resolve por teste</t>
        </is>
      </c>
      <c r="AH1" s="140" t="inlineStr">
        <is>
          <t>degrau da primeira parte</t>
        </is>
      </c>
      <c r="AI1" s="140" t="inlineStr">
        <is>
          <t>degrau da segunda parte</t>
        </is>
      </c>
      <c r="AJ1" s="140" t="inlineStr">
        <is>
          <t>mostra mais alvos</t>
        </is>
      </c>
      <c r="AK1" s="140" t="inlineStr">
        <is>
          <t>existe na classe 0</t>
        </is>
      </c>
      <c r="AL1" s="140" t="inlineStr">
        <is>
          <t>menu de forma</t>
        </is>
      </c>
      <c r="AM1" s="140" t="inlineStr">
        <is>
          <t>menu de forma da classe 0</t>
        </is>
      </c>
      <c r="AO1" s="140" t="inlineStr">
        <is>
          <t>alcance de</t>
        </is>
      </c>
      <c r="AP1" s="140" t="inlineStr">
        <is>
          <t>primeira parte +0</t>
        </is>
      </c>
      <c r="AQ1" s="140" t="inlineStr">
        <is>
          <t>primeira parte +1</t>
        </is>
      </c>
      <c r="AR1" s="140" t="inlineStr">
        <is>
          <t>primeira parte +2</t>
        </is>
      </c>
      <c r="AS1" s="140" t="inlineStr">
        <is>
          <t>primeira parte +3</t>
        </is>
      </c>
      <c r="AT1" s="140" t="inlineStr">
        <is>
          <t>primeira parte +4</t>
        </is>
      </c>
      <c r="AU1" s="140" t="inlineStr">
        <is>
          <t>primeira parte +5</t>
        </is>
      </c>
      <c r="AV1" s="140" t="inlineStr">
        <is>
          <t>segunda parte +0</t>
        </is>
      </c>
      <c r="AW1" s="140" t="inlineStr">
        <is>
          <t>segunda parte +1</t>
        </is>
      </c>
      <c r="AX1" s="140" t="inlineStr">
        <is>
          <t>segunda parte +2</t>
        </is>
      </c>
      <c r="AY1" s="140" t="inlineStr">
        <is>
          <t>segunda parte +3</t>
        </is>
      </c>
      <c r="AZ1" s="140" t="inlineStr">
        <is>
          <t>segunda parte +4</t>
        </is>
      </c>
      <c r="BA1" s="140" t="inlineStr">
        <is>
          <t>segunda parte +5</t>
        </is>
      </c>
      <c r="BC1" s="140" t="inlineStr">
        <is>
          <t>peça</t>
        </is>
      </c>
      <c r="BD1" s="140" t="inlineStr">
        <is>
          <t>família da peça</t>
        </is>
      </c>
      <c r="BE1" s="140" t="inlineStr">
        <is>
          <t>peso da peça</t>
        </is>
      </c>
      <c r="BF1" s="140" t="inlineStr">
        <is>
          <t>código de preço</t>
        </is>
      </c>
      <c r="BG1" s="140" t="inlineStr">
        <is>
          <t>peça fechada</t>
        </is>
      </c>
      <c r="BH1" s="140" t="inlineStr">
        <is>
          <t>peça de controle</t>
        </is>
      </c>
      <c r="BI1" s="140" t="inlineStr">
        <is>
          <t>menu de melhoria</t>
        </is>
      </c>
      <c r="BJ1" s="140" t="inlineStr">
        <is>
          <t>menu de melhoria leve</t>
        </is>
      </c>
      <c r="BL1" s="140" t="inlineStr">
        <is>
          <t>menu de restrição</t>
        </is>
      </c>
      <c r="BM1" s="140" t="inlineStr">
        <is>
          <t>restrição</t>
        </is>
      </c>
      <c r="BN1" s="140" t="inlineStr">
        <is>
          <t>o que devolve</t>
        </is>
      </c>
      <c r="BO1" s="140" t="inlineStr">
        <is>
          <t>é de frequência</t>
        </is>
      </c>
      <c r="BP1" s="140" t="inlineStr">
        <is>
          <t>menu de restrição leve</t>
        </is>
      </c>
      <c r="BR1" s="140" t="inlineStr">
        <is>
          <t>passiva</t>
        </is>
      </c>
      <c r="BS1" s="140" t="inlineStr">
        <is>
          <t>classe passiva</t>
        </is>
      </c>
      <c r="BT1" s="140" t="inlineStr">
        <is>
          <t>o que a passiva faz</t>
        </is>
      </c>
      <c r="BU1" s="140" t="inlineStr">
        <is>
          <t>do fundamento</t>
        </is>
      </c>
      <c r="BV1" s="140" t="inlineStr">
        <is>
          <t>da técnica marcial</t>
        </is>
      </c>
      <c r="BW1" s="140" t="inlineStr">
        <is>
          <t>menu de passiva</t>
        </is>
      </c>
      <c r="BY1" s="140" t="inlineStr">
        <is>
          <t>classe passiva liberada</t>
        </is>
      </c>
      <c r="BZ1" s="140" t="inlineStr">
        <is>
          <t>libera no nível</t>
        </is>
      </c>
      <c r="CB1" s="140" t="inlineStr">
        <is>
          <t>aptidão</t>
        </is>
      </c>
      <c r="CC1" s="140" t="inlineStr">
        <is>
          <t>requisito da aptidão</t>
        </is>
      </c>
      <c r="CD1" s="140" t="inlineStr">
        <is>
          <t>classe passiva da aptidão</t>
        </is>
      </c>
      <c r="CE1" s="140" t="inlineStr">
        <is>
          <t>o que o refino escala</t>
        </is>
      </c>
      <c r="CF1" s="140" t="inlineStr">
        <is>
          <t>o que a aptidão faz</t>
        </is>
      </c>
      <c r="CG1" s="140" t="inlineStr">
        <is>
          <t>menu de aptidão</t>
        </is>
      </c>
      <c r="CH1" s="140" t="inlineStr">
        <is>
          <t>é bênção</t>
        </is>
      </c>
      <c r="CI1" s="140" t="inlineStr">
        <is>
          <t>é a extensão de domínio</t>
        </is>
      </c>
      <c r="CJ1" s="140" t="inlineStr">
        <is>
          <t>de graça</t>
        </is>
      </c>
      <c r="CL1" s="140" t="inlineStr">
        <is>
          <t>semente</t>
        </is>
      </c>
      <c r="CN1" s="140" t="inlineStr">
        <is>
          <t>equipamento</t>
        </is>
      </c>
      <c r="CP1" s="140" t="inlineStr">
        <is>
          <t>menu da peça da rota</t>
        </is>
      </c>
      <c r="CR1" s="140" t="inlineStr">
        <is>
          <t>grupo de arma</t>
        </is>
      </c>
      <c r="CS1" s="140" t="inlineStr">
        <is>
          <t>acerta com força</t>
        </is>
      </c>
      <c r="CT1" s="140" t="inlineStr">
        <is>
          <t>acerta com destreza</t>
        </is>
      </c>
      <c r="CU1" s="140" t="inlineStr">
        <is>
          <t>menu de grupo</t>
        </is>
      </c>
      <c r="CW1" s="140" t="inlineStr">
        <is>
          <t>nível da classe 0</t>
        </is>
      </c>
      <c r="CX1" s="140" t="inlineStr">
        <is>
          <t>quantos de classe 0</t>
        </is>
      </c>
      <c r="CY1" s="140" t="inlineStr">
        <is>
          <t>dados da classe 0</t>
        </is>
      </c>
      <c r="DA1" s="140" t="inlineStr">
        <is>
          <t>nível da liberação</t>
        </is>
      </c>
      <c r="DC1" s="140" t="inlineStr">
        <is>
          <t>classe da liberação</t>
        </is>
      </c>
      <c r="DE1" s="140" t="inlineStr">
        <is>
          <t>nível da técnica máxima</t>
        </is>
      </c>
      <c r="DF1" s="140" t="inlineStr">
        <is>
          <t>dados da técnica máxima</t>
        </is>
      </c>
      <c r="DG1" s="140" t="inlineStr">
        <is>
          <t>pontos de montagem</t>
        </is>
      </c>
      <c r="DI1" s="140" t="inlineStr">
        <is>
          <t>degrau do domínio</t>
        </is>
      </c>
      <c r="DJ1" s="140" t="inlineStr">
        <is>
          <t>espaços do degrau</t>
        </is>
      </c>
      <c r="DK1" s="140" t="inlineStr">
        <is>
          <t>nível do degrau</t>
        </is>
      </c>
      <c r="DL1" s="140" t="inlineStr">
        <is>
          <t>refino do degrau</t>
        </is>
      </c>
      <c r="DM1" s="140" t="inlineStr">
        <is>
          <t>o degrau abre em</t>
        </is>
      </c>
      <c r="DO1" s="140" t="inlineStr">
        <is>
          <t>forma do pacto</t>
        </is>
      </c>
      <c r="DP1" s="140" t="inlineStr">
        <is>
          <t>quando se fecha</t>
        </is>
      </c>
      <c r="DR1" s="140" t="inlineStr">
        <is>
          <t>o pacto concede</t>
        </is>
      </c>
      <c r="DT1" s="140" t="inlineStr">
        <is>
          <t>conta de feitiço</t>
        </is>
      </c>
      <c r="DU1" s="140" t="inlineStr">
        <is>
          <t>liberação</t>
        </is>
      </c>
      <c r="DV1" s="140" t="inlineStr">
        <is>
          <t>vaga</t>
        </is>
      </c>
      <c r="DW1" s="140" t="inlineStr">
        <is>
          <t>classe</t>
        </is>
      </c>
      <c r="DX1" s="140" t="inlineStr">
        <is>
          <t>nome</t>
        </is>
      </c>
      <c r="DY1" s="140" t="inlineStr">
        <is>
          <t>forma</t>
        </is>
      </c>
      <c r="DZ1" s="140" t="inlineStr">
        <is>
          <t>m1</t>
        </is>
      </c>
      <c r="EA1" s="140" t="inlineStr">
        <is>
          <t>m2</t>
        </is>
      </c>
      <c r="EB1" s="140" t="inlineStr">
        <is>
          <t>m3</t>
        </is>
      </c>
      <c r="EC1" s="140" t="inlineStr">
        <is>
          <t>m4</t>
        </is>
      </c>
      <c r="ED1" s="140" t="inlineStr">
        <is>
          <t>r1</t>
        </is>
      </c>
      <c r="EE1" s="140" t="inlineStr">
        <is>
          <t>r2</t>
        </is>
      </c>
      <c r="EF1" s="140" t="inlineStr">
        <is>
          <t>tem</t>
        </is>
      </c>
      <c r="EG1" s="140" t="inlineStr">
        <is>
          <t>lf</t>
        </is>
      </c>
      <c r="EH1" s="140" t="inlineStr">
        <is>
          <t>k0</t>
        </is>
      </c>
      <c r="EI1" s="140" t="inlineStr">
        <is>
          <t>k1</t>
        </is>
      </c>
      <c r="EJ1" s="140" t="inlineStr">
        <is>
          <t>k2</t>
        </is>
      </c>
      <c r="EK1" s="140" t="inlineStr">
        <is>
          <t>k3</t>
        </is>
      </c>
      <c r="EL1" s="140" t="inlineStr">
        <is>
          <t>k4</t>
        </is>
      </c>
      <c r="EM1" s="140" t="inlineStr">
        <is>
          <t>x0</t>
        </is>
      </c>
      <c r="EN1" s="140" t="inlineStr">
        <is>
          <t>x1</t>
        </is>
      </c>
      <c r="EO1" s="140" t="inlineStr">
        <is>
          <t>x2</t>
        </is>
      </c>
      <c r="EP1" s="140" t="inlineStr">
        <is>
          <t>x3</t>
        </is>
      </c>
      <c r="EQ1" s="140" t="inlineStr">
        <is>
          <t>x4</t>
        </is>
      </c>
      <c r="ER1" s="140" t="inlineStr">
        <is>
          <t>ct</t>
        </is>
      </c>
      <c r="ES1" s="140" t="inlineStr">
        <is>
          <t>emb</t>
        </is>
      </c>
      <c r="ET1" s="140" t="inlineStr">
        <is>
          <t>tp</t>
        </is>
      </c>
      <c r="EU1" s="140" t="inlineStr">
        <is>
          <t>tr</t>
        </is>
      </c>
      <c r="EV1" s="140" t="inlineStr">
        <is>
          <t>c1</t>
        </is>
      </c>
      <c r="EW1" s="140" t="inlineStr">
        <is>
          <t>c2</t>
        </is>
      </c>
      <c r="EX1" s="140" t="inlineStr">
        <is>
          <t>b1</t>
        </is>
      </c>
      <c r="EY1" s="140" t="inlineStr">
        <is>
          <t>b2</t>
        </is>
      </c>
      <c r="EZ1" s="140" t="inlineStr">
        <is>
          <t>n1</t>
        </is>
      </c>
      <c r="FA1" s="140" t="inlineStr">
        <is>
          <t>n2</t>
        </is>
      </c>
      <c r="FB1" s="140" t="inlineStr">
        <is>
          <t>n3</t>
        </is>
      </c>
      <c r="FC1" s="140" t="inlineStr">
        <is>
          <t>n4</t>
        </is>
      </c>
      <c r="FD1" s="140" t="inlineStr">
        <is>
          <t>n5</t>
        </is>
      </c>
      <c r="FE1" s="140" t="inlineStr">
        <is>
          <t>n6</t>
        </is>
      </c>
      <c r="FF1" s="140" t="inlineStr">
        <is>
          <t>dL</t>
        </is>
      </c>
      <c r="FG1" s="140" t="inlineStr">
        <is>
          <t>dM</t>
        </is>
      </c>
      <c r="FH1" s="140" t="inlineStr">
        <is>
          <t>nm</t>
        </is>
      </c>
      <c r="FI1" s="140" t="inlineStr">
        <is>
          <t>nr</t>
        </is>
      </c>
      <c r="FJ1" s="140" t="inlineStr">
        <is>
          <t>g</t>
        </is>
      </c>
      <c r="FK1" s="140" t="inlineStr">
        <is>
          <t>dv0</t>
        </is>
      </c>
      <c r="FL1" s="140" t="inlineStr">
        <is>
          <t>dv</t>
        </is>
      </c>
      <c r="FM1" s="140" t="inlineStr">
        <is>
          <t>usa</t>
        </is>
      </c>
      <c r="FN1" s="140" t="inlineStr">
        <is>
          <t>perde</t>
        </is>
      </c>
      <c r="FO1" s="140" t="inlineStr">
        <is>
          <t>s</t>
        </is>
      </c>
      <c r="FP1" s="140" t="inlineStr">
        <is>
          <t>d</t>
        </is>
      </c>
      <c r="FQ1" s="140" t="inlineStr">
        <is>
          <t>dep</t>
        </is>
      </c>
      <c r="FR1" s="140" t="inlineStr">
        <is>
          <t>d1</t>
        </is>
      </c>
      <c r="FS1" s="140" t="inlineStr">
        <is>
          <t>d2</t>
        </is>
      </c>
      <c r="FT1" s="140" t="inlineStr">
        <is>
          <t>d3</t>
        </is>
      </c>
      <c r="FU1" s="140" t="inlineStr">
        <is>
          <t>d4</t>
        </is>
      </c>
      <c r="FV1" s="140" t="inlineStr">
        <is>
          <t>d5</t>
        </is>
      </c>
      <c r="FW1" s="140" t="inlineStr">
        <is>
          <t>d6</t>
        </is>
      </c>
      <c r="FX1" s="140" t="inlineStr">
        <is>
          <t>d7</t>
        </is>
      </c>
      <c r="FY1" s="140" t="inlineStr">
        <is>
          <t>t1</t>
        </is>
      </c>
      <c r="FZ1" s="140" t="inlineStr">
        <is>
          <t>t2</t>
        </is>
      </c>
      <c r="GA1" s="140" t="inlineStr">
        <is>
          <t>t3</t>
        </is>
      </c>
      <c r="GB1" s="140" t="inlineStr">
        <is>
          <t>t4</t>
        </is>
      </c>
      <c r="GC1" s="140" t="inlineStr">
        <is>
          <t>t5</t>
        </is>
      </c>
      <c r="GD1" s="140" t="inlineStr">
        <is>
          <t>t6</t>
        </is>
      </c>
      <c r="GE1" s="140" t="inlineStr">
        <is>
          <t>t7</t>
        </is>
      </c>
      <c r="GF1" s="140" t="inlineStr">
        <is>
          <t>erros</t>
        </is>
      </c>
      <c r="GG1" s="140" t="inlineStr">
        <is>
          <t>ne</t>
        </is>
      </c>
      <c r="GH1" s="140" t="inlineStr">
        <is>
          <t>avisos</t>
        </is>
      </c>
      <c r="GI1" s="140" t="inlineStr">
        <is>
          <t>na</t>
        </is>
      </c>
      <c r="GJ1" s="140" t="inlineStr">
        <is>
          <t>estado</t>
        </is>
      </c>
      <c r="GK1" s="140" t="inlineStr">
        <is>
          <t>linha</t>
        </is>
      </c>
      <c r="GL1" s="140" t="inlineStr">
        <is>
          <t>pe</t>
        </is>
      </c>
      <c r="GM1" s="140" t="inlineStr">
        <is>
          <t>acao</t>
        </is>
      </c>
      <c r="GN1" s="140" t="inlineStr">
        <is>
          <t>resolve</t>
        </is>
      </c>
      <c r="GO1" s="140" t="inlineStr">
        <is>
          <t>dano</t>
        </is>
      </c>
      <c r="GP1" s="140" t="inlineStr">
        <is>
          <t>lg</t>
        </is>
      </c>
      <c r="GQ1" s="140" t="inlineStr">
        <is>
          <t>mr</t>
        </is>
      </c>
      <c r="GR1" s="140" t="inlineStr">
        <is>
          <t>q1</t>
        </is>
      </c>
      <c r="GS1" s="140" t="inlineStr">
        <is>
          <t>q2</t>
        </is>
      </c>
      <c r="GT1" s="140" t="inlineStr">
        <is>
          <t>alcance</t>
        </is>
      </c>
      <c r="GU1" s="140" t="inlineStr">
        <is>
          <t>conta</t>
        </is>
      </c>
      <c r="GV1" s="140" t="inlineStr">
        <is>
          <t>ampliar</t>
        </is>
      </c>
      <c r="GW1" s="140" t="inlineStr">
        <is>
          <t>pt1</t>
        </is>
      </c>
      <c r="GX1" s="140" t="inlineStr">
        <is>
          <t>pt2</t>
        </is>
      </c>
      <c r="GY1" s="140" t="inlineStr">
        <is>
          <t>pt3</t>
        </is>
      </c>
      <c r="GZ1" s="140" t="inlineStr">
        <is>
          <t>pt4</t>
        </is>
      </c>
      <c r="HA1" s="140" t="inlineStr">
        <is>
          <t>dt1</t>
        </is>
      </c>
      <c r="HB1" s="140" t="inlineStr">
        <is>
          <t>dt2</t>
        </is>
      </c>
      <c r="HD1" s="140" t="inlineStr">
        <is>
          <t>contas da amaldiçoada</t>
        </is>
      </c>
      <c r="HE1" s="140" t="inlineStr">
        <is>
          <t>valor da amaldiçoada</t>
        </is>
      </c>
      <c r="HG1" s="140" t="inlineStr">
        <is>
          <t>carta de passiva</t>
        </is>
      </c>
      <c r="HH1" s="140" t="inlineStr">
        <is>
          <t>passiva anotada</t>
        </is>
      </c>
      <c r="HI1" s="140" t="inlineStr">
        <is>
          <t>classe passiva anotada</t>
        </is>
      </c>
      <c r="HJ1" s="140" t="inlineStr">
        <is>
          <t>nível que libera</t>
        </is>
      </c>
      <c r="HK1" s="140" t="inlineStr">
        <is>
          <t>o que ela faz</t>
        </is>
      </c>
      <c r="HL1" s="140" t="inlineStr">
        <is>
          <t>classe passiva na carta</t>
        </is>
      </c>
      <c r="HM1" s="140" t="inlineStr">
        <is>
          <t>custo na carta</t>
        </is>
      </c>
      <c r="HO1" s="140" t="inlineStr">
        <is>
          <t>carta de aptidão</t>
        </is>
      </c>
      <c r="HP1" s="140" t="inlineStr">
        <is>
          <t>aptidão anotada</t>
        </is>
      </c>
      <c r="HQ1" s="140" t="inlineStr">
        <is>
          <t>requisito na carta</t>
        </is>
      </c>
      <c r="HR1" s="140" t="inlineStr">
        <is>
          <t>classe passiva na carta de aptidão</t>
        </is>
      </c>
      <c r="HS1" s="140" t="inlineStr">
        <is>
          <t>o refino escala na carta</t>
        </is>
      </c>
      <c r="HT1" s="140" t="inlineStr">
        <is>
          <t>o que a aptidão anotada faz</t>
        </is>
      </c>
      <c r="HV1" s="140" t="inlineStr">
        <is>
          <t>classe 0 anotada</t>
        </is>
      </c>
      <c r="HW1" s="140" t="inlineStr">
        <is>
          <t>forma da classe 0</t>
        </is>
      </c>
      <c r="HX1" s="140" t="inlineStr">
        <is>
          <t>melhoria da classe 0</t>
        </is>
      </c>
      <c r="HY1" s="140" t="inlineStr">
        <is>
          <t>restrição da classe 0</t>
        </is>
      </c>
      <c r="HZ1" s="140" t="inlineStr">
        <is>
          <t>linha da forma</t>
        </is>
      </c>
      <c r="IA1" s="140" t="inlineStr">
        <is>
          <t>dados dela</t>
        </is>
      </c>
      <c r="IB1" s="140" t="inlineStr">
        <is>
          <t>dano na carta</t>
        </is>
      </c>
      <c r="IC1" s="140" t="inlineStr">
        <is>
          <t>alcance na carta</t>
        </is>
      </c>
      <c r="IE1" s="140" t="inlineStr">
        <is>
          <t>salto</t>
        </is>
      </c>
      <c r="IF1" s="140" t="inlineStr">
        <is>
          <t>caixa do salto</t>
        </is>
      </c>
      <c r="IG1" s="140" t="inlineStr">
        <is>
          <t>alvo do salto</t>
        </is>
      </c>
      <c r="IH1" s="140" t="inlineStr">
        <is>
          <t>nome do salto</t>
        </is>
      </c>
      <c r="IJ1" s="140" t="inlineStr">
        <is>
          <t>caixa calculada</t>
        </is>
      </c>
      <c r="IK1" s="140" t="inlineStr">
        <is>
          <t>o que a caixa mostra</t>
        </is>
      </c>
    </row>
    <row r="2">
      <c r="A2" s="141">
        <f>IF(N(DADOS!$AK$30)=1,4,IF(N(DADOS!$AK$32)=1,3,IF(N(DADOS!$AK$31)=1,2,1)))</f>
        <v/>
      </c>
      <c r="C2" s="114" t="inlineStr">
        <is>
          <t>feitiço</t>
        </is>
      </c>
      <c r="D2" s="114" t="inlineStr">
        <is>
          <t>Feitiço</t>
        </is>
      </c>
      <c r="E2" s="114" t="inlineStr">
        <is>
          <t>Manejo</t>
        </is>
      </c>
      <c r="F2" s="114" t="inlineStr">
        <is>
          <t>Kata</t>
        </is>
      </c>
      <c r="G2" s="114" t="inlineStr">
        <is>
          <t>Kata</t>
        </is>
      </c>
      <c r="I2" s="114" t="inlineStr">
        <is>
          <t>Alcance</t>
        </is>
      </c>
      <c r="J2" s="141">
        <f>'FICHA AMALDIÇOADA'!$D$37&amp;""</f>
        <v/>
      </c>
      <c r="K2" s="141">
        <f>IF($J2="Livre",1,0)</f>
        <v/>
      </c>
      <c r="L2" s="141">
        <f>IF($J2="Fechada",1,0)</f>
        <v/>
      </c>
      <c r="N2" s="114" t="inlineStr">
        <is>
          <t>Livre</t>
        </is>
      </c>
      <c r="P2" s="141" t="n">
        <v>1</v>
      </c>
      <c r="Q2" s="141" t="n">
        <v>1</v>
      </c>
      <c r="R2" s="141" t="n">
        <v>1</v>
      </c>
      <c r="S2" s="141" t="n">
        <v>2</v>
      </c>
      <c r="T2" s="141" t="n">
        <v>1</v>
      </c>
      <c r="U2" s="141" t="n">
        <v>1</v>
      </c>
      <c r="V2" s="141" t="n">
        <v>1</v>
      </c>
      <c r="W2" s="141" t="n">
        <v>2</v>
      </c>
      <c r="Y2" s="114" t="inlineStr">
        <is>
          <t>Projétil</t>
        </is>
      </c>
      <c r="Z2" s="114" t="inlineStr"/>
      <c r="AA2" s="141" t="n">
        <v>0</v>
      </c>
      <c r="AB2" s="141">
        <f>IF($AA2=0,0,$AA2+3*IFERROR(VLOOKUP($Z2,$I$2:$L$10,3,FALSE),0))</f>
        <v/>
      </c>
      <c r="AC2" s="141">
        <f>IFERROR(VLOOKUP($Z2,$I$2:$L$10,4,FALSE),0)</f>
        <v/>
      </c>
      <c r="AD2" s="141" t="n">
        <v>0</v>
      </c>
      <c r="AE2" s="141" t="n">
        <v>0</v>
      </c>
      <c r="AF2" s="114" t="inlineStr">
        <is>
          <t>Acerto</t>
        </is>
      </c>
      <c r="AG2" s="141" t="n">
        <v>0</v>
      </c>
      <c r="AH2" s="141" t="n">
        <v>1</v>
      </c>
      <c r="AI2" s="141" t="n">
        <v>0</v>
      </c>
      <c r="AJ2" s="141" t="n">
        <v>1</v>
      </c>
      <c r="AK2" s="141" t="n">
        <v>1</v>
      </c>
      <c r="AL2" s="141">
        <f>IF($AC2=1,"",$Y2)</f>
        <v/>
      </c>
      <c r="AM2" s="141">
        <f>IF(AND($AK2=1,$AC2=0),$Y2,"")</f>
        <v/>
      </c>
      <c r="AO2" s="114" t="inlineStr">
        <is>
          <t>Projétil · classe 0</t>
        </is>
      </c>
      <c r="AP2" s="114" t="inlineStr">
        <is>
          <t>9 m, um alvo</t>
        </is>
      </c>
      <c r="AQ2" s="114" t="inlineStr">
        <is>
          <t>18 m, um alvo</t>
        </is>
      </c>
      <c r="AR2" s="114" t="inlineStr">
        <is>
          <t>36 m, um alvo</t>
        </is>
      </c>
      <c r="AS2" s="114" t="inlineStr">
        <is>
          <t>90 m, um alvo</t>
        </is>
      </c>
      <c r="AT2" s="114" t="inlineStr">
        <is>
          <t>O que você enxergar, um alvo</t>
        </is>
      </c>
      <c r="AU2" s="114" t="inlineStr">
        <is>
          <t>O que você enxergar, um alvo</t>
        </is>
      </c>
      <c r="AV2" s="114" t="inlineStr"/>
      <c r="AW2" s="114" t="inlineStr"/>
      <c r="AX2" s="114" t="inlineStr"/>
      <c r="AY2" s="114" t="inlineStr"/>
      <c r="AZ2" s="114" t="inlineStr"/>
      <c r="BA2" s="114" t="inlineStr"/>
      <c r="BC2" s="114" t="inlineStr">
        <is>
          <t>Longe</t>
        </is>
      </c>
      <c r="BD2" s="114" t="inlineStr">
        <is>
          <t>Alcance</t>
        </is>
      </c>
      <c r="BE2" s="141" t="n">
        <v>1</v>
      </c>
      <c r="BF2" s="141">
        <f>$BE2+3*IFERROR(VLOOKUP($BD2,$I$2:$L$10,3,FALSE),0)</f>
        <v/>
      </c>
      <c r="BG2" s="141">
        <f>IFERROR(VLOOKUP($BD2,$I$2:$L$10,4,FALSE),0)</f>
        <v/>
      </c>
      <c r="BH2" s="141" t="n">
        <v>0</v>
      </c>
      <c r="BI2" s="141">
        <f>IF($BG2=1,"",$BC2)</f>
        <v/>
      </c>
      <c r="BJ2" s="141">
        <f>IF(AND($BE2=1,$BG2=0),$BC2,"")</f>
        <v/>
      </c>
      <c r="BL2" s="114" t="inlineStr">
        <is>
          <t>Corpo a Corpo</t>
        </is>
      </c>
      <c r="BM2" s="114" t="inlineStr">
        <is>
          <t>Corpo a Corpo</t>
        </is>
      </c>
      <c r="BN2" s="141" t="n">
        <v>2</v>
      </c>
      <c r="BO2" s="141" t="n">
        <v>0</v>
      </c>
      <c r="BP2" s="114" t="inlineStr"/>
      <c r="BR2" s="114" t="inlineStr">
        <is>
          <t>Leitura</t>
        </is>
      </c>
      <c r="BS2" s="141" t="n">
        <v>1</v>
      </c>
      <c r="BT2" s="114" t="inlineStr">
        <is>
          <t>Você identifica a Classe e a Forma de qualquer feitiço conjurado a até 18 m.</t>
        </is>
      </c>
      <c r="BU2" s="141" t="n">
        <v>1</v>
      </c>
      <c r="BV2" s="141" t="n">
        <v>1</v>
      </c>
      <c r="BW2" s="141">
        <f>IF(OR(AND($A$2&lt;=2,$BU2=1),AND($A$2&gt;=2,$BV2=1)),$BR2,"")</f>
        <v/>
      </c>
      <c r="BY2" s="141" t="n">
        <v>1</v>
      </c>
      <c r="BZ2" s="141" t="n">
        <v>1</v>
      </c>
      <c r="CB2" s="114" t="inlineStr">
        <is>
          <t>Cobrir-se de energia</t>
        </is>
      </c>
      <c r="CC2" s="114" t="inlineStr">
        <is>
          <t>grátis no refino 1</t>
        </is>
      </c>
      <c r="CD2" s="114" t="inlineStr">
        <is>
          <t>—</t>
        </is>
      </c>
      <c r="CE2" s="114" t="inlineStr">
        <is>
          <t>A proteção, e a Redução de Dano da Reação</t>
        </is>
      </c>
      <c r="CF2" s="114" t="inlineStr">
        <is>
          <t>Sem Traje e sem Revestimento, a sua proteção é 1/3 do refino + 1. Escudo soma com ela. Como Reação, você concentra a energia no impacto: Redução de Dano de 1,5 × refino num golpe, por 2 PE. Você fica sem proteção até o fim do seu próximo turno.</t>
        </is>
      </c>
      <c r="CG2" s="141">
        <f>IF($CJ2=1,"",IF($A$2=4,IF($CH2=1,$CB2,""),IF(OR($CH2=1,AND($A$2=3,$CI2=1)),"",$CB2)))</f>
        <v/>
      </c>
      <c r="CH2" s="141" t="n">
        <v>0</v>
      </c>
      <c r="CI2" s="141" t="n">
        <v>0</v>
      </c>
      <c r="CJ2" s="141" t="n">
        <v>1</v>
      </c>
      <c r="CL2" s="114" t="inlineStr">
        <is>
          <t>Domínio Simples</t>
        </is>
      </c>
      <c r="CN2" s="114" t="inlineStr">
        <is>
          <t>Três grupos de arma</t>
        </is>
      </c>
      <c r="CP2" s="141">
        <f>IF($A$2=2,IFERROR(INDEX($CL$2:$CL$4,1),""),IF($A$2&gt;=3,IFERROR(INDEX($CN$2:$CN$4,1),""),""))</f>
        <v/>
      </c>
      <c r="CR2" s="114" t="inlineStr">
        <is>
          <t>Lâmina Longa</t>
        </is>
      </c>
      <c r="CS2" s="141" t="n">
        <v>1</v>
      </c>
      <c r="CT2" s="141" t="n">
        <v>1</v>
      </c>
      <c r="CU2" s="141">
        <f>IF(AND($A$2&gt;=3,'FICHA AMALDIÇOADA'!$J$16&amp;""="Três grupos de arma"),$CR2,"")</f>
        <v/>
      </c>
      <c r="CW2" s="141" t="n">
        <v>1</v>
      </c>
      <c r="CX2" s="141" t="n">
        <v>2</v>
      </c>
      <c r="CY2" s="141" t="n">
        <v>2</v>
      </c>
      <c r="DA2" s="141" t="n">
        <v>10</v>
      </c>
      <c r="DC2" s="141" t="n">
        <v>3</v>
      </c>
      <c r="DE2" s="141" t="n">
        <v>17</v>
      </c>
      <c r="DF2" s="141" t="n">
        <v>24</v>
      </c>
      <c r="DG2" s="141" t="n">
        <v>8</v>
      </c>
      <c r="DI2" s="114" t="inlineStr">
        <is>
          <t>Incompleta</t>
        </is>
      </c>
      <c r="DJ2" s="141" t="n">
        <v>2</v>
      </c>
      <c r="DK2" s="141" t="n">
        <v>10</v>
      </c>
      <c r="DL2" s="141" t="n">
        <v>4</v>
      </c>
      <c r="DM2" s="114" t="inlineStr">
        <is>
          <t>Nível 10 e refino 4</t>
        </is>
      </c>
      <c r="DO2" s="114" t="inlineStr">
        <is>
          <t>Permanente</t>
        </is>
      </c>
      <c r="DP2" s="114" t="inlineStr">
        <is>
          <t>fora de cena, com o mestre lendo</t>
        </is>
      </c>
      <c r="DR2" s="114" t="inlineStr">
        <is>
          <t>Pontos de energia</t>
        </is>
      </c>
      <c r="DT2" s="114" t="inlineStr">
        <is>
          <t>Feitiço 1</t>
        </is>
      </c>
      <c r="DU2" s="141" t="n">
        <v>0</v>
      </c>
      <c r="DV2" s="141" t="n">
        <v>1</v>
      </c>
      <c r="DW2" s="141">
        <f>MAX(1,MIN(7,N('FICHA AMALDIÇOADA'!$D$51)))</f>
        <v/>
      </c>
      <c r="DX2" s="141">
        <f>'FICHA AMALDIÇOADA'!$E$51&amp;""</f>
        <v/>
      </c>
      <c r="DY2" s="141">
        <f>'FICHA AMALDIÇOADA'!$D$58&amp;""</f>
        <v/>
      </c>
      <c r="DZ2" s="141">
        <f>'FICHA AMALDIÇOADA'!$E$60&amp;""</f>
        <v/>
      </c>
      <c r="EA2" s="141">
        <f>'FICHA AMALDIÇOADA'!$E$61&amp;""</f>
        <v/>
      </c>
      <c r="EB2" s="141">
        <f>'FICHA AMALDIÇOADA'!$E$62&amp;""</f>
        <v/>
      </c>
      <c r="EC2" s="141">
        <f>'FICHA AMALDIÇOADA'!$E$63&amp;""</f>
        <v/>
      </c>
      <c r="ED2" s="141">
        <f>'FICHA AMALDIÇOADA'!$E$64&amp;""</f>
        <v/>
      </c>
      <c r="EE2" s="141">
        <f>'FICHA AMALDIÇOADA'!$E$65&amp;""</f>
        <v/>
      </c>
      <c r="EF2" s="141">
        <f>IF($DX2&lt;&gt;"",1,0)</f>
        <v/>
      </c>
      <c r="EG2" s="141">
        <f>IFERROR(MATCH($DY2,$Y$2:$Y$11,0),0)</f>
        <v/>
      </c>
      <c r="EH2" s="141">
        <f>IF($EG2=0,0,INDEX($AB$2:$AB$11,$EG2))</f>
        <v/>
      </c>
      <c r="EI2" s="141">
        <f>IFERROR(VLOOKUP($DZ2,$BC$2:$BJ$84,4,FALSE),0)</f>
        <v/>
      </c>
      <c r="EJ2" s="141">
        <f>IFERROR(VLOOKUP($EA2,$BC$2:$BJ$84,4,FALSE),0)</f>
        <v/>
      </c>
      <c r="EK2" s="141">
        <f>IFERROR(VLOOKUP($EB2,$BC$2:$BJ$84,4,FALSE),0)</f>
        <v/>
      </c>
      <c r="EL2" s="141">
        <f>IFERROR(VLOOKUP($EC2,$BC$2:$BJ$84,4,FALSE),0)</f>
        <v/>
      </c>
      <c r="EM2" s="141">
        <f>IF($EG2=0,0,INDEX($AC$2:$AC$11,$EG2))</f>
        <v/>
      </c>
      <c r="EN2" s="141">
        <f>IFERROR(VLOOKUP($DZ2,$BC$2:$BJ$84,5,FALSE),0)</f>
        <v/>
      </c>
      <c r="EO2" s="141">
        <f>IFERROR(VLOOKUP($EA2,$BC$2:$BJ$84,5,FALSE),0)</f>
        <v/>
      </c>
      <c r="EP2" s="141">
        <f>IFERROR(VLOOKUP($EB2,$BC$2:$BJ$84,5,FALSE),0)</f>
        <v/>
      </c>
      <c r="EQ2" s="141">
        <f>IFERROR(VLOOKUP($EC2,$BC$2:$BJ$84,5,FALSE),0)</f>
        <v/>
      </c>
      <c r="ER2" s="141">
        <f>IFERROR(VLOOKUP($DZ2,$BC$2:$BJ$84,6,FALSE),0)+IFERROR(VLOOKUP($EA2,$BC$2:$BJ$84,6,FALSE),0)+IFERROR(VLOOKUP($EB2,$BC$2:$BJ$84,6,FALSE),0)+IFERROR(VLOOKUP($EC2,$BC$2:$BJ$84,6,FALSE),0)</f>
        <v/>
      </c>
      <c r="ES2" s="141">
        <f>IF($EG2=0,0,INDEX($AD$2:$AD$11,$EG2))</f>
        <v/>
      </c>
      <c r="ET2" s="141">
        <f>IF($EG2=0,0,INDEX($AE$2:$AE$11,$EG2))</f>
        <v/>
      </c>
      <c r="EU2" s="141">
        <f>IF($EG2=0,0,INDEX($AG$2:$AG$11,$EG2))</f>
        <v/>
      </c>
      <c r="EV2" s="141">
        <f>IFERROR(VLOOKUP($ED2,$BL$2:$BP$24,3,FALSE),0)</f>
        <v/>
      </c>
      <c r="EW2" s="141">
        <f>IFERROR(VLOOKUP($EE2,$BL$2:$BP$24,3,FALSE),0)</f>
        <v/>
      </c>
      <c r="EX2" s="141">
        <f>IFERROR(VLOOKUP($ED2,$BL$2:$BP$24,2,FALSE),"")</f>
        <v/>
      </c>
      <c r="EY2" s="141">
        <f>IFERROR(VLOOKUP($EE2,$BL$2:$BP$24,2,FALSE),"")</f>
        <v/>
      </c>
      <c r="EZ2" s="141">
        <f>COUNTIF($EH2:$EL2,1)</f>
        <v/>
      </c>
      <c r="FA2" s="141">
        <f>COUNTIF($EH2:$EL2,2)</f>
        <v/>
      </c>
      <c r="FB2" s="141">
        <f>COUNTIF($EH2:$EL2,3)</f>
        <v/>
      </c>
      <c r="FC2" s="141">
        <f>COUNTIF($EH2:$EL2,4)</f>
        <v/>
      </c>
      <c r="FD2" s="141">
        <f>COUNTIF($EH2:$EL2,5)</f>
        <v/>
      </c>
      <c r="FE2" s="141">
        <f>COUNTIF($EH2:$EL2,6)</f>
        <v/>
      </c>
      <c r="FF2" s="141">
        <f>COUNTIF($EV2:$EW2,1)</f>
        <v/>
      </c>
      <c r="FG2" s="141">
        <f>COUNTIF($EV2:$EW2,2)+$ES2</f>
        <v/>
      </c>
      <c r="FH2" s="141">
        <f>COUNTIF($DZ2:$EC2,"?*")</f>
        <v/>
      </c>
      <c r="FI2" s="141">
        <f>COUNTIF($ED2:$EE2,"?*")+$ES2</f>
        <v/>
      </c>
      <c r="FJ2" s="141">
        <f>SUMPRODUCT($EZ2:$FE2,INDEX($Q$2:$V$8,$DW2,0))</f>
        <v/>
      </c>
      <c r="FK2" s="141">
        <f>$FF2*CEILING($DW2/2,1)+$FG2*$DW2</f>
        <v/>
      </c>
      <c r="FL2" s="141">
        <f>MIN(2*$DW2,$FK2)</f>
        <v/>
      </c>
      <c r="FM2" s="141">
        <f>MIN($FL2,$FJ2)</f>
        <v/>
      </c>
      <c r="FN2" s="141">
        <f>$FL2-$FM2</f>
        <v/>
      </c>
      <c r="FO2" s="141">
        <f>3*$DW2-$FJ2+$FM2</f>
        <v/>
      </c>
      <c r="FP2" s="141">
        <f>MAX(0,$FO2)+$DU2*$DW2</f>
        <v/>
      </c>
      <c r="FQ2" s="141">
        <f>(IF(COUNTIF($DZ2:$EC2,"Salto")&gt;0,1,0)+IF(COUNTIF($DZ2:$EC2,"Queima")&gt;0,1,0))*FLOOR($FP2/2,1)</f>
        <v/>
      </c>
      <c r="FR2" s="141">
        <f>MAX(0,3-SUMPRODUCT($EZ2:$FE2,$Q$2:$V$2)+MIN(2,$FF2*1+$FG2*1,SUMPRODUCT($EZ2:$FE2,$Q$2:$V$2)))+$DU2*1</f>
        <v/>
      </c>
      <c r="FS2" s="141">
        <f>MAX(0,6-SUMPRODUCT($EZ2:$FE2,$Q$3:$V$3)+MIN(4,$FF2*1+$FG2*2,SUMPRODUCT($EZ2:$FE2,$Q$3:$V$3)))+$DU2*2</f>
        <v/>
      </c>
      <c r="FT2" s="141">
        <f>MAX(0,9-SUMPRODUCT($EZ2:$FE2,$Q$4:$V$4)+MIN(6,$FF2*2+$FG2*3,SUMPRODUCT($EZ2:$FE2,$Q$4:$V$4)))+$DU2*3</f>
        <v/>
      </c>
      <c r="FU2" s="141">
        <f>MAX(0,12-SUMPRODUCT($EZ2:$FE2,$Q$5:$V$5)+MIN(8,$FF2*2+$FG2*4,SUMPRODUCT($EZ2:$FE2,$Q$5:$V$5)))+$DU2*4</f>
        <v/>
      </c>
      <c r="FV2" s="141">
        <f>MAX(0,15-SUMPRODUCT($EZ2:$FE2,$Q$6:$V$6)+MIN(10,$FF2*3+$FG2*5,SUMPRODUCT($EZ2:$FE2,$Q$6:$V$6)))+$DU2*5</f>
        <v/>
      </c>
      <c r="FW2" s="141">
        <f>MAX(0,18-SUMPRODUCT($EZ2:$FE2,$Q$7:$V$7)+MIN(12,$FF2*3+$FG2*6,SUMPRODUCT($EZ2:$FE2,$Q$7:$V$7)))+$DU2*6</f>
        <v/>
      </c>
      <c r="FX2" s="141">
        <f>MAX(0,21-SUMPRODUCT($EZ2:$FE2,$Q$8:$V$8)+MIN(14,$FF2*4+$FG2*7,SUMPRODUCT($EZ2:$FE2,$Q$8:$V$8)))+$DU2*7</f>
        <v/>
      </c>
      <c r="FY2" s="141">
        <f>IF($ET2=2,3*$FR2&amp;" de vida temp.",IF($ET2=3,"sem dano",IF($FR2=0,IF($ET2=1,"sem cura","sem dano"),IF($ET2=1,"cura ","")&amp;$FR2&amp;"d8")))</f>
        <v/>
      </c>
      <c r="FZ2" s="141">
        <f>IF($ET2=2,3*$FS2&amp;" de vida temp.",IF($ET2=3,"sem dano",IF($FS2=0,IF($ET2=1,"sem cura","sem dano"),IF($ET2=1,"cura ","")&amp;$FS2&amp;"d8")))</f>
        <v/>
      </c>
      <c r="GA2" s="141">
        <f>IF($ET2=2,3*$FT2&amp;" de vida temp.",IF($ET2=3,"sem dano",IF($FT2=0,IF($ET2=1,"sem cura","sem dano"),IF($ET2=1,"cura ","")&amp;$FT2&amp;"d8")))</f>
        <v/>
      </c>
      <c r="GB2" s="141">
        <f>IF($ET2=2,3*$FU2&amp;" de vida temp.",IF($ET2=3,"sem dano",IF($FU2=0,IF($ET2=1,"sem cura","sem dano"),IF($ET2=1,"cura ","")&amp;$FU2&amp;"d8")))</f>
        <v/>
      </c>
      <c r="GC2" s="141">
        <f>IF($ET2=2,3*$FV2&amp;" de vida temp.",IF($ET2=3,"sem dano",IF($FV2=0,IF($ET2=1,"sem cura","sem dano"),IF($ET2=1,"cura ","")&amp;$FV2&amp;"d8")))</f>
        <v/>
      </c>
      <c r="GD2" s="141">
        <f>IF($ET2=2,3*$FW2&amp;" de vida temp.",IF($ET2=3,"sem dano",IF($FW2=0,IF($ET2=1,"sem cura","sem dano"),IF($ET2=1,"cura ","")&amp;$FW2&amp;"d8")))</f>
        <v/>
      </c>
      <c r="GE2" s="141">
        <f>IF($ET2=2,3*$FX2&amp;" de vida temp.",IF($ET2=3,"sem dano",IF($FX2=0,IF($ET2=1,"sem cura","sem dano"),IF($ET2=1,"cura ","")&amp;$FX2&amp;"d8")))</f>
        <v/>
      </c>
      <c r="GF2" s="141">
        <f>IF($EF2=0,"",TEXTJOIN(" · ",TRUE,IF(AND($DU2=1,$DV2&gt;$HE$9),"O nível "&amp;$HE$2&amp;" dá "&amp;$HE$9&amp;" Liberação Máxima",""),IF($DW2&gt;$HE$4,"Classe "&amp;$DW2&amp;": o nível "&amp;$HE$2&amp;" libera até a "&amp;$HE$4,""),IF($EM2=1,"Família Fechada: a Forma "&amp;$DY2,""),IF($EN2=1,"Família Fechada: "&amp;$DZ2,""),IF($EO2=1,"Família Fechada: "&amp;$EA2,""),IF($EP2=1,"Família Fechada: "&amp;$EB2,""),IF($EQ2=1,"Família Fechada: "&amp;$EC2,""),IF($FH2&gt;INDEX($W$2:$W$8,$DW2),$FH2&amp;" Melhorias: a Classe "&amp;$DW2&amp;" aceita "&amp;INDEX($W$2:$W$8,$DW2),""),IF($FI2&gt;2,$FI2&amp;" Restrições"&amp;IF($ES2=1,", contando a que a Forma "&amp;$DY2&amp;" já traz","")&amp;": o limite é 2",""),IF($FO2&lt;0,"Orçamento estourado: faltam "&amp;(-$FO2)&amp;IF($FO2&lt;-1," pontos"," ponto"),""),IF(IFERROR(VLOOKUP($ED2,$BL$2:$BP$24,4,FALSE),0)+IFERROR(VLOOKUP($EE2,$BL$2:$BP$24,4,FALSE),0)&gt;1,$EX2&amp;" e "&amp;$EY2&amp;" são as duas de frequência",""),IF(AND((COUNTIF($DZ2:$EC2,"Rápido")+COUNTIF($EX2:$EY2,"Rápido"))&gt;0,(COUNTIF($DZ2:$EC2,"Reação")+COUNTIF($EX2:$EY2,"Reação"))&gt;0),"Rápido não entra com Reação",""),IF(AND((COUNTIF($DZ2:$EC2,"Rápido")+COUNTIF($EX2:$EY2,"Rápido"))&gt;0,(COUNTIF($DZ2:$EC2,"Atrasar")+COUNTIF($EX2:$EY2,"Atrasar"))&gt;0),"Rápido não entra com Atrasar",""),IF(AND((COUNTIF($DZ2:$EC2,"Reação")+COUNTIF($EX2:$EY2,"Reação"))&gt;0,(COUNTIF($DZ2:$EC2,"Atrasar")+COUNTIF($EX2:$EY2,"Atrasar"))&gt;0),"Reação não entra com Atrasar",""),IF(AND((COUNTIF($DZ2:$EC2,"Reação")+COUNTIF($EX2:$EY2,"Reação"))&gt;0,(COUNTIF($DZ2:$EC2,"Parado")+COUNTIF($EX2:$EY2,"Parado"))&gt;0),"Reação não entra com Parado",""),IF(AND(COUNTIF($EX2:$EY2,"Corpo a Corpo")&gt;0,$ES2=0,OR($DY2="Cone",$DY2="Linha")),"Corpo a Corpo não entra em "&amp;$DY2,""),IF(AND(COUNTIF($EX2:$EY2,"Corpo a Corpo")&gt;0,$ES2=1),"A Forma "&amp;$DY2&amp;" já traz o Corpo a Corpo",""),IF(AND(COUNTIF($EX2:$EY2,"Tudo ou Nada")&gt;0,$EU2=0),"Tudo ou Nada só entra em feitiço de Teste de Resistência",""),IF(AND(COUNTIF($DZ2:$EC2,"Inescapável")&gt;0,OR($FH2&gt;1,$FI2&gt;0)),"Inescapável não aceita outra peça",""),IF(AND($DU2=1,$DW2&lt;3),"Liberação Máxima é de Classe 3 ou mais",""),IF(AND($DU2=1,OR($ET2=1,$ET2=2)),"Liberação Máxima não serve para cura",""),IF(AND($DU2=1,COUNTIF($DZ2:$EC2,"Inescapável")+COUNTIF($DZ2:$EC2,"Toca a Alma")&gt;0),"Esta peça não entra numa Liberação Máxima",""),IF($FP2+$FQ2&gt;4*$DW2,($FP2+$FQ2)&amp;" dados somando alvos e repetições: o teto da Classe "&amp;$DW2&amp;" é "&amp;4*$DW2,"")))</f>
        <v/>
      </c>
      <c r="GG2" s="141">
        <f>IF($GF2="",0,(LEN($GF2)-LEN(SUBSTITUTE($GF2," · ","")))/3+1)</f>
        <v/>
      </c>
      <c r="GH2" s="141">
        <f>IF($EF2=0,"",TEXTJOIN(" · ",TRUE,IF($FK2&gt;2*$DW2,"A devolução parou no teto de "&amp;2*$DW2,""),IF($FN2&gt;0,"Devolução perdida: "&amp;$FN2&amp;IF($FN2&gt;1," pontos"," ponto")&amp;" sem peça para pagar",""),IF(AND($ER2&gt;0,$FP2=0),"Controle sem dano: uma rodada a mais e CD +2",""),IF(AND($ER2&gt;0,$FP2&gt;0,$FP2&lt;=$DW2),"Controle com um quarto do teto: uma rodada a mais","")))</f>
        <v/>
      </c>
      <c r="GI2" s="141">
        <f>IF($GH2="",0,(LEN($GH2)-LEN(SUBSTITUTE($GH2," · ","")))/3+1)</f>
        <v/>
      </c>
      <c r="GJ2" s="141">
        <f>IF($EF2=0,IF($FH2+$FI2-$ES2&gt;0,"Dê um nome",""),IF($GG2&gt;0,"⚠ "&amp;$GG2&amp;IF($GG2&gt;1," erros"," erro"),IF($GI2&gt;0,"! "&amp;$GI2&amp;IF($GI2&gt;1," avisos"," aviso"),"Na regra")))</f>
        <v/>
      </c>
      <c r="GK2" s="141">
        <f>IF($EF2=0,"",IF($GG2+$GI2=0,"Dentro das regras que a ficha confere",$GF2&amp;IF(AND($GG2&gt;0,$GI2&gt;0)," · ","")&amp;$GH2))</f>
        <v/>
      </c>
      <c r="GL2" s="141">
        <f>IF($EF2=0,"",IF($DU2=1,CEILING(4.5*$DW2,1),3*$DW2)&amp;" PE")</f>
        <v/>
      </c>
      <c r="GM2" s="141">
        <f>IF($EF2=0,"",IF($DU2=1,"Rodada inteira",IF(COUNTIF($EX2:$EY2,"Atrasar")&gt;0,IF(COUNTIF($EX2:$EY2,"Carregar")&gt;0,"Rodada +1 turno","Rodada inteira"),IF(COUNTIF($DZ2:$EC2,"Rápido")&gt;0,"Bônus",IF(COUNTIF($DZ2:$EC2,"Reação")&gt;0,"Reação","Padrão"))&amp;IF(COUNTIF($EX2:$EY2,"Carregar")&gt;0," +1 turno",""))))</f>
        <v/>
      </c>
      <c r="GN2" s="141">
        <f>IF(OR($EF2=0,$EG2=0),"",IF(COUNTIF($DZ2:$EC2,"Inescapável")&gt;0,"Automático",IF(COUNTIF($DZ2:$EC2,"Certeiro")&gt;0,"TR para metade",INDEX($AF$2:$AF$11,$EG2))))</f>
        <v/>
      </c>
      <c r="GO2" s="141">
        <f>IF(OR($EF2=0,$EG2=0),"",IF(OR($ET2&gt;=2,$FP2=0),UPPER(LEFT(INDEX($FY2:$GE2,1,$DW2),1))&amp;MID(INDEX($FY2:$GE2,1,$DW2),2,99),UPPER(LEFT(INDEX($FY2:$GE2,1,$DW2),1))&amp;MID(INDEX($FY2:$GE2,1,$DW2),2,99)&amp;" = "&amp;FLOOR($FP2*4.5,1)&amp;IF($FQ2&gt;0," · +"&amp;$FQ2&amp;"d8","")))</f>
        <v/>
      </c>
      <c r="GP2" s="141">
        <f>COUNTIF($DZ2:$EC2,"Longe")+3*COUNTIF($DZ2:$EC2,"Muito Longe")</f>
        <v/>
      </c>
      <c r="GQ2" s="141">
        <f>COUNTIF($DZ2:$EC2,"Maior")+3*COUNTIF($DZ2:$EC2,"Muito Maior")</f>
        <v/>
      </c>
      <c r="GR2" s="141">
        <f>IF($EG2=0,0,CHOOSE(1+INDEX($AH$2:$AH$11,$EG2),0,$GP2,$GQ2,$GP2+$GQ2))</f>
        <v/>
      </c>
      <c r="GS2" s="141">
        <f>IF($EG2=0,0,CHOOSE(1+INDEX($AI$2:$AI$11,$EG2),0,$GP2,$GQ2,$GP2+$GQ2))</f>
        <v/>
      </c>
      <c r="GT2" s="141">
        <f>IF(OR($EF2=0,$EG2=0),"",INDEX($AP$2:$AU$31,($EG2-1)*3+IF($DW2&gt;=6,3,2),1+MIN(5,$GR2))&amp;INDEX($AV$2:$BA$31,($EG2-1)*3+IF($DW2&gt;=6,3,2),1+MIN(5,$GS2))&amp;IF(INDEX($AJ$2:$AJ$11,$EG2)=1,IF(COUNTIF($DZ2:$EC2,"Mais Um")&gt;0," · +"&amp;COUNTIF($DZ2:$EC2,"Mais Um")&amp;IF(COUNTIF($DZ2:$EC2,"Mais Um")&gt;1," alvos"," alvo"),"")&amp;IF(COUNTIF($DZ2:$EC2,"Rajada")&gt;0," · "&amp;($DW2+1)&amp;" tiros",""),""))</f>
        <v/>
      </c>
      <c r="GU2" s="141">
        <f>IF($EF2=0,"",3*$DW2&amp;" − "&amp;$FJ2&amp;" + "&amp;$FM2&amp;IF($DU2=1," + "&amp;$DW2,"")&amp;" = "&amp;$FP2&amp;"d8 · teto "&amp;4*$DW2&amp;IF($ES2=1," · a Forma devolve "&amp;$DW2,"")&amp;IF($FN2&gt;0," · perde "&amp;$FN2,""))</f>
        <v/>
      </c>
      <c r="GV2" s="141">
        <f>IF($EF2=0,"",IF($DW2&gt;=$HE$4,"Já está na maior Classe que o nível liberou",TEXTJOIN(" · ",TRUE,IF(AND(2&gt;$DW2,2&lt;=$HE$4),"2 → "&amp;$FZ2&amp;", "&amp;IF($DU2=1,9,6)&amp;" PE",""),IF(AND(3&gt;$DW2,3&lt;=$HE$4),"3 → "&amp;$GA2&amp;", "&amp;IF($DU2=1,14,9)&amp;" PE",""),IF(AND(4&gt;$DW2,4&lt;=$HE$4),"4 → "&amp;$GB2&amp;", "&amp;IF($DU2=1,18,12)&amp;" PE",""),IF(AND(5&gt;$DW2,5&lt;=$HE$4),"5 → "&amp;$GC2&amp;", "&amp;IF($DU2=1,23,15)&amp;" PE",""),IF(AND(6&gt;$DW2,6&lt;=$HE$4),"6 → "&amp;$GD2&amp;", "&amp;IF($DU2=1,27,18)&amp;" PE",""),IF(AND(7&gt;$DW2,7&lt;=$HE$4),"7 → "&amp;$GE2&amp;", "&amp;IF($DU2=1,32,21)&amp;" PE",""))))</f>
        <v/>
      </c>
      <c r="GW2" s="141">
        <f>IF(OR($EF2=0,$EI2=0),"","−"&amp;INDEX($Q$2:$V$8,$DW2,$EI2)&amp;" · "&amp;CHOOSE($EI2,"Leve","Média","Pesada","Leve · Livre","Média · Livre","Pesada · Livre"))</f>
        <v/>
      </c>
      <c r="GX2" s="141">
        <f>IF(OR($EF2=0,$EJ2=0),"","−"&amp;INDEX($Q$2:$V$8,$DW2,$EJ2)&amp;" · "&amp;CHOOSE($EJ2,"Leve","Média","Pesada","Leve · Livre","Média · Livre","Pesada · Livre"))</f>
        <v/>
      </c>
      <c r="GY2" s="141">
        <f>IF(OR($EF2=0,$EK2=0),"","−"&amp;INDEX($Q$2:$V$8,$DW2,$EK2)&amp;" · "&amp;CHOOSE($EK2,"Leve","Média","Pesada","Leve · Livre","Média · Livre","Pesada · Livre"))</f>
        <v/>
      </c>
      <c r="GZ2" s="141">
        <f>IF(OR($EF2=0,$EL2=0),"","−"&amp;INDEX($Q$2:$V$8,$DW2,$EL2)&amp;" · "&amp;CHOOSE($EL2,"Leve","Média","Pesada","Leve · Livre","Média · Livre","Pesada · Livre"))</f>
        <v/>
      </c>
      <c r="HA2" s="141">
        <f>IF(OR($EF2=0,$ED2=""),"","+"&amp;IF($EV2=1,CEILING($DW2/2,1),$DW2))</f>
        <v/>
      </c>
      <c r="HB2" s="141">
        <f>IF(OR($EF2=0,$EE2=""),"","+"&amp;IF($EW2=1,CEILING($DW2/2,1),$DW2))</f>
        <v/>
      </c>
      <c r="HD2" s="114" t="inlineStr">
        <is>
          <t>nível</t>
        </is>
      </c>
      <c r="HE2" s="141">
        <f>N(FICHA!$AH$11)</f>
        <v/>
      </c>
      <c r="HG2" s="114" t="inlineStr">
        <is>
          <t>Passiva 1</t>
        </is>
      </c>
      <c r="HH2" s="141">
        <f>'FICHA AMALDIÇOADA'!$D$379&amp;""</f>
        <v/>
      </c>
      <c r="HI2" s="141">
        <f>IFERROR(VLOOKUP($HH2,$BR$2:$BW$24,2,FALSE),0)</f>
        <v/>
      </c>
      <c r="HJ2" s="141">
        <f>IFERROR(VLOOKUP($HI2,$BY$2:$BZ$4,2,FALSE),0)</f>
        <v/>
      </c>
      <c r="HK2" s="141">
        <f>IFERROR(VLOOKUP($HH2,$BR$2:$BW$24,3,FALSE),"")</f>
        <v/>
      </c>
      <c r="HL2" s="141">
        <f>IF($HI2=0,"",IF($HJ2&gt;$HE$2,"⚠ Nível "&amp;$HJ2,"CP "&amp;$HI2))</f>
        <v/>
      </c>
      <c r="HM2" s="141">
        <f>IF($HI2=0,"",$HI2&amp;" esp.")</f>
        <v/>
      </c>
      <c r="HO2" s="114" t="inlineStr">
        <is>
          <t>Aptidão 1</t>
        </is>
      </c>
      <c r="HP2" s="141">
        <f>'FICHA AMALDIÇOADA'!$D$430&amp;""</f>
        <v/>
      </c>
      <c r="HQ2" s="141">
        <f>IF($HP2="","","Requisito: "&amp;IFERROR(VLOOKUP($HP2,$CB$2:$CJ$32,2,FALSE),""))</f>
        <v/>
      </c>
      <c r="HR2" s="141">
        <f>IF($HP2="","",IFERROR(IF(ISNUMBER(VLOOKUP($HP2,$CB$2:$CJ$32,3,FALSE)),"CP "&amp;VLOOKUP($HP2,$CB$2:$CJ$32,3,FALSE),VLOOKUP($HP2,$CB$2:$CJ$32,3,FALSE)),""))</f>
        <v/>
      </c>
      <c r="HS2" s="141">
        <f>IF($HP2="","",IFERROR(VLOOKUP($HP2,$CB$2:$CJ$32,4,FALSE),""))</f>
        <v/>
      </c>
      <c r="HT2" s="141">
        <f>IF($HP2="","",IFERROR(VLOOKUP($HP2,$CB$2:$CJ$32,5,FALSE),""))</f>
        <v/>
      </c>
      <c r="HV2" s="114" t="inlineStr">
        <is>
          <t>Classe 0 · 1</t>
        </is>
      </c>
      <c r="HW2" s="141">
        <f>'FICHA AMALDIÇOADA'!$F$310&amp;""</f>
        <v/>
      </c>
      <c r="HX2" s="141">
        <f>'FICHA AMALDIÇOADA'!$J$310&amp;""</f>
        <v/>
      </c>
      <c r="HY2" s="141">
        <f>'FICHA AMALDIÇOADA'!$L$310&amp;""</f>
        <v/>
      </c>
      <c r="HZ2" s="141">
        <f>IFERROR(MATCH($HW2,$Y$2:$Y$11,0),0)</f>
        <v/>
      </c>
      <c r="IA2" s="141">
        <f>$HE$11-IF($HX2&lt;&gt;"",1,0)+IF(AND($HX2&lt;&gt;"",$HY2&lt;&gt;""),1,0)</f>
        <v/>
      </c>
      <c r="IB2" s="141">
        <f>IF(1&gt;$HE$10,"Nível 1",IF($HZ2=0,"",IF(INDEX($AE$2:$AE$11,$HZ2)&gt;=2,"—",$IA2&amp;"d8 = "&amp;FLOOR($IA2*4.5,1))))</f>
        <v/>
      </c>
      <c r="IC2" s="141">
        <f>IF(OR(1&gt;$HE$10,$HZ2=0),"",INDEX($AP$2:$AU$31,($HZ2-1)*3+1,1+IF(OR(AND($HX2="Longe",INDEX($AH$2:$AH$11,$HZ2)&lt;&gt;2),AND($HX2="Maior",INDEX($AH$2:$AH$11,$HZ2)&gt;=2)),1,0))&amp;INDEX($AV$2:$BA$31,($HZ2-1)*3+1,1+IF(AND($HX2="Longe",INDEX($AI$2:$AI$11,$HZ2)=1),1,0)))</f>
        <v/>
      </c>
      <c r="IE2" s="114" t="inlineStr">
        <is>
          <t>Técnica</t>
        </is>
      </c>
      <c r="IF2" s="141">
        <f>ADDRESS(ROW('FICHA AMALDIÇOADA'!D7),COLUMN('FICHA AMALDIÇOADA'!D7),4)</f>
        <v/>
      </c>
      <c r="IG2" s="141">
        <f>ADDRESS(ROW('FICHA AMALDIÇOADA'!D9),COLUMN('FICHA AMALDIÇOADA'!D9),4)</f>
        <v/>
      </c>
      <c r="IH2" s="141">
        <f>ADDRESS(ROW(DADOS_AM!IE2),COLUMN(DADOS_AM!IE2),4)</f>
        <v/>
      </c>
      <c r="IJ2" s="114" t="inlineStr">
        <is>
          <t>L12</t>
        </is>
      </c>
      <c r="IK2" s="141">
        <f>IF(DADOS_AM!$HE$41=1,IF(DADOS_AM!$HE$48=0,"Escolha os grupos",IF(DADOS_AM!$HE$48=1,IF(DADOS_AM!$HE$42&lt;&gt;"",DADOS_AM!$HE$42,IF(DADOS_AM!$HE$43&lt;&gt;"",DADOS_AM!$HE$43,DADOS_AM!$HE$44))&amp;", das armas","Por grupo")),FICHA!$Z$51)</f>
        <v/>
      </c>
    </row>
    <row r="3">
      <c r="C3" s="114" t="inlineStr">
        <is>
          <t>feitiços</t>
        </is>
      </c>
      <c r="D3" s="114" t="inlineStr">
        <is>
          <t>Feitiços</t>
        </is>
      </c>
      <c r="E3" s="114" t="inlineStr">
        <is>
          <t>Manejos</t>
        </is>
      </c>
      <c r="F3" s="114" t="inlineStr">
        <is>
          <t>Katas</t>
        </is>
      </c>
      <c r="G3" s="114" t="inlineStr">
        <is>
          <t>Katas</t>
        </is>
      </c>
      <c r="I3" s="114" t="inlineStr">
        <is>
          <t>Área</t>
        </is>
      </c>
      <c r="J3" s="141">
        <f>'FICHA AMALDIÇOADA'!$E$37&amp;""</f>
        <v/>
      </c>
      <c r="K3" s="141">
        <f>IF($J3="Livre",1,0)</f>
        <v/>
      </c>
      <c r="L3" s="141">
        <f>IF($J3="Fechada",1,0)</f>
        <v/>
      </c>
      <c r="N3" s="114" t="inlineStr">
        <is>
          <t>Neutra</t>
        </is>
      </c>
      <c r="P3" s="141" t="n">
        <v>2</v>
      </c>
      <c r="Q3" s="141" t="n">
        <v>1</v>
      </c>
      <c r="R3" s="141" t="n">
        <v>2</v>
      </c>
      <c r="S3" s="141" t="n">
        <v>3</v>
      </c>
      <c r="T3" s="141" t="n">
        <v>1</v>
      </c>
      <c r="U3" s="141" t="n">
        <v>1</v>
      </c>
      <c r="V3" s="141" t="n">
        <v>2</v>
      </c>
      <c r="W3" s="141" t="n">
        <v>2</v>
      </c>
      <c r="Y3" s="114" t="inlineStr">
        <is>
          <t>Toque</t>
        </is>
      </c>
      <c r="Z3" s="114" t="inlineStr"/>
      <c r="AA3" s="141" t="n">
        <v>0</v>
      </c>
      <c r="AB3" s="141">
        <f>IF($AA3=0,0,$AA3+3*IFERROR(VLOOKUP($Z3,$I$2:$L$10,3,FALSE),0))</f>
        <v/>
      </c>
      <c r="AC3" s="141">
        <f>IFERROR(VLOOKUP($Z3,$I$2:$L$10,4,FALSE),0)</f>
        <v/>
      </c>
      <c r="AD3" s="141" t="n">
        <v>1</v>
      </c>
      <c r="AE3" s="141" t="n">
        <v>0</v>
      </c>
      <c r="AF3" s="114" t="inlineStr">
        <is>
          <t>Acerto</t>
        </is>
      </c>
      <c r="AG3" s="141" t="n">
        <v>0</v>
      </c>
      <c r="AH3" s="141" t="n">
        <v>0</v>
      </c>
      <c r="AI3" s="141" t="n">
        <v>0</v>
      </c>
      <c r="AJ3" s="141" t="n">
        <v>1</v>
      </c>
      <c r="AK3" s="141" t="n">
        <v>1</v>
      </c>
      <c r="AL3" s="141">
        <f>IF($AC3=1,"",$Y3)</f>
        <v/>
      </c>
      <c r="AM3" s="141">
        <f>IF(AND($AK3=1,$AC3=0),$Y3,"")</f>
        <v/>
      </c>
      <c r="AO3" s="114" t="inlineStr">
        <is>
          <t>Projétil · classes 1 a 5</t>
        </is>
      </c>
      <c r="AP3" s="114" t="inlineStr">
        <is>
          <t>18 m, um alvo</t>
        </is>
      </c>
      <c r="AQ3" s="114" t="inlineStr">
        <is>
          <t>36 m, um alvo</t>
        </is>
      </c>
      <c r="AR3" s="114" t="inlineStr">
        <is>
          <t>90 m, um alvo</t>
        </is>
      </c>
      <c r="AS3" s="114" t="inlineStr">
        <is>
          <t>O que você enxergar, um alvo</t>
        </is>
      </c>
      <c r="AT3" s="114" t="inlineStr">
        <is>
          <t>O que você enxergar, um alvo</t>
        </is>
      </c>
      <c r="AU3" s="114" t="inlineStr">
        <is>
          <t>O que você enxergar, um alvo</t>
        </is>
      </c>
      <c r="AV3" s="114" t="inlineStr"/>
      <c r="AW3" s="114" t="inlineStr"/>
      <c r="AX3" s="114" t="inlineStr"/>
      <c r="AY3" s="114" t="inlineStr"/>
      <c r="AZ3" s="114" t="inlineStr"/>
      <c r="BA3" s="114" t="inlineStr"/>
      <c r="BC3" s="114" t="inlineStr">
        <is>
          <t>Muito Longe</t>
        </is>
      </c>
      <c r="BD3" s="114" t="inlineStr">
        <is>
          <t>Alcance</t>
        </is>
      </c>
      <c r="BE3" s="141" t="n">
        <v>2</v>
      </c>
      <c r="BF3" s="141">
        <f>$BE3+3*IFERROR(VLOOKUP($BD3,$I$2:$L$10,3,FALSE),0)</f>
        <v/>
      </c>
      <c r="BG3" s="141">
        <f>IFERROR(VLOOKUP($BD3,$I$2:$L$10,4,FALSE),0)</f>
        <v/>
      </c>
      <c r="BH3" s="141" t="n">
        <v>0</v>
      </c>
      <c r="BI3" s="141">
        <f>IF($BG3=1,"",$BC3)</f>
        <v/>
      </c>
      <c r="BJ3" s="141">
        <f>IF(AND($BE3=1,$BG3=0),$BC3,"")</f>
        <v/>
      </c>
      <c r="BL3" s="114" t="inlineStr">
        <is>
          <t>Atrasar</t>
        </is>
      </c>
      <c r="BM3" s="114" t="inlineStr">
        <is>
          <t>Atrasar</t>
        </is>
      </c>
      <c r="BN3" s="141" t="n">
        <v>2</v>
      </c>
      <c r="BO3" s="141" t="n">
        <v>0</v>
      </c>
      <c r="BP3" s="114" t="inlineStr"/>
      <c r="BR3" s="114" t="inlineStr">
        <is>
          <t>Instinto</t>
        </is>
      </c>
      <c r="BS3" s="141" t="n">
        <v>1</v>
      </c>
      <c r="BT3" s="114" t="inlineStr">
        <is>
          <t>Você não é pego de surpresa enquanto estiver acordado.</t>
        </is>
      </c>
      <c r="BU3" s="141" t="n">
        <v>1</v>
      </c>
      <c r="BV3" s="141" t="n">
        <v>0</v>
      </c>
      <c r="BW3" s="141">
        <f>IF(OR(AND($A$2&lt;=2,$BU3=1),AND($A$2&gt;=2,$BV3=1)),$BR3,"")</f>
        <v/>
      </c>
      <c r="BY3" s="141" t="n">
        <v>2</v>
      </c>
      <c r="BZ3" s="141" t="n">
        <v>7</v>
      </c>
      <c r="CB3" s="114" t="inlineStr">
        <is>
          <t>Canalizar energia</t>
        </is>
      </c>
      <c r="CC3" s="114" t="inlineStr">
        <is>
          <t>grátis no refino 1</t>
        </is>
      </c>
      <c r="CD3" s="114" t="inlineStr">
        <is>
          <t>—</t>
        </is>
      </c>
      <c r="CE3" s="114" t="inlineStr">
        <is>
          <t>—</t>
        </is>
      </c>
      <c r="CF3" s="114" t="inlineStr">
        <is>
          <t>Você ataca com uma arma ou com o soco, e o ataque vem imbuído de energia amaldiçoada, o que permite a um item mundano matar maldição. Dano na arma. Os seus ataques com arma causam 1d4 de dano a mais a cada 3 pontos de refino — 1d4 no refino 1, 2d4 no 3, 3d4 no 6, 4d4 no 9. No refino 10 os dados viram d6: 4d6. Só arma. Ele não entra em feitiço nem em Kata. E se o mesmo ataque já estiver carregando um feitiço de dano de Classe 0 ou mais — como no Ferrão, o nível 27 da Estocada, em que o golpe leva um Classe 0 junto —, este dano não se soma por cima.</t>
        </is>
      </c>
      <c r="CG3" s="141">
        <f>IF($CJ3=1,"",IF($A$2=4,IF($CH3=1,$CB3,""),IF(OR($CH3=1,AND($A$2=3,$CI3=1)),"",$CB3)))</f>
        <v/>
      </c>
      <c r="CH3" s="141" t="n">
        <v>0</v>
      </c>
      <c r="CI3" s="141" t="n">
        <v>0</v>
      </c>
      <c r="CJ3" s="141" t="n">
        <v>1</v>
      </c>
      <c r="CL3" s="114" t="inlineStr">
        <is>
          <t>Energia Reversa</t>
        </is>
      </c>
      <c r="CN3" s="114" t="inlineStr">
        <is>
          <t>Ferramenta de atacar</t>
        </is>
      </c>
      <c r="CP3" s="141">
        <f>IF($A$2=2,IFERROR(INDEX($CL$2:$CL$4,2),""),IF($A$2&gt;=3,IFERROR(INDEX($CN$2:$CN$4,2),""),""))</f>
        <v/>
      </c>
      <c r="CR3" s="114" t="inlineStr">
        <is>
          <t>Massa</t>
        </is>
      </c>
      <c r="CS3" s="141" t="n">
        <v>1</v>
      </c>
      <c r="CT3" s="141" t="n">
        <v>0</v>
      </c>
      <c r="CU3" s="141">
        <f>IF(AND($A$2&gt;=3,'FICHA AMALDIÇOADA'!$J$16&amp;""="Três grupos de arma"),$CR3,"")</f>
        <v/>
      </c>
      <c r="CW3" s="141" t="n">
        <v>5</v>
      </c>
      <c r="CX3" s="141" t="n">
        <v>3</v>
      </c>
      <c r="CY3" s="141" t="n">
        <v>3</v>
      </c>
      <c r="DA3" s="141" t="n">
        <v>20</v>
      </c>
      <c r="DC3" s="141" t="n">
        <v>4</v>
      </c>
      <c r="DE3" s="141" t="n">
        <v>21</v>
      </c>
      <c r="DF3" s="141" t="n">
        <v>28</v>
      </c>
      <c r="DG3" s="141" t="n">
        <v>8</v>
      </c>
      <c r="DI3" s="114" t="inlineStr">
        <is>
          <t>Completa</t>
        </is>
      </c>
      <c r="DJ3" s="141" t="n">
        <v>3</v>
      </c>
      <c r="DK3" s="141" t="n">
        <v>14</v>
      </c>
      <c r="DL3" s="141" t="n">
        <v>5</v>
      </c>
      <c r="DM3" s="114" t="inlineStr">
        <is>
          <t>Nível 14 e refino 5</t>
        </is>
      </c>
      <c r="DO3" s="114" t="inlineStr">
        <is>
          <t>Temporário</t>
        </is>
      </c>
      <c r="DP3" s="114" t="inlineStr">
        <is>
          <t>Ação Bônus, no seu turno</t>
        </is>
      </c>
      <c r="DR3" s="114" t="inlineStr">
        <is>
          <t>Uma aptidão</t>
        </is>
      </c>
      <c r="DT3" s="114" t="inlineStr">
        <is>
          <t>Feitiço 2</t>
        </is>
      </c>
      <c r="DU3" s="141" t="n">
        <v>0</v>
      </c>
      <c r="DV3" s="141" t="n">
        <v>2</v>
      </c>
      <c r="DW3" s="141">
        <f>MAX(1,MIN(7,N('FICHA AMALDIÇOADA'!$J$51)))</f>
        <v/>
      </c>
      <c r="DX3" s="141">
        <f>'FICHA AMALDIÇOADA'!$K$51&amp;""</f>
        <v/>
      </c>
      <c r="DY3" s="141">
        <f>'FICHA AMALDIÇOADA'!$J$58&amp;""</f>
        <v/>
      </c>
      <c r="DZ3" s="141">
        <f>'FICHA AMALDIÇOADA'!$K$60&amp;""</f>
        <v/>
      </c>
      <c r="EA3" s="141">
        <f>'FICHA AMALDIÇOADA'!$K$61&amp;""</f>
        <v/>
      </c>
      <c r="EB3" s="141">
        <f>'FICHA AMALDIÇOADA'!$K$62&amp;""</f>
        <v/>
      </c>
      <c r="EC3" s="141">
        <f>'FICHA AMALDIÇOADA'!$K$63&amp;""</f>
        <v/>
      </c>
      <c r="ED3" s="141">
        <f>'FICHA AMALDIÇOADA'!$K$64&amp;""</f>
        <v/>
      </c>
      <c r="EE3" s="141">
        <f>'FICHA AMALDIÇOADA'!$K$65&amp;""</f>
        <v/>
      </c>
      <c r="EF3" s="141">
        <f>IF($DX3&lt;&gt;"",1,0)</f>
        <v/>
      </c>
      <c r="EG3" s="141">
        <f>IFERROR(MATCH($DY3,$Y$2:$Y$11,0),0)</f>
        <v/>
      </c>
      <c r="EH3" s="141">
        <f>IF($EG3=0,0,INDEX($AB$2:$AB$11,$EG3))</f>
        <v/>
      </c>
      <c r="EI3" s="141">
        <f>IFERROR(VLOOKUP($DZ3,$BC$2:$BJ$84,4,FALSE),0)</f>
        <v/>
      </c>
      <c r="EJ3" s="141">
        <f>IFERROR(VLOOKUP($EA3,$BC$2:$BJ$84,4,FALSE),0)</f>
        <v/>
      </c>
      <c r="EK3" s="141">
        <f>IFERROR(VLOOKUP($EB3,$BC$2:$BJ$84,4,FALSE),0)</f>
        <v/>
      </c>
      <c r="EL3" s="141">
        <f>IFERROR(VLOOKUP($EC3,$BC$2:$BJ$84,4,FALSE),0)</f>
        <v/>
      </c>
      <c r="EM3" s="141">
        <f>IF($EG3=0,0,INDEX($AC$2:$AC$11,$EG3))</f>
        <v/>
      </c>
      <c r="EN3" s="141">
        <f>IFERROR(VLOOKUP($DZ3,$BC$2:$BJ$84,5,FALSE),0)</f>
        <v/>
      </c>
      <c r="EO3" s="141">
        <f>IFERROR(VLOOKUP($EA3,$BC$2:$BJ$84,5,FALSE),0)</f>
        <v/>
      </c>
      <c r="EP3" s="141">
        <f>IFERROR(VLOOKUP($EB3,$BC$2:$BJ$84,5,FALSE),0)</f>
        <v/>
      </c>
      <c r="EQ3" s="141">
        <f>IFERROR(VLOOKUP($EC3,$BC$2:$BJ$84,5,FALSE),0)</f>
        <v/>
      </c>
      <c r="ER3" s="141">
        <f>IFERROR(VLOOKUP($DZ3,$BC$2:$BJ$84,6,FALSE),0)+IFERROR(VLOOKUP($EA3,$BC$2:$BJ$84,6,FALSE),0)+IFERROR(VLOOKUP($EB3,$BC$2:$BJ$84,6,FALSE),0)+IFERROR(VLOOKUP($EC3,$BC$2:$BJ$84,6,FALSE),0)</f>
        <v/>
      </c>
      <c r="ES3" s="141">
        <f>IF($EG3=0,0,INDEX($AD$2:$AD$11,$EG3))</f>
        <v/>
      </c>
      <c r="ET3" s="141">
        <f>IF($EG3=0,0,INDEX($AE$2:$AE$11,$EG3))</f>
        <v/>
      </c>
      <c r="EU3" s="141">
        <f>IF($EG3=0,0,INDEX($AG$2:$AG$11,$EG3))</f>
        <v/>
      </c>
      <c r="EV3" s="141">
        <f>IFERROR(VLOOKUP($ED3,$BL$2:$BP$24,3,FALSE),0)</f>
        <v/>
      </c>
      <c r="EW3" s="141">
        <f>IFERROR(VLOOKUP($EE3,$BL$2:$BP$24,3,FALSE),0)</f>
        <v/>
      </c>
      <c r="EX3" s="141">
        <f>IFERROR(VLOOKUP($ED3,$BL$2:$BP$24,2,FALSE),"")</f>
        <v/>
      </c>
      <c r="EY3" s="141">
        <f>IFERROR(VLOOKUP($EE3,$BL$2:$BP$24,2,FALSE),"")</f>
        <v/>
      </c>
      <c r="EZ3" s="141">
        <f>COUNTIF($EH3:$EL3,1)</f>
        <v/>
      </c>
      <c r="FA3" s="141">
        <f>COUNTIF($EH3:$EL3,2)</f>
        <v/>
      </c>
      <c r="FB3" s="141">
        <f>COUNTIF($EH3:$EL3,3)</f>
        <v/>
      </c>
      <c r="FC3" s="141">
        <f>COUNTIF($EH3:$EL3,4)</f>
        <v/>
      </c>
      <c r="FD3" s="141">
        <f>COUNTIF($EH3:$EL3,5)</f>
        <v/>
      </c>
      <c r="FE3" s="141">
        <f>COUNTIF($EH3:$EL3,6)</f>
        <v/>
      </c>
      <c r="FF3" s="141">
        <f>COUNTIF($EV3:$EW3,1)</f>
        <v/>
      </c>
      <c r="FG3" s="141">
        <f>COUNTIF($EV3:$EW3,2)+$ES3</f>
        <v/>
      </c>
      <c r="FH3" s="141">
        <f>COUNTIF($DZ3:$EC3,"?*")</f>
        <v/>
      </c>
      <c r="FI3" s="141">
        <f>COUNTIF($ED3:$EE3,"?*")+$ES3</f>
        <v/>
      </c>
      <c r="FJ3" s="141">
        <f>SUMPRODUCT($EZ3:$FE3,INDEX($Q$2:$V$8,$DW3,0))</f>
        <v/>
      </c>
      <c r="FK3" s="141">
        <f>$FF3*CEILING($DW3/2,1)+$FG3*$DW3</f>
        <v/>
      </c>
      <c r="FL3" s="141">
        <f>MIN(2*$DW3,$FK3)</f>
        <v/>
      </c>
      <c r="FM3" s="141">
        <f>MIN($FL3,$FJ3)</f>
        <v/>
      </c>
      <c r="FN3" s="141">
        <f>$FL3-$FM3</f>
        <v/>
      </c>
      <c r="FO3" s="141">
        <f>3*$DW3-$FJ3+$FM3</f>
        <v/>
      </c>
      <c r="FP3" s="141">
        <f>MAX(0,$FO3)+$DU3*$DW3</f>
        <v/>
      </c>
      <c r="FQ3" s="141">
        <f>(IF(COUNTIF($DZ3:$EC3,"Salto")&gt;0,1,0)+IF(COUNTIF($DZ3:$EC3,"Queima")&gt;0,1,0))*FLOOR($FP3/2,1)</f>
        <v/>
      </c>
      <c r="FR3" s="141">
        <f>MAX(0,3-SUMPRODUCT($EZ3:$FE3,$Q$2:$V$2)+MIN(2,$FF3*1+$FG3*1,SUMPRODUCT($EZ3:$FE3,$Q$2:$V$2)))+$DU3*1</f>
        <v/>
      </c>
      <c r="FS3" s="141">
        <f>MAX(0,6-SUMPRODUCT($EZ3:$FE3,$Q$3:$V$3)+MIN(4,$FF3*1+$FG3*2,SUMPRODUCT($EZ3:$FE3,$Q$3:$V$3)))+$DU3*2</f>
        <v/>
      </c>
      <c r="FT3" s="141">
        <f>MAX(0,9-SUMPRODUCT($EZ3:$FE3,$Q$4:$V$4)+MIN(6,$FF3*2+$FG3*3,SUMPRODUCT($EZ3:$FE3,$Q$4:$V$4)))+$DU3*3</f>
        <v/>
      </c>
      <c r="FU3" s="141">
        <f>MAX(0,12-SUMPRODUCT($EZ3:$FE3,$Q$5:$V$5)+MIN(8,$FF3*2+$FG3*4,SUMPRODUCT($EZ3:$FE3,$Q$5:$V$5)))+$DU3*4</f>
        <v/>
      </c>
      <c r="FV3" s="141">
        <f>MAX(0,15-SUMPRODUCT($EZ3:$FE3,$Q$6:$V$6)+MIN(10,$FF3*3+$FG3*5,SUMPRODUCT($EZ3:$FE3,$Q$6:$V$6)))+$DU3*5</f>
        <v/>
      </c>
      <c r="FW3" s="141">
        <f>MAX(0,18-SUMPRODUCT($EZ3:$FE3,$Q$7:$V$7)+MIN(12,$FF3*3+$FG3*6,SUMPRODUCT($EZ3:$FE3,$Q$7:$V$7)))+$DU3*6</f>
        <v/>
      </c>
      <c r="FX3" s="141">
        <f>MAX(0,21-SUMPRODUCT($EZ3:$FE3,$Q$8:$V$8)+MIN(14,$FF3*4+$FG3*7,SUMPRODUCT($EZ3:$FE3,$Q$8:$V$8)))+$DU3*7</f>
        <v/>
      </c>
      <c r="FY3" s="141">
        <f>IF($ET3=2,3*$FR3&amp;" de vida temp.",IF($ET3=3,"sem dano",IF($FR3=0,IF($ET3=1,"sem cura","sem dano"),IF($ET3=1,"cura ","")&amp;$FR3&amp;"d8")))</f>
        <v/>
      </c>
      <c r="FZ3" s="141">
        <f>IF($ET3=2,3*$FS3&amp;" de vida temp.",IF($ET3=3,"sem dano",IF($FS3=0,IF($ET3=1,"sem cura","sem dano"),IF($ET3=1,"cura ","")&amp;$FS3&amp;"d8")))</f>
        <v/>
      </c>
      <c r="GA3" s="141">
        <f>IF($ET3=2,3*$FT3&amp;" de vida temp.",IF($ET3=3,"sem dano",IF($FT3=0,IF($ET3=1,"sem cura","sem dano"),IF($ET3=1,"cura ","")&amp;$FT3&amp;"d8")))</f>
        <v/>
      </c>
      <c r="GB3" s="141">
        <f>IF($ET3=2,3*$FU3&amp;" de vida temp.",IF($ET3=3,"sem dano",IF($FU3=0,IF($ET3=1,"sem cura","sem dano"),IF($ET3=1,"cura ","")&amp;$FU3&amp;"d8")))</f>
        <v/>
      </c>
      <c r="GC3" s="141">
        <f>IF($ET3=2,3*$FV3&amp;" de vida temp.",IF($ET3=3,"sem dano",IF($FV3=0,IF($ET3=1,"sem cura","sem dano"),IF($ET3=1,"cura ","")&amp;$FV3&amp;"d8")))</f>
        <v/>
      </c>
      <c r="GD3" s="141">
        <f>IF($ET3=2,3*$FW3&amp;" de vida temp.",IF($ET3=3,"sem dano",IF($FW3=0,IF($ET3=1,"sem cura","sem dano"),IF($ET3=1,"cura ","")&amp;$FW3&amp;"d8")))</f>
        <v/>
      </c>
      <c r="GE3" s="141">
        <f>IF($ET3=2,3*$FX3&amp;" de vida temp.",IF($ET3=3,"sem dano",IF($FX3=0,IF($ET3=1,"sem cura","sem dano"),IF($ET3=1,"cura ","")&amp;$FX3&amp;"d8")))</f>
        <v/>
      </c>
      <c r="GF3" s="141">
        <f>IF($EF3=0,"",TEXTJOIN(" · ",TRUE,IF(AND($DU3=1,$DV3&gt;$HE$9),"O nível "&amp;$HE$2&amp;" dá "&amp;$HE$9&amp;" Liberação Máxima",""),IF($DW3&gt;$HE$4,"Classe "&amp;$DW3&amp;": o nível "&amp;$HE$2&amp;" libera até a "&amp;$HE$4,""),IF($EM3=1,"Família Fechada: a Forma "&amp;$DY3,""),IF($EN3=1,"Família Fechada: "&amp;$DZ3,""),IF($EO3=1,"Família Fechada: "&amp;$EA3,""),IF($EP3=1,"Família Fechada: "&amp;$EB3,""),IF($EQ3=1,"Família Fechada: "&amp;$EC3,""),IF($FH3&gt;INDEX($W$2:$W$8,$DW3),$FH3&amp;" Melhorias: a Classe "&amp;$DW3&amp;" aceita "&amp;INDEX($W$2:$W$8,$DW3),""),IF($FI3&gt;2,$FI3&amp;" Restrições"&amp;IF($ES3=1,", contando a que a Forma "&amp;$DY3&amp;" já traz","")&amp;": o limite é 2",""),IF($FO3&lt;0,"Orçamento estourado: faltam "&amp;(-$FO3)&amp;IF($FO3&lt;-1," pontos"," ponto"),""),IF(IFERROR(VLOOKUP($ED3,$BL$2:$BP$24,4,FALSE),0)+IFERROR(VLOOKUP($EE3,$BL$2:$BP$24,4,FALSE),0)&gt;1,$EX3&amp;" e "&amp;$EY3&amp;" são as duas de frequência",""),IF(AND((COUNTIF($DZ3:$EC3,"Rápido")+COUNTIF($EX3:$EY3,"Rápido"))&gt;0,(COUNTIF($DZ3:$EC3,"Reação")+COUNTIF($EX3:$EY3,"Reação"))&gt;0),"Rápido não entra com Reação",""),IF(AND((COUNTIF($DZ3:$EC3,"Rápido")+COUNTIF($EX3:$EY3,"Rápido"))&gt;0,(COUNTIF($DZ3:$EC3,"Atrasar")+COUNTIF($EX3:$EY3,"Atrasar"))&gt;0),"Rápido não entra com Atrasar",""),IF(AND((COUNTIF($DZ3:$EC3,"Reação")+COUNTIF($EX3:$EY3,"Reação"))&gt;0,(COUNTIF($DZ3:$EC3,"Atrasar")+COUNTIF($EX3:$EY3,"Atrasar"))&gt;0),"Reação não entra com Atrasar",""),IF(AND((COUNTIF($DZ3:$EC3,"Reação")+COUNTIF($EX3:$EY3,"Reação"))&gt;0,(COUNTIF($DZ3:$EC3,"Parado")+COUNTIF($EX3:$EY3,"Parado"))&gt;0),"Reação não entra com Parado",""),IF(AND(COUNTIF($EX3:$EY3,"Corpo a Corpo")&gt;0,$ES3=0,OR($DY3="Cone",$DY3="Linha")),"Corpo a Corpo não entra em "&amp;$DY3,""),IF(AND(COUNTIF($EX3:$EY3,"Corpo a Corpo")&gt;0,$ES3=1),"A Forma "&amp;$DY3&amp;" já traz o Corpo a Corpo",""),IF(AND(COUNTIF($EX3:$EY3,"Tudo ou Nada")&gt;0,$EU3=0),"Tudo ou Nada só entra em feitiço de Teste de Resistência",""),IF(AND(COUNTIF($DZ3:$EC3,"Inescapável")&gt;0,OR($FH3&gt;1,$FI3&gt;0)),"Inescapável não aceita outra peça",""),IF(AND($DU3=1,$DW3&lt;3),"Liberação Máxima é de Classe 3 ou mais",""),IF(AND($DU3=1,OR($ET3=1,$ET3=2)),"Liberação Máxima não serve para cura",""),IF(AND($DU3=1,COUNTIF($DZ3:$EC3,"Inescapável")+COUNTIF($DZ3:$EC3,"Toca a Alma")&gt;0),"Esta peça não entra numa Liberação Máxima",""),IF($FP3+$FQ3&gt;4*$DW3,($FP3+$FQ3)&amp;" dados somando alvos e repetições: o teto da Classe "&amp;$DW3&amp;" é "&amp;4*$DW3,"")))</f>
        <v/>
      </c>
      <c r="GG3" s="141">
        <f>IF($GF3="",0,(LEN($GF3)-LEN(SUBSTITUTE($GF3," · ","")))/3+1)</f>
        <v/>
      </c>
      <c r="GH3" s="141">
        <f>IF($EF3=0,"",TEXTJOIN(" · ",TRUE,IF($FK3&gt;2*$DW3,"A devolução parou no teto de "&amp;2*$DW3,""),IF($FN3&gt;0,"Devolução perdida: "&amp;$FN3&amp;IF($FN3&gt;1," pontos"," ponto")&amp;" sem peça para pagar",""),IF(AND($ER3&gt;0,$FP3=0),"Controle sem dano: uma rodada a mais e CD +2",""),IF(AND($ER3&gt;0,$FP3&gt;0,$FP3&lt;=$DW3),"Controle com um quarto do teto: uma rodada a mais","")))</f>
        <v/>
      </c>
      <c r="GI3" s="141">
        <f>IF($GH3="",0,(LEN($GH3)-LEN(SUBSTITUTE($GH3," · ","")))/3+1)</f>
        <v/>
      </c>
      <c r="GJ3" s="141">
        <f>IF($EF3=0,IF($FH3+$FI3-$ES3&gt;0,"Dê um nome",""),IF($GG3&gt;0,"⚠ "&amp;$GG3&amp;IF($GG3&gt;1," erros"," erro"),IF($GI3&gt;0,"! "&amp;$GI3&amp;IF($GI3&gt;1," avisos"," aviso"),"Na regra")))</f>
        <v/>
      </c>
      <c r="GK3" s="141">
        <f>IF($EF3=0,"",IF($GG3+$GI3=0,"Dentro das regras que a ficha confere",$GF3&amp;IF(AND($GG3&gt;0,$GI3&gt;0)," · ","")&amp;$GH3))</f>
        <v/>
      </c>
      <c r="GL3" s="141">
        <f>IF($EF3=0,"",IF($DU3=1,CEILING(4.5*$DW3,1),3*$DW3)&amp;" PE")</f>
        <v/>
      </c>
      <c r="GM3" s="141">
        <f>IF($EF3=0,"",IF($DU3=1,"Rodada inteira",IF(COUNTIF($EX3:$EY3,"Atrasar")&gt;0,IF(COUNTIF($EX3:$EY3,"Carregar")&gt;0,"Rodada +1 turno","Rodada inteira"),IF(COUNTIF($DZ3:$EC3,"Rápido")&gt;0,"Bônus",IF(COUNTIF($DZ3:$EC3,"Reação")&gt;0,"Reação","Padrão"))&amp;IF(COUNTIF($EX3:$EY3,"Carregar")&gt;0," +1 turno",""))))</f>
        <v/>
      </c>
      <c r="GN3" s="141">
        <f>IF(OR($EF3=0,$EG3=0),"",IF(COUNTIF($DZ3:$EC3,"Inescapável")&gt;0,"Automático",IF(COUNTIF($DZ3:$EC3,"Certeiro")&gt;0,"TR para metade",INDEX($AF$2:$AF$11,$EG3))))</f>
        <v/>
      </c>
      <c r="GO3" s="141">
        <f>IF(OR($EF3=0,$EG3=0),"",IF(OR($ET3&gt;=2,$FP3=0),UPPER(LEFT(INDEX($FY3:$GE3,1,$DW3),1))&amp;MID(INDEX($FY3:$GE3,1,$DW3),2,99),UPPER(LEFT(INDEX($FY3:$GE3,1,$DW3),1))&amp;MID(INDEX($FY3:$GE3,1,$DW3),2,99)&amp;" = "&amp;FLOOR($FP3*4.5,1)&amp;IF($FQ3&gt;0," · +"&amp;$FQ3&amp;"d8","")))</f>
        <v/>
      </c>
      <c r="GP3" s="141">
        <f>COUNTIF($DZ3:$EC3,"Longe")+3*COUNTIF($DZ3:$EC3,"Muito Longe")</f>
        <v/>
      </c>
      <c r="GQ3" s="141">
        <f>COUNTIF($DZ3:$EC3,"Maior")+3*COUNTIF($DZ3:$EC3,"Muito Maior")</f>
        <v/>
      </c>
      <c r="GR3" s="141">
        <f>IF($EG3=0,0,CHOOSE(1+INDEX($AH$2:$AH$11,$EG3),0,$GP3,$GQ3,$GP3+$GQ3))</f>
        <v/>
      </c>
      <c r="GS3" s="141">
        <f>IF($EG3=0,0,CHOOSE(1+INDEX($AI$2:$AI$11,$EG3),0,$GP3,$GQ3,$GP3+$GQ3))</f>
        <v/>
      </c>
      <c r="GT3" s="141">
        <f>IF(OR($EF3=0,$EG3=0),"",INDEX($AP$2:$AU$31,($EG3-1)*3+IF($DW3&gt;=6,3,2),1+MIN(5,$GR3))&amp;INDEX($AV$2:$BA$31,($EG3-1)*3+IF($DW3&gt;=6,3,2),1+MIN(5,$GS3))&amp;IF(INDEX($AJ$2:$AJ$11,$EG3)=1,IF(COUNTIF($DZ3:$EC3,"Mais Um")&gt;0," · +"&amp;COUNTIF($DZ3:$EC3,"Mais Um")&amp;IF(COUNTIF($DZ3:$EC3,"Mais Um")&gt;1," alvos"," alvo"),"")&amp;IF(COUNTIF($DZ3:$EC3,"Rajada")&gt;0," · "&amp;($DW3+1)&amp;" tiros",""),""))</f>
        <v/>
      </c>
      <c r="GU3" s="141">
        <f>IF($EF3=0,"",3*$DW3&amp;" − "&amp;$FJ3&amp;" + "&amp;$FM3&amp;IF($DU3=1," + "&amp;$DW3,"")&amp;" = "&amp;$FP3&amp;"d8 · teto "&amp;4*$DW3&amp;IF($ES3=1," · a Forma devolve "&amp;$DW3,"")&amp;IF($FN3&gt;0," · perde "&amp;$FN3,""))</f>
        <v/>
      </c>
      <c r="GV3" s="141">
        <f>IF($EF3=0,"",IF($DW3&gt;=$HE$4,"Já está na maior Classe que o nível liberou",TEXTJOIN(" · ",TRUE,IF(AND(2&gt;$DW3,2&lt;=$HE$4),"2 → "&amp;$FZ3&amp;", "&amp;IF($DU3=1,9,6)&amp;" PE",""),IF(AND(3&gt;$DW3,3&lt;=$HE$4),"3 → "&amp;$GA3&amp;", "&amp;IF($DU3=1,14,9)&amp;" PE",""),IF(AND(4&gt;$DW3,4&lt;=$HE$4),"4 → "&amp;$GB3&amp;", "&amp;IF($DU3=1,18,12)&amp;" PE",""),IF(AND(5&gt;$DW3,5&lt;=$HE$4),"5 → "&amp;$GC3&amp;", "&amp;IF($DU3=1,23,15)&amp;" PE",""),IF(AND(6&gt;$DW3,6&lt;=$HE$4),"6 → "&amp;$GD3&amp;", "&amp;IF($DU3=1,27,18)&amp;" PE",""),IF(AND(7&gt;$DW3,7&lt;=$HE$4),"7 → "&amp;$GE3&amp;", "&amp;IF($DU3=1,32,21)&amp;" PE",""))))</f>
        <v/>
      </c>
      <c r="GW3" s="141">
        <f>IF(OR($EF3=0,$EI3=0),"","−"&amp;INDEX($Q$2:$V$8,$DW3,$EI3)&amp;" · "&amp;CHOOSE($EI3,"Leve","Média","Pesada","Leve · Livre","Média · Livre","Pesada · Livre"))</f>
        <v/>
      </c>
      <c r="GX3" s="141">
        <f>IF(OR($EF3=0,$EJ3=0),"","−"&amp;INDEX($Q$2:$V$8,$DW3,$EJ3)&amp;" · "&amp;CHOOSE($EJ3,"Leve","Média","Pesada","Leve · Livre","Média · Livre","Pesada · Livre"))</f>
        <v/>
      </c>
      <c r="GY3" s="141">
        <f>IF(OR($EF3=0,$EK3=0),"","−"&amp;INDEX($Q$2:$V$8,$DW3,$EK3)&amp;" · "&amp;CHOOSE($EK3,"Leve","Média","Pesada","Leve · Livre","Média · Livre","Pesada · Livre"))</f>
        <v/>
      </c>
      <c r="GZ3" s="141">
        <f>IF(OR($EF3=0,$EL3=0),"","−"&amp;INDEX($Q$2:$V$8,$DW3,$EL3)&amp;" · "&amp;CHOOSE($EL3,"Leve","Média","Pesada","Leve · Livre","Média · Livre","Pesada · Livre"))</f>
        <v/>
      </c>
      <c r="HA3" s="141">
        <f>IF(OR($EF3=0,$ED3=""),"","+"&amp;IF($EV3=1,CEILING($DW3/2,1),$DW3))</f>
        <v/>
      </c>
      <c r="HB3" s="141">
        <f>IF(OR($EF3=0,$EE3=""),"","+"&amp;IF($EW3=1,CEILING($DW3/2,1),$DW3))</f>
        <v/>
      </c>
      <c r="HD3" s="114" t="inlineStr">
        <is>
          <t>maestria</t>
        </is>
      </c>
      <c r="HE3" s="141">
        <f>N(FICHA!$D$51)</f>
        <v/>
      </c>
      <c r="HG3" s="114" t="inlineStr">
        <is>
          <t>Passiva 2</t>
        </is>
      </c>
      <c r="HH3" s="141">
        <f>'FICHA AMALDIÇOADA'!$J$379&amp;""</f>
        <v/>
      </c>
      <c r="HI3" s="141">
        <f>IFERROR(VLOOKUP($HH3,$BR$2:$BW$24,2,FALSE),0)</f>
        <v/>
      </c>
      <c r="HJ3" s="141">
        <f>IFERROR(VLOOKUP($HI3,$BY$2:$BZ$4,2,FALSE),0)</f>
        <v/>
      </c>
      <c r="HK3" s="141">
        <f>IFERROR(VLOOKUP($HH3,$BR$2:$BW$24,3,FALSE),"")</f>
        <v/>
      </c>
      <c r="HL3" s="141">
        <f>IF($HI3=0,"",IF($HJ3&gt;$HE$2,"⚠ Nível "&amp;$HJ3,"CP "&amp;$HI3))</f>
        <v/>
      </c>
      <c r="HM3" s="141">
        <f>IF($HI3=0,"",$HI3&amp;" esp.")</f>
        <v/>
      </c>
      <c r="HO3" s="114" t="inlineStr">
        <is>
          <t>Aptidão 2</t>
        </is>
      </c>
      <c r="HP3" s="141">
        <f>'FICHA AMALDIÇOADA'!$J$430&amp;""</f>
        <v/>
      </c>
      <c r="HQ3" s="141">
        <f>IF($HP3="","","Requisito: "&amp;IFERROR(VLOOKUP($HP3,$CB$2:$CJ$32,2,FALSE),""))</f>
        <v/>
      </c>
      <c r="HR3" s="141">
        <f>IF($HP3="","",IFERROR(IF(ISNUMBER(VLOOKUP($HP3,$CB$2:$CJ$32,3,FALSE)),"CP "&amp;VLOOKUP($HP3,$CB$2:$CJ$32,3,FALSE),VLOOKUP($HP3,$CB$2:$CJ$32,3,FALSE)),""))</f>
        <v/>
      </c>
      <c r="HS3" s="141">
        <f>IF($HP3="","",IFERROR(VLOOKUP($HP3,$CB$2:$CJ$32,4,FALSE),""))</f>
        <v/>
      </c>
      <c r="HT3" s="141">
        <f>IF($HP3="","",IFERROR(VLOOKUP($HP3,$CB$2:$CJ$32,5,FALSE),""))</f>
        <v/>
      </c>
      <c r="HV3" s="114" t="inlineStr">
        <is>
          <t>Classe 0 · 2</t>
        </is>
      </c>
      <c r="HW3" s="141">
        <f>'FICHA AMALDIÇOADA'!$F$311&amp;""</f>
        <v/>
      </c>
      <c r="HX3" s="141">
        <f>'FICHA AMALDIÇOADA'!$J$311&amp;""</f>
        <v/>
      </c>
      <c r="HY3" s="141">
        <f>'FICHA AMALDIÇOADA'!$L$311&amp;""</f>
        <v/>
      </c>
      <c r="HZ3" s="141">
        <f>IFERROR(MATCH($HW3,$Y$2:$Y$11,0),0)</f>
        <v/>
      </c>
      <c r="IA3" s="141">
        <f>$HE$11-IF($HX3&lt;&gt;"",1,0)+IF(AND($HX3&lt;&gt;"",$HY3&lt;&gt;""),1,0)</f>
        <v/>
      </c>
      <c r="IB3" s="141">
        <f>IF(2&gt;$HE$10,"Nível 1",IF($HZ3=0,"",IF(INDEX($AE$2:$AE$11,$HZ3)&gt;=2,"—",$IA3&amp;"d8 = "&amp;FLOOR($IA3*4.5,1))))</f>
        <v/>
      </c>
      <c r="IC3" s="141">
        <f>IF(OR(2&gt;$HE$10,$HZ3=0),"",INDEX($AP$2:$AU$31,($HZ3-1)*3+1,1+IF(OR(AND($HX3="Longe",INDEX($AH$2:$AH$11,$HZ3)&lt;&gt;2),AND($HX3="Maior",INDEX($AH$2:$AH$11,$HZ3)&gt;=2)),1,0))&amp;INDEX($AV$2:$BA$31,($HZ3-1)*3+1,1+IF(AND($HX3="Longe",INDEX($AI$2:$AI$11,$HZ3)=1),1,0)))</f>
        <v/>
      </c>
      <c r="IE3" s="114" t="inlineStr">
        <is>
          <t>Orçamento</t>
        </is>
      </c>
      <c r="IF3" s="141">
        <f>ADDRESS(ROW('FICHA AMALDIÇOADA'!E7),COLUMN('FICHA AMALDIÇOADA'!E7),4)</f>
        <v/>
      </c>
      <c r="IG3" s="141">
        <f>ADDRESS(ROW('FICHA AMALDIÇOADA'!D39),COLUMN('FICHA AMALDIÇOADA'!D39),4)</f>
        <v/>
      </c>
      <c r="IH3" s="141">
        <f>ADDRESS(ROW(DADOS_AM!IE3),COLUMN(DADOS_AM!IE3),4)</f>
        <v/>
      </c>
      <c r="IJ3" s="114" t="inlineStr">
        <is>
          <t>P12</t>
        </is>
      </c>
      <c r="IK3" s="141">
        <f>IF(DADOS_AM!$HE$41=1,IF(DADOS_AM!$HE$48=0,"—",IF(DADOS_AM!$HE$48=1,"d20 + "&amp;(DADOS_AM!$HE$3+IF(DADOS_AM!$HE$42&lt;&gt;"",DADOS_AM!$HE$45,IF(DADOS_AM!$HE$43&lt;&gt;"",DADOS_AM!$HE$46,DADOS_AM!$HE$47))+IFERROR(VALUE(FICHA!$W$47&amp;""),0)),"Por grupo")),FICHA!$O$47)</f>
        <v/>
      </c>
    </row>
    <row r="4">
      <c r="C4" s="114" t="inlineStr">
        <is>
          <t>liberação</t>
        </is>
      </c>
      <c r="D4" s="114" t="inlineStr">
        <is>
          <t>Liberação Máxima</t>
        </is>
      </c>
      <c r="E4" s="114" t="inlineStr">
        <is>
          <t>Liberação Máxima</t>
        </is>
      </c>
      <c r="F4" s="114" t="inlineStr">
        <is>
          <t>Ruptura</t>
        </is>
      </c>
      <c r="G4" s="114" t="inlineStr">
        <is>
          <t>Ruptura</t>
        </is>
      </c>
      <c r="I4" s="114" t="inlineStr">
        <is>
          <t>Mira</t>
        </is>
      </c>
      <c r="J4" s="141">
        <f>'FICHA AMALDIÇOADA'!$F$37&amp;""</f>
        <v/>
      </c>
      <c r="K4" s="141">
        <f>IF($J4="Livre",1,0)</f>
        <v/>
      </c>
      <c r="L4" s="141">
        <f>IF($J4="Fechada",1,0)</f>
        <v/>
      </c>
      <c r="N4" s="114" t="inlineStr">
        <is>
          <t>Fechada</t>
        </is>
      </c>
      <c r="P4" s="141" t="n">
        <v>3</v>
      </c>
      <c r="Q4" s="141" t="n">
        <v>2</v>
      </c>
      <c r="R4" s="141" t="n">
        <v>3</v>
      </c>
      <c r="S4" s="141" t="n">
        <v>5</v>
      </c>
      <c r="T4" s="141" t="n">
        <v>1</v>
      </c>
      <c r="U4" s="141" t="n">
        <v>1</v>
      </c>
      <c r="V4" s="141" t="n">
        <v>3</v>
      </c>
      <c r="W4" s="141" t="n">
        <v>3</v>
      </c>
      <c r="Y4" s="114" t="inlineStr">
        <is>
          <t>Explosão</t>
        </is>
      </c>
      <c r="Z4" s="114" t="inlineStr">
        <is>
          <t>Área</t>
        </is>
      </c>
      <c r="AA4" s="141" t="n">
        <v>1</v>
      </c>
      <c r="AB4" s="141">
        <f>IF($AA4=0,0,$AA4+3*IFERROR(VLOOKUP($Z4,$I$2:$L$10,3,FALSE),0))</f>
        <v/>
      </c>
      <c r="AC4" s="141">
        <f>IFERROR(VLOOKUP($Z4,$I$2:$L$10,4,FALSE),0)</f>
        <v/>
      </c>
      <c r="AD4" s="141" t="n">
        <v>0</v>
      </c>
      <c r="AE4" s="141" t="n">
        <v>0</v>
      </c>
      <c r="AF4" s="114" t="inlineStr">
        <is>
          <t>TR, metade</t>
        </is>
      </c>
      <c r="AG4" s="141" t="n">
        <v>1</v>
      </c>
      <c r="AH4" s="141" t="n">
        <v>2</v>
      </c>
      <c r="AI4" s="141" t="n">
        <v>1</v>
      </c>
      <c r="AJ4" s="141" t="n">
        <v>0</v>
      </c>
      <c r="AK4" s="141" t="n">
        <v>1</v>
      </c>
      <c r="AL4" s="141">
        <f>IF($AC4=1,"",$Y4)</f>
        <v/>
      </c>
      <c r="AM4" s="141">
        <f>IF(AND($AK4=1,$AC4=0),$Y4,"")</f>
        <v/>
      </c>
      <c r="AO4" s="114" t="inlineStr">
        <is>
          <t>Projétil · classes 6 e 7</t>
        </is>
      </c>
      <c r="AP4" s="114" t="inlineStr">
        <is>
          <t>36 m, um alvo</t>
        </is>
      </c>
      <c r="AQ4" s="114" t="inlineStr">
        <is>
          <t>90 m, um alvo</t>
        </is>
      </c>
      <c r="AR4" s="114" t="inlineStr">
        <is>
          <t>O que você enxergar, um alvo</t>
        </is>
      </c>
      <c r="AS4" s="114" t="inlineStr">
        <is>
          <t>O que você enxergar, um alvo</t>
        </is>
      </c>
      <c r="AT4" s="114" t="inlineStr">
        <is>
          <t>O que você enxergar, um alvo</t>
        </is>
      </c>
      <c r="AU4" s="114" t="inlineStr">
        <is>
          <t>O que você enxergar, um alvo</t>
        </is>
      </c>
      <c r="AV4" s="114" t="inlineStr"/>
      <c r="AW4" s="114" t="inlineStr"/>
      <c r="AX4" s="114" t="inlineStr"/>
      <c r="AY4" s="114" t="inlineStr"/>
      <c r="AZ4" s="114" t="inlineStr"/>
      <c r="BA4" s="114" t="inlineStr"/>
      <c r="BC4" s="114" t="inlineStr">
        <is>
          <t>Sem Ver</t>
        </is>
      </c>
      <c r="BD4" s="114" t="inlineStr">
        <is>
          <t>Alcance</t>
        </is>
      </c>
      <c r="BE4" s="141" t="n">
        <v>3</v>
      </c>
      <c r="BF4" s="141">
        <f>$BE4+3*IFERROR(VLOOKUP($BD4,$I$2:$L$10,3,FALSE),0)</f>
        <v/>
      </c>
      <c r="BG4" s="141">
        <f>IFERROR(VLOOKUP($BD4,$I$2:$L$10,4,FALSE),0)</f>
        <v/>
      </c>
      <c r="BH4" s="141" t="n">
        <v>0</v>
      </c>
      <c r="BI4" s="141">
        <f>IF($BG4=1,"",$BC4)</f>
        <v/>
      </c>
      <c r="BJ4" s="141">
        <f>IF(AND($BE4=1,$BG4=0),$BC4,"")</f>
        <v/>
      </c>
      <c r="BL4" s="114" t="inlineStr">
        <is>
          <t>Parado</t>
        </is>
      </c>
      <c r="BM4" s="114" t="inlineStr">
        <is>
          <t>Parado</t>
        </is>
      </c>
      <c r="BN4" s="141" t="n">
        <v>1</v>
      </c>
      <c r="BO4" s="141" t="n">
        <v>0</v>
      </c>
      <c r="BP4" s="114" t="inlineStr">
        <is>
          <t>Parado</t>
        </is>
      </c>
      <c r="BR4" s="114" t="inlineStr">
        <is>
          <t>Raiz</t>
        </is>
      </c>
      <c r="BS4" s="141" t="n">
        <v>1</v>
      </c>
      <c r="BT4" s="114" t="inlineStr">
        <is>
          <t>Você não é movido à força nem derrubado contra a sua vontade.</t>
        </is>
      </c>
      <c r="BU4" s="141" t="n">
        <v>1</v>
      </c>
      <c r="BV4" s="141" t="n">
        <v>0</v>
      </c>
      <c r="BW4" s="141">
        <f>IF(OR(AND($A$2&lt;=2,$BU4=1),AND($A$2&gt;=2,$BV4=1)),$BR4,"")</f>
        <v/>
      </c>
      <c r="BY4" s="141" t="n">
        <v>3</v>
      </c>
      <c r="BZ4" s="141" t="n">
        <v>13</v>
      </c>
      <c r="CB4" s="114" t="inlineStr">
        <is>
          <t>Projetar energia</t>
        </is>
      </c>
      <c r="CC4" s="114" t="inlineStr">
        <is>
          <t>sem requisito</t>
        </is>
      </c>
      <c r="CD4" s="114" t="inlineStr">
        <is>
          <t>—</t>
        </is>
      </c>
      <c r="CE4" s="114" t="inlineStr">
        <is>
          <t>O dano</t>
        </is>
      </c>
      <c r="CF4" s="114" t="inlineStr">
        <is>
          <t>Você dispara energia crua. O dano é Xd6, e ela gasta PE num valor menor ou igual ao seu refino: cada 1 PE aumenta o X em 1. O alcance segue o da sua maior Classe disponível.</t>
        </is>
      </c>
      <c r="CG4" s="141">
        <f>IF($CJ4=1,"",IF($A$2=4,IF($CH4=1,$CB4,""),IF(OR($CH4=1,AND($A$2=3,$CI4=1)),"",$CB4)))</f>
        <v/>
      </c>
      <c r="CH4" s="141" t="n">
        <v>0</v>
      </c>
      <c r="CI4" s="141" t="n">
        <v>0</v>
      </c>
      <c r="CJ4" s="141" t="n">
        <v>0</v>
      </c>
      <c r="CL4" s="114" t="inlineStr">
        <is>
          <t>Aptidão própria</t>
        </is>
      </c>
      <c r="CN4" s="114" t="inlineStr">
        <is>
          <t>Ferramenta de carregar</t>
        </is>
      </c>
      <c r="CP4" s="141">
        <f>IF($A$2=2,IFERROR(INDEX($CL$2:$CL$4,3),""),IF($A$2&gt;=3,IFERROR(INDEX($CN$2:$CN$4,3),""),""))</f>
        <v/>
      </c>
      <c r="CR4" s="114" t="inlineStr">
        <is>
          <t>Porrete</t>
        </is>
      </c>
      <c r="CS4" s="141" t="n">
        <v>1</v>
      </c>
      <c r="CT4" s="141" t="n">
        <v>0</v>
      </c>
      <c r="CU4" s="141">
        <f>IF(AND($A$2&gt;=3,'FICHA AMALDIÇOADA'!$J$16&amp;""="Três grupos de arma"),$CR4,"")</f>
        <v/>
      </c>
      <c r="CW4" s="141" t="n">
        <v>11</v>
      </c>
      <c r="CX4" s="141" t="n">
        <v>4</v>
      </c>
      <c r="CY4" s="141" t="n">
        <v>4</v>
      </c>
      <c r="DA4" s="141" t="n">
        <v>30</v>
      </c>
      <c r="DC4" s="141" t="n">
        <v>5</v>
      </c>
      <c r="DE4" s="141" t="n">
        <v>26</v>
      </c>
      <c r="DF4" s="141" t="n">
        <v>32</v>
      </c>
      <c r="DG4" s="141" t="n">
        <v>12</v>
      </c>
      <c r="DI4" s="114" t="inlineStr">
        <is>
          <t>Sem Barreiras</t>
        </is>
      </c>
      <c r="DJ4" s="141" t="n">
        <v>5</v>
      </c>
      <c r="DK4" s="141" t="n">
        <v>0</v>
      </c>
      <c r="DL4" s="141" t="n">
        <v>10</v>
      </c>
      <c r="DM4" s="114" t="inlineStr">
        <is>
          <t>Refino 10 e especialização em Ocultismo</t>
        </is>
      </c>
      <c r="DO4" s="114" t="inlineStr">
        <is>
          <t>Promessa</t>
        </is>
      </c>
      <c r="DP4" s="114" t="inlineStr">
        <is>
          <t>entre duas partes, as duas aceitando</t>
        </is>
      </c>
      <c r="DR4" s="114" t="inlineStr">
        <is>
          <t>Um espaço de feitiço</t>
        </is>
      </c>
      <c r="DT4" s="114" t="inlineStr">
        <is>
          <t>Feitiço 3</t>
        </is>
      </c>
      <c r="DU4" s="141" t="n">
        <v>0</v>
      </c>
      <c r="DV4" s="141" t="n">
        <v>3</v>
      </c>
      <c r="DW4" s="141">
        <f>MAX(1,MIN(7,N('FICHA AMALDIÇOADA'!$P$51)))</f>
        <v/>
      </c>
      <c r="DX4" s="141">
        <f>'FICHA AMALDIÇOADA'!$Q$51&amp;""</f>
        <v/>
      </c>
      <c r="DY4" s="141">
        <f>'FICHA AMALDIÇOADA'!$P$58&amp;""</f>
        <v/>
      </c>
      <c r="DZ4" s="141">
        <f>'FICHA AMALDIÇOADA'!$Q$60&amp;""</f>
        <v/>
      </c>
      <c r="EA4" s="141">
        <f>'FICHA AMALDIÇOADA'!$Q$61&amp;""</f>
        <v/>
      </c>
      <c r="EB4" s="141">
        <f>'FICHA AMALDIÇOADA'!$Q$62&amp;""</f>
        <v/>
      </c>
      <c r="EC4" s="141">
        <f>'FICHA AMALDIÇOADA'!$Q$63&amp;""</f>
        <v/>
      </c>
      <c r="ED4" s="141">
        <f>'FICHA AMALDIÇOADA'!$Q$64&amp;""</f>
        <v/>
      </c>
      <c r="EE4" s="141">
        <f>'FICHA AMALDIÇOADA'!$Q$65&amp;""</f>
        <v/>
      </c>
      <c r="EF4" s="141">
        <f>IF($DX4&lt;&gt;"",1,0)</f>
        <v/>
      </c>
      <c r="EG4" s="141">
        <f>IFERROR(MATCH($DY4,$Y$2:$Y$11,0),0)</f>
        <v/>
      </c>
      <c r="EH4" s="141">
        <f>IF($EG4=0,0,INDEX($AB$2:$AB$11,$EG4))</f>
        <v/>
      </c>
      <c r="EI4" s="141">
        <f>IFERROR(VLOOKUP($DZ4,$BC$2:$BJ$84,4,FALSE),0)</f>
        <v/>
      </c>
      <c r="EJ4" s="141">
        <f>IFERROR(VLOOKUP($EA4,$BC$2:$BJ$84,4,FALSE),0)</f>
        <v/>
      </c>
      <c r="EK4" s="141">
        <f>IFERROR(VLOOKUP($EB4,$BC$2:$BJ$84,4,FALSE),0)</f>
        <v/>
      </c>
      <c r="EL4" s="141">
        <f>IFERROR(VLOOKUP($EC4,$BC$2:$BJ$84,4,FALSE),0)</f>
        <v/>
      </c>
      <c r="EM4" s="141">
        <f>IF($EG4=0,0,INDEX($AC$2:$AC$11,$EG4))</f>
        <v/>
      </c>
      <c r="EN4" s="141">
        <f>IFERROR(VLOOKUP($DZ4,$BC$2:$BJ$84,5,FALSE),0)</f>
        <v/>
      </c>
      <c r="EO4" s="141">
        <f>IFERROR(VLOOKUP($EA4,$BC$2:$BJ$84,5,FALSE),0)</f>
        <v/>
      </c>
      <c r="EP4" s="141">
        <f>IFERROR(VLOOKUP($EB4,$BC$2:$BJ$84,5,FALSE),0)</f>
        <v/>
      </c>
      <c r="EQ4" s="141">
        <f>IFERROR(VLOOKUP($EC4,$BC$2:$BJ$84,5,FALSE),0)</f>
        <v/>
      </c>
      <c r="ER4" s="141">
        <f>IFERROR(VLOOKUP($DZ4,$BC$2:$BJ$84,6,FALSE),0)+IFERROR(VLOOKUP($EA4,$BC$2:$BJ$84,6,FALSE),0)+IFERROR(VLOOKUP($EB4,$BC$2:$BJ$84,6,FALSE),0)+IFERROR(VLOOKUP($EC4,$BC$2:$BJ$84,6,FALSE),0)</f>
        <v/>
      </c>
      <c r="ES4" s="141">
        <f>IF($EG4=0,0,INDEX($AD$2:$AD$11,$EG4))</f>
        <v/>
      </c>
      <c r="ET4" s="141">
        <f>IF($EG4=0,0,INDEX($AE$2:$AE$11,$EG4))</f>
        <v/>
      </c>
      <c r="EU4" s="141">
        <f>IF($EG4=0,0,INDEX($AG$2:$AG$11,$EG4))</f>
        <v/>
      </c>
      <c r="EV4" s="141">
        <f>IFERROR(VLOOKUP($ED4,$BL$2:$BP$24,3,FALSE),0)</f>
        <v/>
      </c>
      <c r="EW4" s="141">
        <f>IFERROR(VLOOKUP($EE4,$BL$2:$BP$24,3,FALSE),0)</f>
        <v/>
      </c>
      <c r="EX4" s="141">
        <f>IFERROR(VLOOKUP($ED4,$BL$2:$BP$24,2,FALSE),"")</f>
        <v/>
      </c>
      <c r="EY4" s="141">
        <f>IFERROR(VLOOKUP($EE4,$BL$2:$BP$24,2,FALSE),"")</f>
        <v/>
      </c>
      <c r="EZ4" s="141">
        <f>COUNTIF($EH4:$EL4,1)</f>
        <v/>
      </c>
      <c r="FA4" s="141">
        <f>COUNTIF($EH4:$EL4,2)</f>
        <v/>
      </c>
      <c r="FB4" s="141">
        <f>COUNTIF($EH4:$EL4,3)</f>
        <v/>
      </c>
      <c r="FC4" s="141">
        <f>COUNTIF($EH4:$EL4,4)</f>
        <v/>
      </c>
      <c r="FD4" s="141">
        <f>COUNTIF($EH4:$EL4,5)</f>
        <v/>
      </c>
      <c r="FE4" s="141">
        <f>COUNTIF($EH4:$EL4,6)</f>
        <v/>
      </c>
      <c r="FF4" s="141">
        <f>COUNTIF($EV4:$EW4,1)</f>
        <v/>
      </c>
      <c r="FG4" s="141">
        <f>COUNTIF($EV4:$EW4,2)+$ES4</f>
        <v/>
      </c>
      <c r="FH4" s="141">
        <f>COUNTIF($DZ4:$EC4,"?*")</f>
        <v/>
      </c>
      <c r="FI4" s="141">
        <f>COUNTIF($ED4:$EE4,"?*")+$ES4</f>
        <v/>
      </c>
      <c r="FJ4" s="141">
        <f>SUMPRODUCT($EZ4:$FE4,INDEX($Q$2:$V$8,$DW4,0))</f>
        <v/>
      </c>
      <c r="FK4" s="141">
        <f>$FF4*CEILING($DW4/2,1)+$FG4*$DW4</f>
        <v/>
      </c>
      <c r="FL4" s="141">
        <f>MIN(2*$DW4,$FK4)</f>
        <v/>
      </c>
      <c r="FM4" s="141">
        <f>MIN($FL4,$FJ4)</f>
        <v/>
      </c>
      <c r="FN4" s="141">
        <f>$FL4-$FM4</f>
        <v/>
      </c>
      <c r="FO4" s="141">
        <f>3*$DW4-$FJ4+$FM4</f>
        <v/>
      </c>
      <c r="FP4" s="141">
        <f>MAX(0,$FO4)+$DU4*$DW4</f>
        <v/>
      </c>
      <c r="FQ4" s="141">
        <f>(IF(COUNTIF($DZ4:$EC4,"Salto")&gt;0,1,0)+IF(COUNTIF($DZ4:$EC4,"Queima")&gt;0,1,0))*FLOOR($FP4/2,1)</f>
        <v/>
      </c>
      <c r="FR4" s="141">
        <f>MAX(0,3-SUMPRODUCT($EZ4:$FE4,$Q$2:$V$2)+MIN(2,$FF4*1+$FG4*1,SUMPRODUCT($EZ4:$FE4,$Q$2:$V$2)))+$DU4*1</f>
        <v/>
      </c>
      <c r="FS4" s="141">
        <f>MAX(0,6-SUMPRODUCT($EZ4:$FE4,$Q$3:$V$3)+MIN(4,$FF4*1+$FG4*2,SUMPRODUCT($EZ4:$FE4,$Q$3:$V$3)))+$DU4*2</f>
        <v/>
      </c>
      <c r="FT4" s="141">
        <f>MAX(0,9-SUMPRODUCT($EZ4:$FE4,$Q$4:$V$4)+MIN(6,$FF4*2+$FG4*3,SUMPRODUCT($EZ4:$FE4,$Q$4:$V$4)))+$DU4*3</f>
        <v/>
      </c>
      <c r="FU4" s="141">
        <f>MAX(0,12-SUMPRODUCT($EZ4:$FE4,$Q$5:$V$5)+MIN(8,$FF4*2+$FG4*4,SUMPRODUCT($EZ4:$FE4,$Q$5:$V$5)))+$DU4*4</f>
        <v/>
      </c>
      <c r="FV4" s="141">
        <f>MAX(0,15-SUMPRODUCT($EZ4:$FE4,$Q$6:$V$6)+MIN(10,$FF4*3+$FG4*5,SUMPRODUCT($EZ4:$FE4,$Q$6:$V$6)))+$DU4*5</f>
        <v/>
      </c>
      <c r="FW4" s="141">
        <f>MAX(0,18-SUMPRODUCT($EZ4:$FE4,$Q$7:$V$7)+MIN(12,$FF4*3+$FG4*6,SUMPRODUCT($EZ4:$FE4,$Q$7:$V$7)))+$DU4*6</f>
        <v/>
      </c>
      <c r="FX4" s="141">
        <f>MAX(0,21-SUMPRODUCT($EZ4:$FE4,$Q$8:$V$8)+MIN(14,$FF4*4+$FG4*7,SUMPRODUCT($EZ4:$FE4,$Q$8:$V$8)))+$DU4*7</f>
        <v/>
      </c>
      <c r="FY4" s="141">
        <f>IF($ET4=2,3*$FR4&amp;" de vida temp.",IF($ET4=3,"sem dano",IF($FR4=0,IF($ET4=1,"sem cura","sem dano"),IF($ET4=1,"cura ","")&amp;$FR4&amp;"d8")))</f>
        <v/>
      </c>
      <c r="FZ4" s="141">
        <f>IF($ET4=2,3*$FS4&amp;" de vida temp.",IF($ET4=3,"sem dano",IF($FS4=0,IF($ET4=1,"sem cura","sem dano"),IF($ET4=1,"cura ","")&amp;$FS4&amp;"d8")))</f>
        <v/>
      </c>
      <c r="GA4" s="141">
        <f>IF($ET4=2,3*$FT4&amp;" de vida temp.",IF($ET4=3,"sem dano",IF($FT4=0,IF($ET4=1,"sem cura","sem dano"),IF($ET4=1,"cura ","")&amp;$FT4&amp;"d8")))</f>
        <v/>
      </c>
      <c r="GB4" s="141">
        <f>IF($ET4=2,3*$FU4&amp;" de vida temp.",IF($ET4=3,"sem dano",IF($FU4=0,IF($ET4=1,"sem cura","sem dano"),IF($ET4=1,"cura ","")&amp;$FU4&amp;"d8")))</f>
        <v/>
      </c>
      <c r="GC4" s="141">
        <f>IF($ET4=2,3*$FV4&amp;" de vida temp.",IF($ET4=3,"sem dano",IF($FV4=0,IF($ET4=1,"sem cura","sem dano"),IF($ET4=1,"cura ","")&amp;$FV4&amp;"d8")))</f>
        <v/>
      </c>
      <c r="GD4" s="141">
        <f>IF($ET4=2,3*$FW4&amp;" de vida temp.",IF($ET4=3,"sem dano",IF($FW4=0,IF($ET4=1,"sem cura","sem dano"),IF($ET4=1,"cura ","")&amp;$FW4&amp;"d8")))</f>
        <v/>
      </c>
      <c r="GE4" s="141">
        <f>IF($ET4=2,3*$FX4&amp;" de vida temp.",IF($ET4=3,"sem dano",IF($FX4=0,IF($ET4=1,"sem cura","sem dano"),IF($ET4=1,"cura ","")&amp;$FX4&amp;"d8")))</f>
        <v/>
      </c>
      <c r="GF4" s="141">
        <f>IF($EF4=0,"",TEXTJOIN(" · ",TRUE,IF(AND($DU4=1,$DV4&gt;$HE$9),"O nível "&amp;$HE$2&amp;" dá "&amp;$HE$9&amp;" Liberação Máxima",""),IF($DW4&gt;$HE$4,"Classe "&amp;$DW4&amp;": o nível "&amp;$HE$2&amp;" libera até a "&amp;$HE$4,""),IF($EM4=1,"Família Fechada: a Forma "&amp;$DY4,""),IF($EN4=1,"Família Fechada: "&amp;$DZ4,""),IF($EO4=1,"Família Fechada: "&amp;$EA4,""),IF($EP4=1,"Família Fechada: "&amp;$EB4,""),IF($EQ4=1,"Família Fechada: "&amp;$EC4,""),IF($FH4&gt;INDEX($W$2:$W$8,$DW4),$FH4&amp;" Melhorias: a Classe "&amp;$DW4&amp;" aceita "&amp;INDEX($W$2:$W$8,$DW4),""),IF($FI4&gt;2,$FI4&amp;" Restrições"&amp;IF($ES4=1,", contando a que a Forma "&amp;$DY4&amp;" já traz","")&amp;": o limite é 2",""),IF($FO4&lt;0,"Orçamento estourado: faltam "&amp;(-$FO4)&amp;IF($FO4&lt;-1," pontos"," ponto"),""),IF(IFERROR(VLOOKUP($ED4,$BL$2:$BP$24,4,FALSE),0)+IFERROR(VLOOKUP($EE4,$BL$2:$BP$24,4,FALSE),0)&gt;1,$EX4&amp;" e "&amp;$EY4&amp;" são as duas de frequência",""),IF(AND((COUNTIF($DZ4:$EC4,"Rápido")+COUNTIF($EX4:$EY4,"Rápido"))&gt;0,(COUNTIF($DZ4:$EC4,"Reação")+COUNTIF($EX4:$EY4,"Reação"))&gt;0),"Rápido não entra com Reação",""),IF(AND((COUNTIF($DZ4:$EC4,"Rápido")+COUNTIF($EX4:$EY4,"Rápido"))&gt;0,(COUNTIF($DZ4:$EC4,"Atrasar")+COUNTIF($EX4:$EY4,"Atrasar"))&gt;0),"Rápido não entra com Atrasar",""),IF(AND((COUNTIF($DZ4:$EC4,"Reação")+COUNTIF($EX4:$EY4,"Reação"))&gt;0,(COUNTIF($DZ4:$EC4,"Atrasar")+COUNTIF($EX4:$EY4,"Atrasar"))&gt;0),"Reação não entra com Atrasar",""),IF(AND((COUNTIF($DZ4:$EC4,"Reação")+COUNTIF($EX4:$EY4,"Reação"))&gt;0,(COUNTIF($DZ4:$EC4,"Parado")+COUNTIF($EX4:$EY4,"Parado"))&gt;0),"Reação não entra com Parado",""),IF(AND(COUNTIF($EX4:$EY4,"Corpo a Corpo")&gt;0,$ES4=0,OR($DY4="Cone",$DY4="Linha")),"Corpo a Corpo não entra em "&amp;$DY4,""),IF(AND(COUNTIF($EX4:$EY4,"Corpo a Corpo")&gt;0,$ES4=1),"A Forma "&amp;$DY4&amp;" já traz o Corpo a Corpo",""),IF(AND(COUNTIF($EX4:$EY4,"Tudo ou Nada")&gt;0,$EU4=0),"Tudo ou Nada só entra em feitiço de Teste de Resistência",""),IF(AND(COUNTIF($DZ4:$EC4,"Inescapável")&gt;0,OR($FH4&gt;1,$FI4&gt;0)),"Inescapável não aceita outra peça",""),IF(AND($DU4=1,$DW4&lt;3),"Liberação Máxima é de Classe 3 ou mais",""),IF(AND($DU4=1,OR($ET4=1,$ET4=2)),"Liberação Máxima não serve para cura",""),IF(AND($DU4=1,COUNTIF($DZ4:$EC4,"Inescapável")+COUNTIF($DZ4:$EC4,"Toca a Alma")&gt;0),"Esta peça não entra numa Liberação Máxima",""),IF($FP4+$FQ4&gt;4*$DW4,($FP4+$FQ4)&amp;" dados somando alvos e repetições: o teto da Classe "&amp;$DW4&amp;" é "&amp;4*$DW4,"")))</f>
        <v/>
      </c>
      <c r="GG4" s="141">
        <f>IF($GF4="",0,(LEN($GF4)-LEN(SUBSTITUTE($GF4," · ","")))/3+1)</f>
        <v/>
      </c>
      <c r="GH4" s="141">
        <f>IF($EF4=0,"",TEXTJOIN(" · ",TRUE,IF($FK4&gt;2*$DW4,"A devolução parou no teto de "&amp;2*$DW4,""),IF($FN4&gt;0,"Devolução perdida: "&amp;$FN4&amp;IF($FN4&gt;1," pontos"," ponto")&amp;" sem peça para pagar",""),IF(AND($ER4&gt;0,$FP4=0),"Controle sem dano: uma rodada a mais e CD +2",""),IF(AND($ER4&gt;0,$FP4&gt;0,$FP4&lt;=$DW4),"Controle com um quarto do teto: uma rodada a mais","")))</f>
        <v/>
      </c>
      <c r="GI4" s="141">
        <f>IF($GH4="",0,(LEN($GH4)-LEN(SUBSTITUTE($GH4," · ","")))/3+1)</f>
        <v/>
      </c>
      <c r="GJ4" s="141">
        <f>IF($EF4=0,IF($FH4+$FI4-$ES4&gt;0,"Dê um nome",""),IF($GG4&gt;0,"⚠ "&amp;$GG4&amp;IF($GG4&gt;1," erros"," erro"),IF($GI4&gt;0,"! "&amp;$GI4&amp;IF($GI4&gt;1," avisos"," aviso"),"Na regra")))</f>
        <v/>
      </c>
      <c r="GK4" s="141">
        <f>IF($EF4=0,"",IF($GG4+$GI4=0,"Dentro das regras que a ficha confere",$GF4&amp;IF(AND($GG4&gt;0,$GI4&gt;0)," · ","")&amp;$GH4))</f>
        <v/>
      </c>
      <c r="GL4" s="141">
        <f>IF($EF4=0,"",IF($DU4=1,CEILING(4.5*$DW4,1),3*$DW4)&amp;" PE")</f>
        <v/>
      </c>
      <c r="GM4" s="141">
        <f>IF($EF4=0,"",IF($DU4=1,"Rodada inteira",IF(COUNTIF($EX4:$EY4,"Atrasar")&gt;0,IF(COUNTIF($EX4:$EY4,"Carregar")&gt;0,"Rodada +1 turno","Rodada inteira"),IF(COUNTIF($DZ4:$EC4,"Rápido")&gt;0,"Bônus",IF(COUNTIF($DZ4:$EC4,"Reação")&gt;0,"Reação","Padrão"))&amp;IF(COUNTIF($EX4:$EY4,"Carregar")&gt;0," +1 turno",""))))</f>
        <v/>
      </c>
      <c r="GN4" s="141">
        <f>IF(OR($EF4=0,$EG4=0),"",IF(COUNTIF($DZ4:$EC4,"Inescapável")&gt;0,"Automático",IF(COUNTIF($DZ4:$EC4,"Certeiro")&gt;0,"TR para metade",INDEX($AF$2:$AF$11,$EG4))))</f>
        <v/>
      </c>
      <c r="GO4" s="141">
        <f>IF(OR($EF4=0,$EG4=0),"",IF(OR($ET4&gt;=2,$FP4=0),UPPER(LEFT(INDEX($FY4:$GE4,1,$DW4),1))&amp;MID(INDEX($FY4:$GE4,1,$DW4),2,99),UPPER(LEFT(INDEX($FY4:$GE4,1,$DW4),1))&amp;MID(INDEX($FY4:$GE4,1,$DW4),2,99)&amp;" = "&amp;FLOOR($FP4*4.5,1)&amp;IF($FQ4&gt;0," · +"&amp;$FQ4&amp;"d8","")))</f>
        <v/>
      </c>
      <c r="GP4" s="141">
        <f>COUNTIF($DZ4:$EC4,"Longe")+3*COUNTIF($DZ4:$EC4,"Muito Longe")</f>
        <v/>
      </c>
      <c r="GQ4" s="141">
        <f>COUNTIF($DZ4:$EC4,"Maior")+3*COUNTIF($DZ4:$EC4,"Muito Maior")</f>
        <v/>
      </c>
      <c r="GR4" s="141">
        <f>IF($EG4=0,0,CHOOSE(1+INDEX($AH$2:$AH$11,$EG4),0,$GP4,$GQ4,$GP4+$GQ4))</f>
        <v/>
      </c>
      <c r="GS4" s="141">
        <f>IF($EG4=0,0,CHOOSE(1+INDEX($AI$2:$AI$11,$EG4),0,$GP4,$GQ4,$GP4+$GQ4))</f>
        <v/>
      </c>
      <c r="GT4" s="141">
        <f>IF(OR($EF4=0,$EG4=0),"",INDEX($AP$2:$AU$31,($EG4-1)*3+IF($DW4&gt;=6,3,2),1+MIN(5,$GR4))&amp;INDEX($AV$2:$BA$31,($EG4-1)*3+IF($DW4&gt;=6,3,2),1+MIN(5,$GS4))&amp;IF(INDEX($AJ$2:$AJ$11,$EG4)=1,IF(COUNTIF($DZ4:$EC4,"Mais Um")&gt;0," · +"&amp;COUNTIF($DZ4:$EC4,"Mais Um")&amp;IF(COUNTIF($DZ4:$EC4,"Mais Um")&gt;1," alvos"," alvo"),"")&amp;IF(COUNTIF($DZ4:$EC4,"Rajada")&gt;0," · "&amp;($DW4+1)&amp;" tiros",""),""))</f>
        <v/>
      </c>
      <c r="GU4" s="141">
        <f>IF($EF4=0,"",3*$DW4&amp;" − "&amp;$FJ4&amp;" + "&amp;$FM4&amp;IF($DU4=1," + "&amp;$DW4,"")&amp;" = "&amp;$FP4&amp;"d8 · teto "&amp;4*$DW4&amp;IF($ES4=1," · a Forma devolve "&amp;$DW4,"")&amp;IF($FN4&gt;0," · perde "&amp;$FN4,""))</f>
        <v/>
      </c>
      <c r="GV4" s="141">
        <f>IF($EF4=0,"",IF($DW4&gt;=$HE$4,"Já está na maior Classe que o nível liberou",TEXTJOIN(" · ",TRUE,IF(AND(2&gt;$DW4,2&lt;=$HE$4),"2 → "&amp;$FZ4&amp;", "&amp;IF($DU4=1,9,6)&amp;" PE",""),IF(AND(3&gt;$DW4,3&lt;=$HE$4),"3 → "&amp;$GA4&amp;", "&amp;IF($DU4=1,14,9)&amp;" PE",""),IF(AND(4&gt;$DW4,4&lt;=$HE$4),"4 → "&amp;$GB4&amp;", "&amp;IF($DU4=1,18,12)&amp;" PE",""),IF(AND(5&gt;$DW4,5&lt;=$HE$4),"5 → "&amp;$GC4&amp;", "&amp;IF($DU4=1,23,15)&amp;" PE",""),IF(AND(6&gt;$DW4,6&lt;=$HE$4),"6 → "&amp;$GD4&amp;", "&amp;IF($DU4=1,27,18)&amp;" PE",""),IF(AND(7&gt;$DW4,7&lt;=$HE$4),"7 → "&amp;$GE4&amp;", "&amp;IF($DU4=1,32,21)&amp;" PE",""))))</f>
        <v/>
      </c>
      <c r="GW4" s="141">
        <f>IF(OR($EF4=0,$EI4=0),"","−"&amp;INDEX($Q$2:$V$8,$DW4,$EI4)&amp;" · "&amp;CHOOSE($EI4,"Leve","Média","Pesada","Leve · Livre","Média · Livre","Pesada · Livre"))</f>
        <v/>
      </c>
      <c r="GX4" s="141">
        <f>IF(OR($EF4=0,$EJ4=0),"","−"&amp;INDEX($Q$2:$V$8,$DW4,$EJ4)&amp;" · "&amp;CHOOSE($EJ4,"Leve","Média","Pesada","Leve · Livre","Média · Livre","Pesada · Livre"))</f>
        <v/>
      </c>
      <c r="GY4" s="141">
        <f>IF(OR($EF4=0,$EK4=0),"","−"&amp;INDEX($Q$2:$V$8,$DW4,$EK4)&amp;" · "&amp;CHOOSE($EK4,"Leve","Média","Pesada","Leve · Livre","Média · Livre","Pesada · Livre"))</f>
        <v/>
      </c>
      <c r="GZ4" s="141">
        <f>IF(OR($EF4=0,$EL4=0),"","−"&amp;INDEX($Q$2:$V$8,$DW4,$EL4)&amp;" · "&amp;CHOOSE($EL4,"Leve","Média","Pesada","Leve · Livre","Média · Livre","Pesada · Livre"))</f>
        <v/>
      </c>
      <c r="HA4" s="141">
        <f>IF(OR($EF4=0,$ED4=""),"","+"&amp;IF($EV4=1,CEILING($DW4/2,1),$DW4))</f>
        <v/>
      </c>
      <c r="HB4" s="141">
        <f>IF(OR($EF4=0,$EE4=""),"","+"&amp;IF($EW4=1,CEILING($DW4/2,1),$DW4))</f>
        <v/>
      </c>
      <c r="HD4" s="114" t="inlineStr">
        <is>
          <t>maior classe</t>
        </is>
      </c>
      <c r="HE4" s="141">
        <f>MAX(1,MIN(7,N(FICHA!$Z$57)))</f>
        <v/>
      </c>
      <c r="HG4" s="114" t="inlineStr">
        <is>
          <t>Passiva 3</t>
        </is>
      </c>
      <c r="HH4" s="141">
        <f>'FICHA AMALDIÇOADA'!$P$379&amp;""</f>
        <v/>
      </c>
      <c r="HI4" s="141">
        <f>IFERROR(VLOOKUP($HH4,$BR$2:$BW$24,2,FALSE),0)</f>
        <v/>
      </c>
      <c r="HJ4" s="141">
        <f>IFERROR(VLOOKUP($HI4,$BY$2:$BZ$4,2,FALSE),0)</f>
        <v/>
      </c>
      <c r="HK4" s="141">
        <f>IFERROR(VLOOKUP($HH4,$BR$2:$BW$24,3,FALSE),"")</f>
        <v/>
      </c>
      <c r="HL4" s="141">
        <f>IF($HI4=0,"",IF($HJ4&gt;$HE$2,"⚠ Nível "&amp;$HJ4,"CP "&amp;$HI4))</f>
        <v/>
      </c>
      <c r="HM4" s="141">
        <f>IF($HI4=0,"",$HI4&amp;" esp.")</f>
        <v/>
      </c>
      <c r="HO4" s="114" t="inlineStr">
        <is>
          <t>Aptidão 3</t>
        </is>
      </c>
      <c r="HP4" s="141">
        <f>'FICHA AMALDIÇOADA'!$P$430&amp;""</f>
        <v/>
      </c>
      <c r="HQ4" s="141">
        <f>IF($HP4="","","Requisito: "&amp;IFERROR(VLOOKUP($HP4,$CB$2:$CJ$32,2,FALSE),""))</f>
        <v/>
      </c>
      <c r="HR4" s="141">
        <f>IF($HP4="","",IFERROR(IF(ISNUMBER(VLOOKUP($HP4,$CB$2:$CJ$32,3,FALSE)),"CP "&amp;VLOOKUP($HP4,$CB$2:$CJ$32,3,FALSE),VLOOKUP($HP4,$CB$2:$CJ$32,3,FALSE)),""))</f>
        <v/>
      </c>
      <c r="HS4" s="141">
        <f>IF($HP4="","",IFERROR(VLOOKUP($HP4,$CB$2:$CJ$32,4,FALSE),""))</f>
        <v/>
      </c>
      <c r="HT4" s="141">
        <f>IF($HP4="","",IFERROR(VLOOKUP($HP4,$CB$2:$CJ$32,5,FALSE),""))</f>
        <v/>
      </c>
      <c r="HV4" s="114" t="inlineStr">
        <is>
          <t>Classe 0 · 3</t>
        </is>
      </c>
      <c r="HW4" s="141">
        <f>'FICHA AMALDIÇOADA'!$F$312&amp;""</f>
        <v/>
      </c>
      <c r="HX4" s="141">
        <f>'FICHA AMALDIÇOADA'!$J$312&amp;""</f>
        <v/>
      </c>
      <c r="HY4" s="141">
        <f>'FICHA AMALDIÇOADA'!$L$312&amp;""</f>
        <v/>
      </c>
      <c r="HZ4" s="141">
        <f>IFERROR(MATCH($HW4,$Y$2:$Y$11,0),0)</f>
        <v/>
      </c>
      <c r="IA4" s="141">
        <f>$HE$11-IF($HX4&lt;&gt;"",1,0)+IF(AND($HX4&lt;&gt;"",$HY4&lt;&gt;""),1,0)</f>
        <v/>
      </c>
      <c r="IB4" s="141">
        <f>IF(3&gt;$HE$10,"Nível 5",IF($HZ4=0,"",IF(INDEX($AE$2:$AE$11,$HZ4)&gt;=2,"—",$IA4&amp;"d8 = "&amp;FLOOR($IA4*4.5,1))))</f>
        <v/>
      </c>
      <c r="IC4" s="141">
        <f>IF(OR(3&gt;$HE$10,$HZ4=0),"",INDEX($AP$2:$AU$31,($HZ4-1)*3+1,1+IF(OR(AND($HX4="Longe",INDEX($AH$2:$AH$11,$HZ4)&lt;&gt;2),AND($HX4="Maior",INDEX($AH$2:$AH$11,$HZ4)&gt;=2)),1,0))&amp;INDEX($AV$2:$BA$31,($HZ4-1)*3+1,1+IF(AND($HX4="Longe",INDEX($AI$2:$AI$11,$HZ4)=1),1,0)))</f>
        <v/>
      </c>
      <c r="IE4" s="141">
        <f>INDEX($D$3:$G$3,1,$A$2)</f>
        <v/>
      </c>
      <c r="IF4" s="141">
        <f>ADDRESS(ROW('FICHA AMALDIÇOADA'!F7),COLUMN('FICHA AMALDIÇOADA'!F7),4)</f>
        <v/>
      </c>
      <c r="IG4" s="141">
        <f>ADDRESS(ROW('FICHA AMALDIÇOADA'!D48),COLUMN('FICHA AMALDIÇOADA'!D48),4)</f>
        <v/>
      </c>
      <c r="IH4" s="141">
        <f>ADDRESS(ROW(DADOS_AM!IE4),COLUMN(DADOS_AM!IE4),4)</f>
        <v/>
      </c>
      <c r="IJ4" s="114" t="inlineStr">
        <is>
          <t>R12</t>
        </is>
      </c>
      <c r="IK4" s="141">
        <f>IF(DADOS_AM!$HE$41=1,IF(DADOS_AM!$HE$48=0,"—",IF(DADOS_AM!$HE$48=1,(8+DADOS_AM!$HE$3+IF(DADOS_AM!$HE$42&lt;&gt;"",DADOS_AM!$HE$45,IF(DADOS_AM!$HE$43&lt;&gt;"",DADOS_AM!$HE$46,DADOS_AM!$HE$47))+IFERROR(VALUE(FICHA!$L$47&amp;""),0)),"Por grupo")),FICHA!$D$47)</f>
        <v/>
      </c>
    </row>
    <row r="5">
      <c r="C5" s="114" t="inlineStr">
        <is>
          <t>técnica máxima</t>
        </is>
      </c>
      <c r="D5" s="114" t="inlineStr">
        <is>
          <t>Técnica Máxima</t>
        </is>
      </c>
      <c r="E5" s="114" t="inlineStr">
        <is>
          <t>Auge</t>
        </is>
      </c>
      <c r="F5" s="114" t="inlineStr">
        <is>
          <t>Ōgi</t>
        </is>
      </c>
      <c r="G5" s="114" t="inlineStr">
        <is>
          <t>Ōgi</t>
        </is>
      </c>
      <c r="I5" s="114" t="inlineStr">
        <is>
          <t>Controle</t>
        </is>
      </c>
      <c r="J5" s="141">
        <f>'FICHA AMALDIÇOADA'!$G$37&amp;""</f>
        <v/>
      </c>
      <c r="K5" s="141">
        <f>IF($J5="Livre",1,0)</f>
        <v/>
      </c>
      <c r="L5" s="141">
        <f>IF($J5="Fechada",1,0)</f>
        <v/>
      </c>
      <c r="P5" s="141" t="n">
        <v>4</v>
      </c>
      <c r="Q5" s="141" t="n">
        <v>2</v>
      </c>
      <c r="R5" s="141" t="n">
        <v>4</v>
      </c>
      <c r="S5" s="141" t="n">
        <v>6</v>
      </c>
      <c r="T5" s="141" t="n">
        <v>1</v>
      </c>
      <c r="U5" s="141" t="n">
        <v>2</v>
      </c>
      <c r="V5" s="141" t="n">
        <v>4</v>
      </c>
      <c r="W5" s="141" t="n">
        <v>3</v>
      </c>
      <c r="Y5" s="114" t="inlineStr">
        <is>
          <t>Aura</t>
        </is>
      </c>
      <c r="Z5" s="114" t="inlineStr">
        <is>
          <t>Área</t>
        </is>
      </c>
      <c r="AA5" s="141" t="n">
        <v>1</v>
      </c>
      <c r="AB5" s="141">
        <f>IF($AA5=0,0,$AA5+3*IFERROR(VLOOKUP($Z5,$I$2:$L$10,3,FALSE),0))</f>
        <v/>
      </c>
      <c r="AC5" s="141">
        <f>IFERROR(VLOOKUP($Z5,$I$2:$L$10,4,FALSE),0)</f>
        <v/>
      </c>
      <c r="AD5" s="141" t="n">
        <v>1</v>
      </c>
      <c r="AE5" s="141" t="n">
        <v>0</v>
      </c>
      <c r="AF5" s="114" t="inlineStr">
        <is>
          <t>TR, metade</t>
        </is>
      </c>
      <c r="AG5" s="141" t="n">
        <v>1</v>
      </c>
      <c r="AH5" s="141" t="n">
        <v>2</v>
      </c>
      <c r="AI5" s="141" t="n">
        <v>0</v>
      </c>
      <c r="AJ5" s="141" t="n">
        <v>0</v>
      </c>
      <c r="AK5" s="141" t="n">
        <v>1</v>
      </c>
      <c r="AL5" s="141">
        <f>IF($AC5=1,"",$Y5)</f>
        <v/>
      </c>
      <c r="AM5" s="141">
        <f>IF(AND($AK5=1,$AC5=0),$Y5,"")</f>
        <v/>
      </c>
      <c r="AO5" s="114" t="inlineStr">
        <is>
          <t>Toque · classe 0</t>
        </is>
      </c>
      <c r="AP5" s="114" t="inlineStr">
        <is>
          <t>1,5 m, um alvo</t>
        </is>
      </c>
      <c r="AQ5" s="114" t="inlineStr">
        <is>
          <t>1,5 m, um alvo</t>
        </is>
      </c>
      <c r="AR5" s="114" t="inlineStr">
        <is>
          <t>1,5 m, um alvo</t>
        </is>
      </c>
      <c r="AS5" s="114" t="inlineStr">
        <is>
          <t>1,5 m, um alvo</t>
        </is>
      </c>
      <c r="AT5" s="114" t="inlineStr">
        <is>
          <t>1,5 m, um alvo</t>
        </is>
      </c>
      <c r="AU5" s="114" t="inlineStr">
        <is>
          <t>1,5 m, um alvo</t>
        </is>
      </c>
      <c r="AV5" s="114" t="inlineStr"/>
      <c r="AW5" s="114" t="inlineStr"/>
      <c r="AX5" s="114" t="inlineStr"/>
      <c r="AY5" s="114" t="inlineStr"/>
      <c r="AZ5" s="114" t="inlineStr"/>
      <c r="BA5" s="114" t="inlineStr"/>
      <c r="BC5" s="114" t="inlineStr">
        <is>
          <t>Passo</t>
        </is>
      </c>
      <c r="BD5" s="114" t="inlineStr">
        <is>
          <t>Alcance</t>
        </is>
      </c>
      <c r="BE5" s="141" t="n">
        <v>1</v>
      </c>
      <c r="BF5" s="141">
        <f>$BE5+3*IFERROR(VLOOKUP($BD5,$I$2:$L$10,3,FALSE),0)</f>
        <v/>
      </c>
      <c r="BG5" s="141">
        <f>IFERROR(VLOOKUP($BD5,$I$2:$L$10,4,FALSE),0)</f>
        <v/>
      </c>
      <c r="BH5" s="141" t="n">
        <v>0</v>
      </c>
      <c r="BI5" s="141">
        <f>IF($BG5=1,"",$BC5)</f>
        <v/>
      </c>
      <c r="BJ5" s="141">
        <f>IF(AND($BE5=1,$BG5=0),$BC5,"")</f>
        <v/>
      </c>
      <c r="BL5" s="114" t="inlineStr">
        <is>
          <t>Gesto</t>
        </is>
      </c>
      <c r="BM5" s="114" t="inlineStr">
        <is>
          <t>Gesto</t>
        </is>
      </c>
      <c r="BN5" s="141" t="n">
        <v>1</v>
      </c>
      <c r="BO5" s="141" t="n">
        <v>0</v>
      </c>
      <c r="BP5" s="114" t="inlineStr">
        <is>
          <t>Gesto</t>
        </is>
      </c>
      <c r="BR5" s="114" t="inlineStr">
        <is>
          <t>Mão Firme</t>
        </is>
      </c>
      <c r="BS5" s="141" t="n">
        <v>1</v>
      </c>
      <c r="BT5" s="114" t="inlineStr">
        <is>
          <t>Você não perde concentração nem carga por dano de 10 ou menos.</t>
        </is>
      </c>
      <c r="BU5" s="141" t="n">
        <v>1</v>
      </c>
      <c r="BV5" s="141" t="n">
        <v>0</v>
      </c>
      <c r="BW5" s="141">
        <f>IF(OR(AND($A$2&lt;=2,$BU5=1),AND($A$2&gt;=2,$BV5=1)),$BR5,"")</f>
        <v/>
      </c>
      <c r="CB5" s="114" t="inlineStr">
        <is>
          <t>Energia Reversa</t>
        </is>
      </c>
      <c r="CC5" s="114" t="inlineStr">
        <is>
          <t>refino 7 e nível 14</t>
        </is>
      </c>
      <c r="CD5" s="141" t="n">
        <v>3</v>
      </c>
      <c r="CE5" s="114" t="inlineStr">
        <is>
          <t>—</t>
        </is>
      </c>
      <c r="CF5" s="114" t="inlineStr">
        <is>
          <t>Ação padrão. Gaste até a sua maior Classe de PE e recupere 1d8 de vida por PE gasto, em você.</t>
        </is>
      </c>
      <c r="CG5" s="141">
        <f>IF($CJ5=1,"",IF($A$2=4,IF($CH5=1,$CB5,""),IF(OR($CH5=1,AND($A$2=3,$CI5=1)),"",$CB5)))</f>
        <v/>
      </c>
      <c r="CH5" s="141" t="n">
        <v>0</v>
      </c>
      <c r="CI5" s="141" t="n">
        <v>0</v>
      </c>
      <c r="CJ5" s="141" t="n">
        <v>0</v>
      </c>
      <c r="CR5" s="114" t="inlineStr">
        <is>
          <t>Manopla</t>
        </is>
      </c>
      <c r="CS5" s="141" t="n">
        <v>1</v>
      </c>
      <c r="CT5" s="141" t="n">
        <v>0</v>
      </c>
      <c r="CU5" s="141">
        <f>IF(AND($A$2&gt;=3,'FICHA AMALDIÇOADA'!$J$16&amp;""="Três grupos de arma"),$CR5,"")</f>
        <v/>
      </c>
      <c r="CW5" s="141" t="n">
        <v>17</v>
      </c>
      <c r="CX5" s="141" t="n">
        <v>5</v>
      </c>
      <c r="CY5" s="141" t="n">
        <v>5</v>
      </c>
      <c r="DC5" s="141" t="n">
        <v>6</v>
      </c>
      <c r="DO5" s="114" t="inlineStr">
        <is>
          <t>De restrição</t>
        </is>
      </c>
      <c r="DP5" s="114" t="inlineStr">
        <is>
          <t>na criação, junto da Origem ou da técnica</t>
        </is>
      </c>
      <c r="DR5" s="114" t="inlineStr">
        <is>
          <t>Um estilo</t>
        </is>
      </c>
      <c r="DT5" s="114" t="inlineStr">
        <is>
          <t>Feitiço 4</t>
        </is>
      </c>
      <c r="DU5" s="141" t="n">
        <v>0</v>
      </c>
      <c r="DV5" s="141" t="n">
        <v>4</v>
      </c>
      <c r="DW5" s="141">
        <f>MAX(1,MIN(7,N('FICHA AMALDIÇOADA'!$D$72)))</f>
        <v/>
      </c>
      <c r="DX5" s="141">
        <f>'FICHA AMALDIÇOADA'!$E$72&amp;""</f>
        <v/>
      </c>
      <c r="DY5" s="141">
        <f>'FICHA AMALDIÇOADA'!$D$79&amp;""</f>
        <v/>
      </c>
      <c r="DZ5" s="141">
        <f>'FICHA AMALDIÇOADA'!$E$81&amp;""</f>
        <v/>
      </c>
      <c r="EA5" s="141">
        <f>'FICHA AMALDIÇOADA'!$E$82&amp;""</f>
        <v/>
      </c>
      <c r="EB5" s="141">
        <f>'FICHA AMALDIÇOADA'!$E$83&amp;""</f>
        <v/>
      </c>
      <c r="EC5" s="141">
        <f>'FICHA AMALDIÇOADA'!$E$84&amp;""</f>
        <v/>
      </c>
      <c r="ED5" s="141">
        <f>'FICHA AMALDIÇOADA'!$E$85&amp;""</f>
        <v/>
      </c>
      <c r="EE5" s="141">
        <f>'FICHA AMALDIÇOADA'!$E$86&amp;""</f>
        <v/>
      </c>
      <c r="EF5" s="141">
        <f>IF($DX5&lt;&gt;"",1,0)</f>
        <v/>
      </c>
      <c r="EG5" s="141">
        <f>IFERROR(MATCH($DY5,$Y$2:$Y$11,0),0)</f>
        <v/>
      </c>
      <c r="EH5" s="141">
        <f>IF($EG5=0,0,INDEX($AB$2:$AB$11,$EG5))</f>
        <v/>
      </c>
      <c r="EI5" s="141">
        <f>IFERROR(VLOOKUP($DZ5,$BC$2:$BJ$84,4,FALSE),0)</f>
        <v/>
      </c>
      <c r="EJ5" s="141">
        <f>IFERROR(VLOOKUP($EA5,$BC$2:$BJ$84,4,FALSE),0)</f>
        <v/>
      </c>
      <c r="EK5" s="141">
        <f>IFERROR(VLOOKUP($EB5,$BC$2:$BJ$84,4,FALSE),0)</f>
        <v/>
      </c>
      <c r="EL5" s="141">
        <f>IFERROR(VLOOKUP($EC5,$BC$2:$BJ$84,4,FALSE),0)</f>
        <v/>
      </c>
      <c r="EM5" s="141">
        <f>IF($EG5=0,0,INDEX($AC$2:$AC$11,$EG5))</f>
        <v/>
      </c>
      <c r="EN5" s="141">
        <f>IFERROR(VLOOKUP($DZ5,$BC$2:$BJ$84,5,FALSE),0)</f>
        <v/>
      </c>
      <c r="EO5" s="141">
        <f>IFERROR(VLOOKUP($EA5,$BC$2:$BJ$84,5,FALSE),0)</f>
        <v/>
      </c>
      <c r="EP5" s="141">
        <f>IFERROR(VLOOKUP($EB5,$BC$2:$BJ$84,5,FALSE),0)</f>
        <v/>
      </c>
      <c r="EQ5" s="141">
        <f>IFERROR(VLOOKUP($EC5,$BC$2:$BJ$84,5,FALSE),0)</f>
        <v/>
      </c>
      <c r="ER5" s="141">
        <f>IFERROR(VLOOKUP($DZ5,$BC$2:$BJ$84,6,FALSE),0)+IFERROR(VLOOKUP($EA5,$BC$2:$BJ$84,6,FALSE),0)+IFERROR(VLOOKUP($EB5,$BC$2:$BJ$84,6,FALSE),0)+IFERROR(VLOOKUP($EC5,$BC$2:$BJ$84,6,FALSE),0)</f>
        <v/>
      </c>
      <c r="ES5" s="141">
        <f>IF($EG5=0,0,INDEX($AD$2:$AD$11,$EG5))</f>
        <v/>
      </c>
      <c r="ET5" s="141">
        <f>IF($EG5=0,0,INDEX($AE$2:$AE$11,$EG5))</f>
        <v/>
      </c>
      <c r="EU5" s="141">
        <f>IF($EG5=0,0,INDEX($AG$2:$AG$11,$EG5))</f>
        <v/>
      </c>
      <c r="EV5" s="141">
        <f>IFERROR(VLOOKUP($ED5,$BL$2:$BP$24,3,FALSE),0)</f>
        <v/>
      </c>
      <c r="EW5" s="141">
        <f>IFERROR(VLOOKUP($EE5,$BL$2:$BP$24,3,FALSE),0)</f>
        <v/>
      </c>
      <c r="EX5" s="141">
        <f>IFERROR(VLOOKUP($ED5,$BL$2:$BP$24,2,FALSE),"")</f>
        <v/>
      </c>
      <c r="EY5" s="141">
        <f>IFERROR(VLOOKUP($EE5,$BL$2:$BP$24,2,FALSE),"")</f>
        <v/>
      </c>
      <c r="EZ5" s="141">
        <f>COUNTIF($EH5:$EL5,1)</f>
        <v/>
      </c>
      <c r="FA5" s="141">
        <f>COUNTIF($EH5:$EL5,2)</f>
        <v/>
      </c>
      <c r="FB5" s="141">
        <f>COUNTIF($EH5:$EL5,3)</f>
        <v/>
      </c>
      <c r="FC5" s="141">
        <f>COUNTIF($EH5:$EL5,4)</f>
        <v/>
      </c>
      <c r="FD5" s="141">
        <f>COUNTIF($EH5:$EL5,5)</f>
        <v/>
      </c>
      <c r="FE5" s="141">
        <f>COUNTIF($EH5:$EL5,6)</f>
        <v/>
      </c>
      <c r="FF5" s="141">
        <f>COUNTIF($EV5:$EW5,1)</f>
        <v/>
      </c>
      <c r="FG5" s="141">
        <f>COUNTIF($EV5:$EW5,2)+$ES5</f>
        <v/>
      </c>
      <c r="FH5" s="141">
        <f>COUNTIF($DZ5:$EC5,"?*")</f>
        <v/>
      </c>
      <c r="FI5" s="141">
        <f>COUNTIF($ED5:$EE5,"?*")+$ES5</f>
        <v/>
      </c>
      <c r="FJ5" s="141">
        <f>SUMPRODUCT($EZ5:$FE5,INDEX($Q$2:$V$8,$DW5,0))</f>
        <v/>
      </c>
      <c r="FK5" s="141">
        <f>$FF5*CEILING($DW5/2,1)+$FG5*$DW5</f>
        <v/>
      </c>
      <c r="FL5" s="141">
        <f>MIN(2*$DW5,$FK5)</f>
        <v/>
      </c>
      <c r="FM5" s="141">
        <f>MIN($FL5,$FJ5)</f>
        <v/>
      </c>
      <c r="FN5" s="141">
        <f>$FL5-$FM5</f>
        <v/>
      </c>
      <c r="FO5" s="141">
        <f>3*$DW5-$FJ5+$FM5</f>
        <v/>
      </c>
      <c r="FP5" s="141">
        <f>MAX(0,$FO5)+$DU5*$DW5</f>
        <v/>
      </c>
      <c r="FQ5" s="141">
        <f>(IF(COUNTIF($DZ5:$EC5,"Salto")&gt;0,1,0)+IF(COUNTIF($DZ5:$EC5,"Queima")&gt;0,1,0))*FLOOR($FP5/2,1)</f>
        <v/>
      </c>
      <c r="FR5" s="141">
        <f>MAX(0,3-SUMPRODUCT($EZ5:$FE5,$Q$2:$V$2)+MIN(2,$FF5*1+$FG5*1,SUMPRODUCT($EZ5:$FE5,$Q$2:$V$2)))+$DU5*1</f>
        <v/>
      </c>
      <c r="FS5" s="141">
        <f>MAX(0,6-SUMPRODUCT($EZ5:$FE5,$Q$3:$V$3)+MIN(4,$FF5*1+$FG5*2,SUMPRODUCT($EZ5:$FE5,$Q$3:$V$3)))+$DU5*2</f>
        <v/>
      </c>
      <c r="FT5" s="141">
        <f>MAX(0,9-SUMPRODUCT($EZ5:$FE5,$Q$4:$V$4)+MIN(6,$FF5*2+$FG5*3,SUMPRODUCT($EZ5:$FE5,$Q$4:$V$4)))+$DU5*3</f>
        <v/>
      </c>
      <c r="FU5" s="141">
        <f>MAX(0,12-SUMPRODUCT($EZ5:$FE5,$Q$5:$V$5)+MIN(8,$FF5*2+$FG5*4,SUMPRODUCT($EZ5:$FE5,$Q$5:$V$5)))+$DU5*4</f>
        <v/>
      </c>
      <c r="FV5" s="141">
        <f>MAX(0,15-SUMPRODUCT($EZ5:$FE5,$Q$6:$V$6)+MIN(10,$FF5*3+$FG5*5,SUMPRODUCT($EZ5:$FE5,$Q$6:$V$6)))+$DU5*5</f>
        <v/>
      </c>
      <c r="FW5" s="141">
        <f>MAX(0,18-SUMPRODUCT($EZ5:$FE5,$Q$7:$V$7)+MIN(12,$FF5*3+$FG5*6,SUMPRODUCT($EZ5:$FE5,$Q$7:$V$7)))+$DU5*6</f>
        <v/>
      </c>
      <c r="FX5" s="141">
        <f>MAX(0,21-SUMPRODUCT($EZ5:$FE5,$Q$8:$V$8)+MIN(14,$FF5*4+$FG5*7,SUMPRODUCT($EZ5:$FE5,$Q$8:$V$8)))+$DU5*7</f>
        <v/>
      </c>
      <c r="FY5" s="141">
        <f>IF($ET5=2,3*$FR5&amp;" de vida temp.",IF($ET5=3,"sem dano",IF($FR5=0,IF($ET5=1,"sem cura","sem dano"),IF($ET5=1,"cura ","")&amp;$FR5&amp;"d8")))</f>
        <v/>
      </c>
      <c r="FZ5" s="141">
        <f>IF($ET5=2,3*$FS5&amp;" de vida temp.",IF($ET5=3,"sem dano",IF($FS5=0,IF($ET5=1,"sem cura","sem dano"),IF($ET5=1,"cura ","")&amp;$FS5&amp;"d8")))</f>
        <v/>
      </c>
      <c r="GA5" s="141">
        <f>IF($ET5=2,3*$FT5&amp;" de vida temp.",IF($ET5=3,"sem dano",IF($FT5=0,IF($ET5=1,"sem cura","sem dano"),IF($ET5=1,"cura ","")&amp;$FT5&amp;"d8")))</f>
        <v/>
      </c>
      <c r="GB5" s="141">
        <f>IF($ET5=2,3*$FU5&amp;" de vida temp.",IF($ET5=3,"sem dano",IF($FU5=0,IF($ET5=1,"sem cura","sem dano"),IF($ET5=1,"cura ","")&amp;$FU5&amp;"d8")))</f>
        <v/>
      </c>
      <c r="GC5" s="141">
        <f>IF($ET5=2,3*$FV5&amp;" de vida temp.",IF($ET5=3,"sem dano",IF($FV5=0,IF($ET5=1,"sem cura","sem dano"),IF($ET5=1,"cura ","")&amp;$FV5&amp;"d8")))</f>
        <v/>
      </c>
      <c r="GD5" s="141">
        <f>IF($ET5=2,3*$FW5&amp;" de vida temp.",IF($ET5=3,"sem dano",IF($FW5=0,IF($ET5=1,"sem cura","sem dano"),IF($ET5=1,"cura ","")&amp;$FW5&amp;"d8")))</f>
        <v/>
      </c>
      <c r="GE5" s="141">
        <f>IF($ET5=2,3*$FX5&amp;" de vida temp.",IF($ET5=3,"sem dano",IF($FX5=0,IF($ET5=1,"sem cura","sem dano"),IF($ET5=1,"cura ","")&amp;$FX5&amp;"d8")))</f>
        <v/>
      </c>
      <c r="GF5" s="141">
        <f>IF($EF5=0,"",TEXTJOIN(" · ",TRUE,IF(AND($DU5=1,$DV5&gt;$HE$9),"O nível "&amp;$HE$2&amp;" dá "&amp;$HE$9&amp;" Liberação Máxima",""),IF($DW5&gt;$HE$4,"Classe "&amp;$DW5&amp;": o nível "&amp;$HE$2&amp;" libera até a "&amp;$HE$4,""),IF($EM5=1,"Família Fechada: a Forma "&amp;$DY5,""),IF($EN5=1,"Família Fechada: "&amp;$DZ5,""),IF($EO5=1,"Família Fechada: "&amp;$EA5,""),IF($EP5=1,"Família Fechada: "&amp;$EB5,""),IF($EQ5=1,"Família Fechada: "&amp;$EC5,""),IF($FH5&gt;INDEX($W$2:$W$8,$DW5),$FH5&amp;" Melhorias: a Classe "&amp;$DW5&amp;" aceita "&amp;INDEX($W$2:$W$8,$DW5),""),IF($FI5&gt;2,$FI5&amp;" Restrições"&amp;IF($ES5=1,", contando a que a Forma "&amp;$DY5&amp;" já traz","")&amp;": o limite é 2",""),IF($FO5&lt;0,"Orçamento estourado: faltam "&amp;(-$FO5)&amp;IF($FO5&lt;-1," pontos"," ponto"),""),IF(IFERROR(VLOOKUP($ED5,$BL$2:$BP$24,4,FALSE),0)+IFERROR(VLOOKUP($EE5,$BL$2:$BP$24,4,FALSE),0)&gt;1,$EX5&amp;" e "&amp;$EY5&amp;" são as duas de frequência",""),IF(AND((COUNTIF($DZ5:$EC5,"Rápido")+COUNTIF($EX5:$EY5,"Rápido"))&gt;0,(COUNTIF($DZ5:$EC5,"Reação")+COUNTIF($EX5:$EY5,"Reação"))&gt;0),"Rápido não entra com Reação",""),IF(AND((COUNTIF($DZ5:$EC5,"Rápido")+COUNTIF($EX5:$EY5,"Rápido"))&gt;0,(COUNTIF($DZ5:$EC5,"Atrasar")+COUNTIF($EX5:$EY5,"Atrasar"))&gt;0),"Rápido não entra com Atrasar",""),IF(AND((COUNTIF($DZ5:$EC5,"Reação")+COUNTIF($EX5:$EY5,"Reação"))&gt;0,(COUNTIF($DZ5:$EC5,"Atrasar")+COUNTIF($EX5:$EY5,"Atrasar"))&gt;0),"Reação não entra com Atrasar",""),IF(AND((COUNTIF($DZ5:$EC5,"Reação")+COUNTIF($EX5:$EY5,"Reação"))&gt;0,(COUNTIF($DZ5:$EC5,"Parado")+COUNTIF($EX5:$EY5,"Parado"))&gt;0),"Reação não entra com Parado",""),IF(AND(COUNTIF($EX5:$EY5,"Corpo a Corpo")&gt;0,$ES5=0,OR($DY5="Cone",$DY5="Linha")),"Corpo a Corpo não entra em "&amp;$DY5,""),IF(AND(COUNTIF($EX5:$EY5,"Corpo a Corpo")&gt;0,$ES5=1),"A Forma "&amp;$DY5&amp;" já traz o Corpo a Corpo",""),IF(AND(COUNTIF($EX5:$EY5,"Tudo ou Nada")&gt;0,$EU5=0),"Tudo ou Nada só entra em feitiço de Teste de Resistência",""),IF(AND(COUNTIF($DZ5:$EC5,"Inescapável")&gt;0,OR($FH5&gt;1,$FI5&gt;0)),"Inescapável não aceita outra peça",""),IF(AND($DU5=1,$DW5&lt;3),"Liberação Máxima é de Classe 3 ou mais",""),IF(AND($DU5=1,OR($ET5=1,$ET5=2)),"Liberação Máxima não serve para cura",""),IF(AND($DU5=1,COUNTIF($DZ5:$EC5,"Inescapável")+COUNTIF($DZ5:$EC5,"Toca a Alma")&gt;0),"Esta peça não entra numa Liberação Máxima",""),IF($FP5+$FQ5&gt;4*$DW5,($FP5+$FQ5)&amp;" dados somando alvos e repetições: o teto da Classe "&amp;$DW5&amp;" é "&amp;4*$DW5,"")))</f>
        <v/>
      </c>
      <c r="GG5" s="141">
        <f>IF($GF5="",0,(LEN($GF5)-LEN(SUBSTITUTE($GF5," · ","")))/3+1)</f>
        <v/>
      </c>
      <c r="GH5" s="141">
        <f>IF($EF5=0,"",TEXTJOIN(" · ",TRUE,IF($FK5&gt;2*$DW5,"A devolução parou no teto de "&amp;2*$DW5,""),IF($FN5&gt;0,"Devolução perdida: "&amp;$FN5&amp;IF($FN5&gt;1," pontos"," ponto")&amp;" sem peça para pagar",""),IF(AND($ER5&gt;0,$FP5=0),"Controle sem dano: uma rodada a mais e CD +2",""),IF(AND($ER5&gt;0,$FP5&gt;0,$FP5&lt;=$DW5),"Controle com um quarto do teto: uma rodada a mais","")))</f>
        <v/>
      </c>
      <c r="GI5" s="141">
        <f>IF($GH5="",0,(LEN($GH5)-LEN(SUBSTITUTE($GH5," · ","")))/3+1)</f>
        <v/>
      </c>
      <c r="GJ5" s="141">
        <f>IF($EF5=0,IF($FH5+$FI5-$ES5&gt;0,"Dê um nome",""),IF($GG5&gt;0,"⚠ "&amp;$GG5&amp;IF($GG5&gt;1," erros"," erro"),IF($GI5&gt;0,"! "&amp;$GI5&amp;IF($GI5&gt;1," avisos"," aviso"),"Na regra")))</f>
        <v/>
      </c>
      <c r="GK5" s="141">
        <f>IF($EF5=0,"",IF($GG5+$GI5=0,"Dentro das regras que a ficha confere",$GF5&amp;IF(AND($GG5&gt;0,$GI5&gt;0)," · ","")&amp;$GH5))</f>
        <v/>
      </c>
      <c r="GL5" s="141">
        <f>IF($EF5=0,"",IF($DU5=1,CEILING(4.5*$DW5,1),3*$DW5)&amp;" PE")</f>
        <v/>
      </c>
      <c r="GM5" s="141">
        <f>IF($EF5=0,"",IF($DU5=1,"Rodada inteira",IF(COUNTIF($EX5:$EY5,"Atrasar")&gt;0,IF(COUNTIF($EX5:$EY5,"Carregar")&gt;0,"Rodada +1 turno","Rodada inteira"),IF(COUNTIF($DZ5:$EC5,"Rápido")&gt;0,"Bônus",IF(COUNTIF($DZ5:$EC5,"Reação")&gt;0,"Reação","Padrão"))&amp;IF(COUNTIF($EX5:$EY5,"Carregar")&gt;0," +1 turno",""))))</f>
        <v/>
      </c>
      <c r="GN5" s="141">
        <f>IF(OR($EF5=0,$EG5=0),"",IF(COUNTIF($DZ5:$EC5,"Inescapável")&gt;0,"Automático",IF(COUNTIF($DZ5:$EC5,"Certeiro")&gt;0,"TR para metade",INDEX($AF$2:$AF$11,$EG5))))</f>
        <v/>
      </c>
      <c r="GO5" s="141">
        <f>IF(OR($EF5=0,$EG5=0),"",IF(OR($ET5&gt;=2,$FP5=0),UPPER(LEFT(INDEX($FY5:$GE5,1,$DW5),1))&amp;MID(INDEX($FY5:$GE5,1,$DW5),2,99),UPPER(LEFT(INDEX($FY5:$GE5,1,$DW5),1))&amp;MID(INDEX($FY5:$GE5,1,$DW5),2,99)&amp;" = "&amp;FLOOR($FP5*4.5,1)&amp;IF($FQ5&gt;0," · +"&amp;$FQ5&amp;"d8","")))</f>
        <v/>
      </c>
      <c r="GP5" s="141">
        <f>COUNTIF($DZ5:$EC5,"Longe")+3*COUNTIF($DZ5:$EC5,"Muito Longe")</f>
        <v/>
      </c>
      <c r="GQ5" s="141">
        <f>COUNTIF($DZ5:$EC5,"Maior")+3*COUNTIF($DZ5:$EC5,"Muito Maior")</f>
        <v/>
      </c>
      <c r="GR5" s="141">
        <f>IF($EG5=0,0,CHOOSE(1+INDEX($AH$2:$AH$11,$EG5),0,$GP5,$GQ5,$GP5+$GQ5))</f>
        <v/>
      </c>
      <c r="GS5" s="141">
        <f>IF($EG5=0,0,CHOOSE(1+INDEX($AI$2:$AI$11,$EG5),0,$GP5,$GQ5,$GP5+$GQ5))</f>
        <v/>
      </c>
      <c r="GT5" s="141">
        <f>IF(OR($EF5=0,$EG5=0),"",INDEX($AP$2:$AU$31,($EG5-1)*3+IF($DW5&gt;=6,3,2),1+MIN(5,$GR5))&amp;INDEX($AV$2:$BA$31,($EG5-1)*3+IF($DW5&gt;=6,3,2),1+MIN(5,$GS5))&amp;IF(INDEX($AJ$2:$AJ$11,$EG5)=1,IF(COUNTIF($DZ5:$EC5,"Mais Um")&gt;0," · +"&amp;COUNTIF($DZ5:$EC5,"Mais Um")&amp;IF(COUNTIF($DZ5:$EC5,"Mais Um")&gt;1," alvos"," alvo"),"")&amp;IF(COUNTIF($DZ5:$EC5,"Rajada")&gt;0," · "&amp;($DW5+1)&amp;" tiros",""),""))</f>
        <v/>
      </c>
      <c r="GU5" s="141">
        <f>IF($EF5=0,"",3*$DW5&amp;" − "&amp;$FJ5&amp;" + "&amp;$FM5&amp;IF($DU5=1," + "&amp;$DW5,"")&amp;" = "&amp;$FP5&amp;"d8 · teto "&amp;4*$DW5&amp;IF($ES5=1," · a Forma devolve "&amp;$DW5,"")&amp;IF($FN5&gt;0," · perde "&amp;$FN5,""))</f>
        <v/>
      </c>
      <c r="GV5" s="141">
        <f>IF($EF5=0,"",IF($DW5&gt;=$HE$4,"Já está na maior Classe que o nível liberou",TEXTJOIN(" · ",TRUE,IF(AND(2&gt;$DW5,2&lt;=$HE$4),"2 → "&amp;$FZ5&amp;", "&amp;IF($DU5=1,9,6)&amp;" PE",""),IF(AND(3&gt;$DW5,3&lt;=$HE$4),"3 → "&amp;$GA5&amp;", "&amp;IF($DU5=1,14,9)&amp;" PE",""),IF(AND(4&gt;$DW5,4&lt;=$HE$4),"4 → "&amp;$GB5&amp;", "&amp;IF($DU5=1,18,12)&amp;" PE",""),IF(AND(5&gt;$DW5,5&lt;=$HE$4),"5 → "&amp;$GC5&amp;", "&amp;IF($DU5=1,23,15)&amp;" PE",""),IF(AND(6&gt;$DW5,6&lt;=$HE$4),"6 → "&amp;$GD5&amp;", "&amp;IF($DU5=1,27,18)&amp;" PE",""),IF(AND(7&gt;$DW5,7&lt;=$HE$4),"7 → "&amp;$GE5&amp;", "&amp;IF($DU5=1,32,21)&amp;" PE",""))))</f>
        <v/>
      </c>
      <c r="GW5" s="141">
        <f>IF(OR($EF5=0,$EI5=0),"","−"&amp;INDEX($Q$2:$V$8,$DW5,$EI5)&amp;" · "&amp;CHOOSE($EI5,"Leve","Média","Pesada","Leve · Livre","Média · Livre","Pesada · Livre"))</f>
        <v/>
      </c>
      <c r="GX5" s="141">
        <f>IF(OR($EF5=0,$EJ5=0),"","−"&amp;INDEX($Q$2:$V$8,$DW5,$EJ5)&amp;" · "&amp;CHOOSE($EJ5,"Leve","Média","Pesada","Leve · Livre","Média · Livre","Pesada · Livre"))</f>
        <v/>
      </c>
      <c r="GY5" s="141">
        <f>IF(OR($EF5=0,$EK5=0),"","−"&amp;INDEX($Q$2:$V$8,$DW5,$EK5)&amp;" · "&amp;CHOOSE($EK5,"Leve","Média","Pesada","Leve · Livre","Média · Livre","Pesada · Livre"))</f>
        <v/>
      </c>
      <c r="GZ5" s="141">
        <f>IF(OR($EF5=0,$EL5=0),"","−"&amp;INDEX($Q$2:$V$8,$DW5,$EL5)&amp;" · "&amp;CHOOSE($EL5,"Leve","Média","Pesada","Leve · Livre","Média · Livre","Pesada · Livre"))</f>
        <v/>
      </c>
      <c r="HA5" s="141">
        <f>IF(OR($EF5=0,$ED5=""),"","+"&amp;IF($EV5=1,CEILING($DW5/2,1),$DW5))</f>
        <v/>
      </c>
      <c r="HB5" s="141">
        <f>IF(OR($EF5=0,$EE5=""),"","+"&amp;IF($EW5=1,CEILING($DW5/2,1),$DW5))</f>
        <v/>
      </c>
      <c r="HD5" s="114" t="inlineStr">
        <is>
          <t>marcos</t>
        </is>
      </c>
      <c r="HE5" s="141">
        <f>N(DADOS!$AK$5)</f>
        <v/>
      </c>
      <c r="HG5" s="114" t="inlineStr">
        <is>
          <t>Passiva 4</t>
        </is>
      </c>
      <c r="HH5" s="141">
        <f>'FICHA AMALDIÇOADA'!$D$387&amp;""</f>
        <v/>
      </c>
      <c r="HI5" s="141">
        <f>IFERROR(VLOOKUP($HH5,$BR$2:$BW$24,2,FALSE),0)</f>
        <v/>
      </c>
      <c r="HJ5" s="141">
        <f>IFERROR(VLOOKUP($HI5,$BY$2:$BZ$4,2,FALSE),0)</f>
        <v/>
      </c>
      <c r="HK5" s="141">
        <f>IFERROR(VLOOKUP($HH5,$BR$2:$BW$24,3,FALSE),"")</f>
        <v/>
      </c>
      <c r="HL5" s="141">
        <f>IF($HI5=0,"",IF($HJ5&gt;$HE$2,"⚠ Nível "&amp;$HJ5,"CP "&amp;$HI5))</f>
        <v/>
      </c>
      <c r="HM5" s="141">
        <f>IF($HI5=0,"",$HI5&amp;" esp.")</f>
        <v/>
      </c>
      <c r="HO5" s="114" t="inlineStr">
        <is>
          <t>Aptidão 4</t>
        </is>
      </c>
      <c r="HP5" s="141">
        <f>'FICHA AMALDIÇOADA'!$D$450&amp;""</f>
        <v/>
      </c>
      <c r="HQ5" s="141">
        <f>IF($HP5="","","Requisito: "&amp;IFERROR(VLOOKUP($HP5,$CB$2:$CJ$32,2,FALSE),""))</f>
        <v/>
      </c>
      <c r="HR5" s="141">
        <f>IF($HP5="","",IFERROR(IF(ISNUMBER(VLOOKUP($HP5,$CB$2:$CJ$32,3,FALSE)),"CP "&amp;VLOOKUP($HP5,$CB$2:$CJ$32,3,FALSE),VLOOKUP($HP5,$CB$2:$CJ$32,3,FALSE)),""))</f>
        <v/>
      </c>
      <c r="HS5" s="141">
        <f>IF($HP5="","",IFERROR(VLOOKUP($HP5,$CB$2:$CJ$32,4,FALSE),""))</f>
        <v/>
      </c>
      <c r="HT5" s="141">
        <f>IF($HP5="","",IFERROR(VLOOKUP($HP5,$CB$2:$CJ$32,5,FALSE),""))</f>
        <v/>
      </c>
      <c r="HV5" s="114" t="inlineStr">
        <is>
          <t>Classe 0 · 4</t>
        </is>
      </c>
      <c r="HW5" s="141">
        <f>'FICHA AMALDIÇOADA'!$F$313&amp;""</f>
        <v/>
      </c>
      <c r="HX5" s="141">
        <f>'FICHA AMALDIÇOADA'!$J$313&amp;""</f>
        <v/>
      </c>
      <c r="HY5" s="141">
        <f>'FICHA AMALDIÇOADA'!$L$313&amp;""</f>
        <v/>
      </c>
      <c r="HZ5" s="141">
        <f>IFERROR(MATCH($HW5,$Y$2:$Y$11,0),0)</f>
        <v/>
      </c>
      <c r="IA5" s="141">
        <f>$HE$11-IF($HX5&lt;&gt;"",1,0)+IF(AND($HX5&lt;&gt;"",$HY5&lt;&gt;""),1,0)</f>
        <v/>
      </c>
      <c r="IB5" s="141">
        <f>IF(4&gt;$HE$10,"Nível 11",IF($HZ5=0,"",IF(INDEX($AE$2:$AE$11,$HZ5)&gt;=2,"—",$IA5&amp;"d8 = "&amp;FLOOR($IA5*4.5,1))))</f>
        <v/>
      </c>
      <c r="IC5" s="141">
        <f>IF(OR(4&gt;$HE$10,$HZ5=0),"",INDEX($AP$2:$AU$31,($HZ5-1)*3+1,1+IF(OR(AND($HX5="Longe",INDEX($AH$2:$AH$11,$HZ5)&lt;&gt;2),AND($HX5="Maior",INDEX($AH$2:$AH$11,$HZ5)&gt;=2)),1,0))&amp;INDEX($AV$2:$BA$31,($HZ5-1)*3+1,1+IF(AND($HX5="Longe",INDEX($AI$2:$AI$11,$HZ5)=1),1,0)))</f>
        <v/>
      </c>
      <c r="IE5" s="114" t="inlineStr">
        <is>
          <t>Classe 0</t>
        </is>
      </c>
      <c r="IF5" s="141">
        <f>ADDRESS(ROW('FICHA AMALDIÇOADA'!G7),COLUMN('FICHA AMALDIÇOADA'!G7),4)</f>
        <v/>
      </c>
      <c r="IG5" s="141">
        <f>ADDRESS(ROW('FICHA AMALDIÇOADA'!D307),COLUMN('FICHA AMALDIÇOADA'!D307),4)</f>
        <v/>
      </c>
      <c r="IH5" s="141">
        <f>ADDRESS(ROW(DADOS_AM!IE5),COLUMN(DADOS_AM!IE5),4)</f>
        <v/>
      </c>
      <c r="IJ5" s="114" t="inlineStr">
        <is>
          <t>J15</t>
        </is>
      </c>
      <c r="IK5" s="141">
        <f>UPPER(INDEX(DADOS_AM!$D$13:$G$13,1,DADOS_AM!$A$2))</f>
        <v/>
      </c>
    </row>
    <row r="6">
      <c r="C6" s="114" t="inlineStr">
        <is>
          <t>aptidões</t>
        </is>
      </c>
      <c r="D6" s="114" t="inlineStr">
        <is>
          <t>Aptidões</t>
        </is>
      </c>
      <c r="E6" s="114" t="inlineStr">
        <is>
          <t>Aptidões</t>
        </is>
      </c>
      <c r="F6" s="114" t="inlineStr">
        <is>
          <t>Aptidões</t>
        </is>
      </c>
      <c r="G6" s="114" t="inlineStr">
        <is>
          <t>Bênçãos</t>
        </is>
      </c>
      <c r="I6" s="114" t="inlineStr">
        <is>
          <t>Auxiliares</t>
        </is>
      </c>
      <c r="J6" s="141">
        <f>'FICHA AMALDIÇOADA'!$J$37&amp;""</f>
        <v/>
      </c>
      <c r="K6" s="141">
        <f>IF($J6="Livre",1,0)</f>
        <v/>
      </c>
      <c r="L6" s="141">
        <f>IF($J6="Fechada",1,0)</f>
        <v/>
      </c>
      <c r="P6" s="141" t="n">
        <v>5</v>
      </c>
      <c r="Q6" s="141" t="n">
        <v>3</v>
      </c>
      <c r="R6" s="141" t="n">
        <v>5</v>
      </c>
      <c r="S6" s="141" t="n">
        <v>8</v>
      </c>
      <c r="T6" s="141" t="n">
        <v>1</v>
      </c>
      <c r="U6" s="141" t="n">
        <v>2</v>
      </c>
      <c r="V6" s="141" t="n">
        <v>5</v>
      </c>
      <c r="W6" s="141" t="n">
        <v>4</v>
      </c>
      <c r="Y6" s="114" t="inlineStr">
        <is>
          <t>Cone</t>
        </is>
      </c>
      <c r="Z6" s="114" t="inlineStr">
        <is>
          <t>Área</t>
        </is>
      </c>
      <c r="AA6" s="141" t="n">
        <v>1</v>
      </c>
      <c r="AB6" s="141">
        <f>IF($AA6=0,0,$AA6+3*IFERROR(VLOOKUP($Z6,$I$2:$L$10,3,FALSE),0))</f>
        <v/>
      </c>
      <c r="AC6" s="141">
        <f>IFERROR(VLOOKUP($Z6,$I$2:$L$10,4,FALSE),0)</f>
        <v/>
      </c>
      <c r="AD6" s="141" t="n">
        <v>0</v>
      </c>
      <c r="AE6" s="141" t="n">
        <v>0</v>
      </c>
      <c r="AF6" s="114" t="inlineStr">
        <is>
          <t>TR, metade</t>
        </is>
      </c>
      <c r="AG6" s="141" t="n">
        <v>1</v>
      </c>
      <c r="AH6" s="141" t="n">
        <v>3</v>
      </c>
      <c r="AI6" s="141" t="n">
        <v>0</v>
      </c>
      <c r="AJ6" s="141" t="n">
        <v>0</v>
      </c>
      <c r="AK6" s="141" t="n">
        <v>1</v>
      </c>
      <c r="AL6" s="141">
        <f>IF($AC6=1,"",$Y6)</f>
        <v/>
      </c>
      <c r="AM6" s="141">
        <f>IF(AND($AK6=1,$AC6=0),$Y6,"")</f>
        <v/>
      </c>
      <c r="AO6" s="114" t="inlineStr">
        <is>
          <t>Toque · classes 1 a 5</t>
        </is>
      </c>
      <c r="AP6" s="114" t="inlineStr">
        <is>
          <t>1,5 m, um alvo</t>
        </is>
      </c>
      <c r="AQ6" s="114" t="inlineStr">
        <is>
          <t>1,5 m, um alvo</t>
        </is>
      </c>
      <c r="AR6" s="114" t="inlineStr">
        <is>
          <t>1,5 m, um alvo</t>
        </is>
      </c>
      <c r="AS6" s="114" t="inlineStr">
        <is>
          <t>1,5 m, um alvo</t>
        </is>
      </c>
      <c r="AT6" s="114" t="inlineStr">
        <is>
          <t>1,5 m, um alvo</t>
        </is>
      </c>
      <c r="AU6" s="114" t="inlineStr">
        <is>
          <t>1,5 m, um alvo</t>
        </is>
      </c>
      <c r="AV6" s="114" t="inlineStr"/>
      <c r="AW6" s="114" t="inlineStr"/>
      <c r="AX6" s="114" t="inlineStr"/>
      <c r="AY6" s="114" t="inlineStr"/>
      <c r="AZ6" s="114" t="inlineStr"/>
      <c r="BA6" s="114" t="inlineStr"/>
      <c r="BC6" s="114" t="inlineStr">
        <is>
          <t>Empurrão</t>
        </is>
      </c>
      <c r="BD6" s="114" t="inlineStr">
        <is>
          <t>Alcance</t>
        </is>
      </c>
      <c r="BE6" s="141" t="n">
        <v>1</v>
      </c>
      <c r="BF6" s="141">
        <f>$BE6+3*IFERROR(VLOOKUP($BD6,$I$2:$L$10,3,FALSE),0)</f>
        <v/>
      </c>
      <c r="BG6" s="141">
        <f>IFERROR(VLOOKUP($BD6,$I$2:$L$10,4,FALSE),0)</f>
        <v/>
      </c>
      <c r="BH6" s="141" t="n">
        <v>0</v>
      </c>
      <c r="BI6" s="141">
        <f>IF($BG6=1,"",$BC6)</f>
        <v/>
      </c>
      <c r="BJ6" s="141">
        <f>IF(AND($BE6=1,$BG6=0),$BC6,"")</f>
        <v/>
      </c>
      <c r="BL6" s="114" t="inlineStr">
        <is>
          <t>Sangra</t>
        </is>
      </c>
      <c r="BM6" s="114" t="inlineStr">
        <is>
          <t>Sangra</t>
        </is>
      </c>
      <c r="BN6" s="141" t="n">
        <v>2</v>
      </c>
      <c r="BO6" s="141" t="n">
        <v>0</v>
      </c>
      <c r="BP6" s="114" t="inlineStr"/>
      <c r="BR6" s="114" t="inlineStr">
        <is>
          <t>Farejador</t>
        </is>
      </c>
      <c r="BS6" s="141" t="n">
        <v>1</v>
      </c>
      <c r="BT6" s="114" t="inlineStr">
        <is>
          <t>Você sente se alguém conjurou num lugar nas últimas 24 horas, e de que Classe.</t>
        </is>
      </c>
      <c r="BU6" s="141" t="n">
        <v>1</v>
      </c>
      <c r="BV6" s="141" t="n">
        <v>0</v>
      </c>
      <c r="BW6" s="141">
        <f>IF(OR(AND($A$2&lt;=2,$BU6=1),AND($A$2&gt;=2,$BV6=1)),$BR6,"")</f>
        <v/>
      </c>
      <c r="CB6" s="114" t="inlineStr">
        <is>
          <t>Circulação</t>
        </is>
      </c>
      <c r="CC6" s="114" t="inlineStr">
        <is>
          <t>Energia Reversa, refino 8</t>
        </is>
      </c>
      <c r="CD6" s="141" t="n">
        <v>3</v>
      </c>
      <c r="CE6" s="114" t="inlineStr">
        <is>
          <t>—</t>
        </is>
      </c>
      <c r="CF6" s="114" t="inlineStr">
        <is>
          <t>O teto por uso da sua Energia Reversa sobe para 1,5 × a sua maior Classe de PE, arredondando para baixo. Você também pode usá-la como Ação Bônus. Usada assim, os dados de cura são d4 em vez de d8. E você recompõe o que foi arrancado — braço, olho, o que a mesa tiver tirado de você. Isso gasta o teto inteiro do uso, e naquele uso você não cura vida nenhuma.</t>
        </is>
      </c>
      <c r="CG6" s="141">
        <f>IF($CJ6=1,"",IF($A$2=4,IF($CH6=1,$CB6,""),IF(OR($CH6=1,AND($A$2=3,$CI6=1)),"",$CB6)))</f>
        <v/>
      </c>
      <c r="CH6" s="141" t="n">
        <v>0</v>
      </c>
      <c r="CI6" s="141" t="n">
        <v>0</v>
      </c>
      <c r="CJ6" s="141" t="n">
        <v>0</v>
      </c>
      <c r="CR6" s="114" t="inlineStr">
        <is>
          <t>Machado</t>
        </is>
      </c>
      <c r="CS6" s="141" t="n">
        <v>1</v>
      </c>
      <c r="CT6" s="141" t="n">
        <v>0</v>
      </c>
      <c r="CU6" s="141">
        <f>IF(AND($A$2&gt;=3,'FICHA AMALDIÇOADA'!$J$16&amp;""="Três grupos de arma"),$CR6,"")</f>
        <v/>
      </c>
      <c r="CW6" s="141" t="n">
        <v>25</v>
      </c>
      <c r="CX6" s="141" t="n">
        <v>5</v>
      </c>
      <c r="CY6" s="141" t="n">
        <v>6</v>
      </c>
      <c r="DC6" s="141" t="n">
        <v>7</v>
      </c>
      <c r="DT6" s="114" t="inlineStr">
        <is>
          <t>Feitiço 5</t>
        </is>
      </c>
      <c r="DU6" s="141" t="n">
        <v>0</v>
      </c>
      <c r="DV6" s="141" t="n">
        <v>5</v>
      </c>
      <c r="DW6" s="141">
        <f>MAX(1,MIN(7,N('FICHA AMALDIÇOADA'!$J$72)))</f>
        <v/>
      </c>
      <c r="DX6" s="141">
        <f>'FICHA AMALDIÇOADA'!$K$72&amp;""</f>
        <v/>
      </c>
      <c r="DY6" s="141">
        <f>'FICHA AMALDIÇOADA'!$J$79&amp;""</f>
        <v/>
      </c>
      <c r="DZ6" s="141">
        <f>'FICHA AMALDIÇOADA'!$K$81&amp;""</f>
        <v/>
      </c>
      <c r="EA6" s="141">
        <f>'FICHA AMALDIÇOADA'!$K$82&amp;""</f>
        <v/>
      </c>
      <c r="EB6" s="141">
        <f>'FICHA AMALDIÇOADA'!$K$83&amp;""</f>
        <v/>
      </c>
      <c r="EC6" s="141">
        <f>'FICHA AMALDIÇOADA'!$K$84&amp;""</f>
        <v/>
      </c>
      <c r="ED6" s="141">
        <f>'FICHA AMALDIÇOADA'!$K$85&amp;""</f>
        <v/>
      </c>
      <c r="EE6" s="141">
        <f>'FICHA AMALDIÇOADA'!$K$86&amp;""</f>
        <v/>
      </c>
      <c r="EF6" s="141">
        <f>IF($DX6&lt;&gt;"",1,0)</f>
        <v/>
      </c>
      <c r="EG6" s="141">
        <f>IFERROR(MATCH($DY6,$Y$2:$Y$11,0),0)</f>
        <v/>
      </c>
      <c r="EH6" s="141">
        <f>IF($EG6=0,0,INDEX($AB$2:$AB$11,$EG6))</f>
        <v/>
      </c>
      <c r="EI6" s="141">
        <f>IFERROR(VLOOKUP($DZ6,$BC$2:$BJ$84,4,FALSE),0)</f>
        <v/>
      </c>
      <c r="EJ6" s="141">
        <f>IFERROR(VLOOKUP($EA6,$BC$2:$BJ$84,4,FALSE),0)</f>
        <v/>
      </c>
      <c r="EK6" s="141">
        <f>IFERROR(VLOOKUP($EB6,$BC$2:$BJ$84,4,FALSE),0)</f>
        <v/>
      </c>
      <c r="EL6" s="141">
        <f>IFERROR(VLOOKUP($EC6,$BC$2:$BJ$84,4,FALSE),0)</f>
        <v/>
      </c>
      <c r="EM6" s="141">
        <f>IF($EG6=0,0,INDEX($AC$2:$AC$11,$EG6))</f>
        <v/>
      </c>
      <c r="EN6" s="141">
        <f>IFERROR(VLOOKUP($DZ6,$BC$2:$BJ$84,5,FALSE),0)</f>
        <v/>
      </c>
      <c r="EO6" s="141">
        <f>IFERROR(VLOOKUP($EA6,$BC$2:$BJ$84,5,FALSE),0)</f>
        <v/>
      </c>
      <c r="EP6" s="141">
        <f>IFERROR(VLOOKUP($EB6,$BC$2:$BJ$84,5,FALSE),0)</f>
        <v/>
      </c>
      <c r="EQ6" s="141">
        <f>IFERROR(VLOOKUP($EC6,$BC$2:$BJ$84,5,FALSE),0)</f>
        <v/>
      </c>
      <c r="ER6" s="141">
        <f>IFERROR(VLOOKUP($DZ6,$BC$2:$BJ$84,6,FALSE),0)+IFERROR(VLOOKUP($EA6,$BC$2:$BJ$84,6,FALSE),0)+IFERROR(VLOOKUP($EB6,$BC$2:$BJ$84,6,FALSE),0)+IFERROR(VLOOKUP($EC6,$BC$2:$BJ$84,6,FALSE),0)</f>
        <v/>
      </c>
      <c r="ES6" s="141">
        <f>IF($EG6=0,0,INDEX($AD$2:$AD$11,$EG6))</f>
        <v/>
      </c>
      <c r="ET6" s="141">
        <f>IF($EG6=0,0,INDEX($AE$2:$AE$11,$EG6))</f>
        <v/>
      </c>
      <c r="EU6" s="141">
        <f>IF($EG6=0,0,INDEX($AG$2:$AG$11,$EG6))</f>
        <v/>
      </c>
      <c r="EV6" s="141">
        <f>IFERROR(VLOOKUP($ED6,$BL$2:$BP$24,3,FALSE),0)</f>
        <v/>
      </c>
      <c r="EW6" s="141">
        <f>IFERROR(VLOOKUP($EE6,$BL$2:$BP$24,3,FALSE),0)</f>
        <v/>
      </c>
      <c r="EX6" s="141">
        <f>IFERROR(VLOOKUP($ED6,$BL$2:$BP$24,2,FALSE),"")</f>
        <v/>
      </c>
      <c r="EY6" s="141">
        <f>IFERROR(VLOOKUP($EE6,$BL$2:$BP$24,2,FALSE),"")</f>
        <v/>
      </c>
      <c r="EZ6" s="141">
        <f>COUNTIF($EH6:$EL6,1)</f>
        <v/>
      </c>
      <c r="FA6" s="141">
        <f>COUNTIF($EH6:$EL6,2)</f>
        <v/>
      </c>
      <c r="FB6" s="141">
        <f>COUNTIF($EH6:$EL6,3)</f>
        <v/>
      </c>
      <c r="FC6" s="141">
        <f>COUNTIF($EH6:$EL6,4)</f>
        <v/>
      </c>
      <c r="FD6" s="141">
        <f>COUNTIF($EH6:$EL6,5)</f>
        <v/>
      </c>
      <c r="FE6" s="141">
        <f>COUNTIF($EH6:$EL6,6)</f>
        <v/>
      </c>
      <c r="FF6" s="141">
        <f>COUNTIF($EV6:$EW6,1)</f>
        <v/>
      </c>
      <c r="FG6" s="141">
        <f>COUNTIF($EV6:$EW6,2)+$ES6</f>
        <v/>
      </c>
      <c r="FH6" s="141">
        <f>COUNTIF($DZ6:$EC6,"?*")</f>
        <v/>
      </c>
      <c r="FI6" s="141">
        <f>COUNTIF($ED6:$EE6,"?*")+$ES6</f>
        <v/>
      </c>
      <c r="FJ6" s="141">
        <f>SUMPRODUCT($EZ6:$FE6,INDEX($Q$2:$V$8,$DW6,0))</f>
        <v/>
      </c>
      <c r="FK6" s="141">
        <f>$FF6*CEILING($DW6/2,1)+$FG6*$DW6</f>
        <v/>
      </c>
      <c r="FL6" s="141">
        <f>MIN(2*$DW6,$FK6)</f>
        <v/>
      </c>
      <c r="FM6" s="141">
        <f>MIN($FL6,$FJ6)</f>
        <v/>
      </c>
      <c r="FN6" s="141">
        <f>$FL6-$FM6</f>
        <v/>
      </c>
      <c r="FO6" s="141">
        <f>3*$DW6-$FJ6+$FM6</f>
        <v/>
      </c>
      <c r="FP6" s="141">
        <f>MAX(0,$FO6)+$DU6*$DW6</f>
        <v/>
      </c>
      <c r="FQ6" s="141">
        <f>(IF(COUNTIF($DZ6:$EC6,"Salto")&gt;0,1,0)+IF(COUNTIF($DZ6:$EC6,"Queima")&gt;0,1,0))*FLOOR($FP6/2,1)</f>
        <v/>
      </c>
      <c r="FR6" s="141">
        <f>MAX(0,3-SUMPRODUCT($EZ6:$FE6,$Q$2:$V$2)+MIN(2,$FF6*1+$FG6*1,SUMPRODUCT($EZ6:$FE6,$Q$2:$V$2)))+$DU6*1</f>
        <v/>
      </c>
      <c r="FS6" s="141">
        <f>MAX(0,6-SUMPRODUCT($EZ6:$FE6,$Q$3:$V$3)+MIN(4,$FF6*1+$FG6*2,SUMPRODUCT($EZ6:$FE6,$Q$3:$V$3)))+$DU6*2</f>
        <v/>
      </c>
      <c r="FT6" s="141">
        <f>MAX(0,9-SUMPRODUCT($EZ6:$FE6,$Q$4:$V$4)+MIN(6,$FF6*2+$FG6*3,SUMPRODUCT($EZ6:$FE6,$Q$4:$V$4)))+$DU6*3</f>
        <v/>
      </c>
      <c r="FU6" s="141">
        <f>MAX(0,12-SUMPRODUCT($EZ6:$FE6,$Q$5:$V$5)+MIN(8,$FF6*2+$FG6*4,SUMPRODUCT($EZ6:$FE6,$Q$5:$V$5)))+$DU6*4</f>
        <v/>
      </c>
      <c r="FV6" s="141">
        <f>MAX(0,15-SUMPRODUCT($EZ6:$FE6,$Q$6:$V$6)+MIN(10,$FF6*3+$FG6*5,SUMPRODUCT($EZ6:$FE6,$Q$6:$V$6)))+$DU6*5</f>
        <v/>
      </c>
      <c r="FW6" s="141">
        <f>MAX(0,18-SUMPRODUCT($EZ6:$FE6,$Q$7:$V$7)+MIN(12,$FF6*3+$FG6*6,SUMPRODUCT($EZ6:$FE6,$Q$7:$V$7)))+$DU6*6</f>
        <v/>
      </c>
      <c r="FX6" s="141">
        <f>MAX(0,21-SUMPRODUCT($EZ6:$FE6,$Q$8:$V$8)+MIN(14,$FF6*4+$FG6*7,SUMPRODUCT($EZ6:$FE6,$Q$8:$V$8)))+$DU6*7</f>
        <v/>
      </c>
      <c r="FY6" s="141">
        <f>IF($ET6=2,3*$FR6&amp;" de vida temp.",IF($ET6=3,"sem dano",IF($FR6=0,IF($ET6=1,"sem cura","sem dano"),IF($ET6=1,"cura ","")&amp;$FR6&amp;"d8")))</f>
        <v/>
      </c>
      <c r="FZ6" s="141">
        <f>IF($ET6=2,3*$FS6&amp;" de vida temp.",IF($ET6=3,"sem dano",IF($FS6=0,IF($ET6=1,"sem cura","sem dano"),IF($ET6=1,"cura ","")&amp;$FS6&amp;"d8")))</f>
        <v/>
      </c>
      <c r="GA6" s="141">
        <f>IF($ET6=2,3*$FT6&amp;" de vida temp.",IF($ET6=3,"sem dano",IF($FT6=0,IF($ET6=1,"sem cura","sem dano"),IF($ET6=1,"cura ","")&amp;$FT6&amp;"d8")))</f>
        <v/>
      </c>
      <c r="GB6" s="141">
        <f>IF($ET6=2,3*$FU6&amp;" de vida temp.",IF($ET6=3,"sem dano",IF($FU6=0,IF($ET6=1,"sem cura","sem dano"),IF($ET6=1,"cura ","")&amp;$FU6&amp;"d8")))</f>
        <v/>
      </c>
      <c r="GC6" s="141">
        <f>IF($ET6=2,3*$FV6&amp;" de vida temp.",IF($ET6=3,"sem dano",IF($FV6=0,IF($ET6=1,"sem cura","sem dano"),IF($ET6=1,"cura ","")&amp;$FV6&amp;"d8")))</f>
        <v/>
      </c>
      <c r="GD6" s="141">
        <f>IF($ET6=2,3*$FW6&amp;" de vida temp.",IF($ET6=3,"sem dano",IF($FW6=0,IF($ET6=1,"sem cura","sem dano"),IF($ET6=1,"cura ","")&amp;$FW6&amp;"d8")))</f>
        <v/>
      </c>
      <c r="GE6" s="141">
        <f>IF($ET6=2,3*$FX6&amp;" de vida temp.",IF($ET6=3,"sem dano",IF($FX6=0,IF($ET6=1,"sem cura","sem dano"),IF($ET6=1,"cura ","")&amp;$FX6&amp;"d8")))</f>
        <v/>
      </c>
      <c r="GF6" s="141">
        <f>IF($EF6=0,"",TEXTJOIN(" · ",TRUE,IF(AND($DU6=1,$DV6&gt;$HE$9),"O nível "&amp;$HE$2&amp;" dá "&amp;$HE$9&amp;" Liberação Máxima",""),IF($DW6&gt;$HE$4,"Classe "&amp;$DW6&amp;": o nível "&amp;$HE$2&amp;" libera até a "&amp;$HE$4,""),IF($EM6=1,"Família Fechada: a Forma "&amp;$DY6,""),IF($EN6=1,"Família Fechada: "&amp;$DZ6,""),IF($EO6=1,"Família Fechada: "&amp;$EA6,""),IF($EP6=1,"Família Fechada: "&amp;$EB6,""),IF($EQ6=1,"Família Fechada: "&amp;$EC6,""),IF($FH6&gt;INDEX($W$2:$W$8,$DW6),$FH6&amp;" Melhorias: a Classe "&amp;$DW6&amp;" aceita "&amp;INDEX($W$2:$W$8,$DW6),""),IF($FI6&gt;2,$FI6&amp;" Restrições"&amp;IF($ES6=1,", contando a que a Forma "&amp;$DY6&amp;" já traz","")&amp;": o limite é 2",""),IF($FO6&lt;0,"Orçamento estourado: faltam "&amp;(-$FO6)&amp;IF($FO6&lt;-1," pontos"," ponto"),""),IF(IFERROR(VLOOKUP($ED6,$BL$2:$BP$24,4,FALSE),0)+IFERROR(VLOOKUP($EE6,$BL$2:$BP$24,4,FALSE),0)&gt;1,$EX6&amp;" e "&amp;$EY6&amp;" são as duas de frequência",""),IF(AND((COUNTIF($DZ6:$EC6,"Rápido")+COUNTIF($EX6:$EY6,"Rápido"))&gt;0,(COUNTIF($DZ6:$EC6,"Reação")+COUNTIF($EX6:$EY6,"Reação"))&gt;0),"Rápido não entra com Reação",""),IF(AND((COUNTIF($DZ6:$EC6,"Rápido")+COUNTIF($EX6:$EY6,"Rápido"))&gt;0,(COUNTIF($DZ6:$EC6,"Atrasar")+COUNTIF($EX6:$EY6,"Atrasar"))&gt;0),"Rápido não entra com Atrasar",""),IF(AND((COUNTIF($DZ6:$EC6,"Reação")+COUNTIF($EX6:$EY6,"Reação"))&gt;0,(COUNTIF($DZ6:$EC6,"Atrasar")+COUNTIF($EX6:$EY6,"Atrasar"))&gt;0),"Reação não entra com Atrasar",""),IF(AND((COUNTIF($DZ6:$EC6,"Reação")+COUNTIF($EX6:$EY6,"Reação"))&gt;0,(COUNTIF($DZ6:$EC6,"Parado")+COUNTIF($EX6:$EY6,"Parado"))&gt;0),"Reação não entra com Parado",""),IF(AND(COUNTIF($EX6:$EY6,"Corpo a Corpo")&gt;0,$ES6=0,OR($DY6="Cone",$DY6="Linha")),"Corpo a Corpo não entra em "&amp;$DY6,""),IF(AND(COUNTIF($EX6:$EY6,"Corpo a Corpo")&gt;0,$ES6=1),"A Forma "&amp;$DY6&amp;" já traz o Corpo a Corpo",""),IF(AND(COUNTIF($EX6:$EY6,"Tudo ou Nada")&gt;0,$EU6=0),"Tudo ou Nada só entra em feitiço de Teste de Resistência",""),IF(AND(COUNTIF($DZ6:$EC6,"Inescapável")&gt;0,OR($FH6&gt;1,$FI6&gt;0)),"Inescapável não aceita outra peça",""),IF(AND($DU6=1,$DW6&lt;3),"Liberação Máxima é de Classe 3 ou mais",""),IF(AND($DU6=1,OR($ET6=1,$ET6=2)),"Liberação Máxima não serve para cura",""),IF(AND($DU6=1,COUNTIF($DZ6:$EC6,"Inescapável")+COUNTIF($DZ6:$EC6,"Toca a Alma")&gt;0),"Esta peça não entra numa Liberação Máxima",""),IF($FP6+$FQ6&gt;4*$DW6,($FP6+$FQ6)&amp;" dados somando alvos e repetições: o teto da Classe "&amp;$DW6&amp;" é "&amp;4*$DW6,"")))</f>
        <v/>
      </c>
      <c r="GG6" s="141">
        <f>IF($GF6="",0,(LEN($GF6)-LEN(SUBSTITUTE($GF6," · ","")))/3+1)</f>
        <v/>
      </c>
      <c r="GH6" s="141">
        <f>IF($EF6=0,"",TEXTJOIN(" · ",TRUE,IF($FK6&gt;2*$DW6,"A devolução parou no teto de "&amp;2*$DW6,""),IF($FN6&gt;0,"Devolução perdida: "&amp;$FN6&amp;IF($FN6&gt;1," pontos"," ponto")&amp;" sem peça para pagar",""),IF(AND($ER6&gt;0,$FP6=0),"Controle sem dano: uma rodada a mais e CD +2",""),IF(AND($ER6&gt;0,$FP6&gt;0,$FP6&lt;=$DW6),"Controle com um quarto do teto: uma rodada a mais","")))</f>
        <v/>
      </c>
      <c r="GI6" s="141">
        <f>IF($GH6="",0,(LEN($GH6)-LEN(SUBSTITUTE($GH6," · ","")))/3+1)</f>
        <v/>
      </c>
      <c r="GJ6" s="141">
        <f>IF($EF6=0,IF($FH6+$FI6-$ES6&gt;0,"Dê um nome",""),IF($GG6&gt;0,"⚠ "&amp;$GG6&amp;IF($GG6&gt;1," erros"," erro"),IF($GI6&gt;0,"! "&amp;$GI6&amp;IF($GI6&gt;1," avisos"," aviso"),"Na regra")))</f>
        <v/>
      </c>
      <c r="GK6" s="141">
        <f>IF($EF6=0,"",IF($GG6+$GI6=0,"Dentro das regras que a ficha confere",$GF6&amp;IF(AND($GG6&gt;0,$GI6&gt;0)," · ","")&amp;$GH6))</f>
        <v/>
      </c>
      <c r="GL6" s="141">
        <f>IF($EF6=0,"",IF($DU6=1,CEILING(4.5*$DW6,1),3*$DW6)&amp;" PE")</f>
        <v/>
      </c>
      <c r="GM6" s="141">
        <f>IF($EF6=0,"",IF($DU6=1,"Rodada inteira",IF(COUNTIF($EX6:$EY6,"Atrasar")&gt;0,IF(COUNTIF($EX6:$EY6,"Carregar")&gt;0,"Rodada +1 turno","Rodada inteira"),IF(COUNTIF($DZ6:$EC6,"Rápido")&gt;0,"Bônus",IF(COUNTIF($DZ6:$EC6,"Reação")&gt;0,"Reação","Padrão"))&amp;IF(COUNTIF($EX6:$EY6,"Carregar")&gt;0," +1 turno",""))))</f>
        <v/>
      </c>
      <c r="GN6" s="141">
        <f>IF(OR($EF6=0,$EG6=0),"",IF(COUNTIF($DZ6:$EC6,"Inescapável")&gt;0,"Automático",IF(COUNTIF($DZ6:$EC6,"Certeiro")&gt;0,"TR para metade",INDEX($AF$2:$AF$11,$EG6))))</f>
        <v/>
      </c>
      <c r="GO6" s="141">
        <f>IF(OR($EF6=0,$EG6=0),"",IF(OR($ET6&gt;=2,$FP6=0),UPPER(LEFT(INDEX($FY6:$GE6,1,$DW6),1))&amp;MID(INDEX($FY6:$GE6,1,$DW6),2,99),UPPER(LEFT(INDEX($FY6:$GE6,1,$DW6),1))&amp;MID(INDEX($FY6:$GE6,1,$DW6),2,99)&amp;" = "&amp;FLOOR($FP6*4.5,1)&amp;IF($FQ6&gt;0," · +"&amp;$FQ6&amp;"d8","")))</f>
        <v/>
      </c>
      <c r="GP6" s="141">
        <f>COUNTIF($DZ6:$EC6,"Longe")+3*COUNTIF($DZ6:$EC6,"Muito Longe")</f>
        <v/>
      </c>
      <c r="GQ6" s="141">
        <f>COUNTIF($DZ6:$EC6,"Maior")+3*COUNTIF($DZ6:$EC6,"Muito Maior")</f>
        <v/>
      </c>
      <c r="GR6" s="141">
        <f>IF($EG6=0,0,CHOOSE(1+INDEX($AH$2:$AH$11,$EG6),0,$GP6,$GQ6,$GP6+$GQ6))</f>
        <v/>
      </c>
      <c r="GS6" s="141">
        <f>IF($EG6=0,0,CHOOSE(1+INDEX($AI$2:$AI$11,$EG6),0,$GP6,$GQ6,$GP6+$GQ6))</f>
        <v/>
      </c>
      <c r="GT6" s="141">
        <f>IF(OR($EF6=0,$EG6=0),"",INDEX($AP$2:$AU$31,($EG6-1)*3+IF($DW6&gt;=6,3,2),1+MIN(5,$GR6))&amp;INDEX($AV$2:$BA$31,($EG6-1)*3+IF($DW6&gt;=6,3,2),1+MIN(5,$GS6))&amp;IF(INDEX($AJ$2:$AJ$11,$EG6)=1,IF(COUNTIF($DZ6:$EC6,"Mais Um")&gt;0," · +"&amp;COUNTIF($DZ6:$EC6,"Mais Um")&amp;IF(COUNTIF($DZ6:$EC6,"Mais Um")&gt;1," alvos"," alvo"),"")&amp;IF(COUNTIF($DZ6:$EC6,"Rajada")&gt;0," · "&amp;($DW6+1)&amp;" tiros",""),""))</f>
        <v/>
      </c>
      <c r="GU6" s="141">
        <f>IF($EF6=0,"",3*$DW6&amp;" − "&amp;$FJ6&amp;" + "&amp;$FM6&amp;IF($DU6=1," + "&amp;$DW6,"")&amp;" = "&amp;$FP6&amp;"d8 · teto "&amp;4*$DW6&amp;IF($ES6=1," · a Forma devolve "&amp;$DW6,"")&amp;IF($FN6&gt;0," · perde "&amp;$FN6,""))</f>
        <v/>
      </c>
      <c r="GV6" s="141">
        <f>IF($EF6=0,"",IF($DW6&gt;=$HE$4,"Já está na maior Classe que o nível liberou",TEXTJOIN(" · ",TRUE,IF(AND(2&gt;$DW6,2&lt;=$HE$4),"2 → "&amp;$FZ6&amp;", "&amp;IF($DU6=1,9,6)&amp;" PE",""),IF(AND(3&gt;$DW6,3&lt;=$HE$4),"3 → "&amp;$GA6&amp;", "&amp;IF($DU6=1,14,9)&amp;" PE",""),IF(AND(4&gt;$DW6,4&lt;=$HE$4),"4 → "&amp;$GB6&amp;", "&amp;IF($DU6=1,18,12)&amp;" PE",""),IF(AND(5&gt;$DW6,5&lt;=$HE$4),"5 → "&amp;$GC6&amp;", "&amp;IF($DU6=1,23,15)&amp;" PE",""),IF(AND(6&gt;$DW6,6&lt;=$HE$4),"6 → "&amp;$GD6&amp;", "&amp;IF($DU6=1,27,18)&amp;" PE",""),IF(AND(7&gt;$DW6,7&lt;=$HE$4),"7 → "&amp;$GE6&amp;", "&amp;IF($DU6=1,32,21)&amp;" PE",""))))</f>
        <v/>
      </c>
      <c r="GW6" s="141">
        <f>IF(OR($EF6=0,$EI6=0),"","−"&amp;INDEX($Q$2:$V$8,$DW6,$EI6)&amp;" · "&amp;CHOOSE($EI6,"Leve","Média","Pesada","Leve · Livre","Média · Livre","Pesada · Livre"))</f>
        <v/>
      </c>
      <c r="GX6" s="141">
        <f>IF(OR($EF6=0,$EJ6=0),"","−"&amp;INDEX($Q$2:$V$8,$DW6,$EJ6)&amp;" · "&amp;CHOOSE($EJ6,"Leve","Média","Pesada","Leve · Livre","Média · Livre","Pesada · Livre"))</f>
        <v/>
      </c>
      <c r="GY6" s="141">
        <f>IF(OR($EF6=0,$EK6=0),"","−"&amp;INDEX($Q$2:$V$8,$DW6,$EK6)&amp;" · "&amp;CHOOSE($EK6,"Leve","Média","Pesada","Leve · Livre","Média · Livre","Pesada · Livre"))</f>
        <v/>
      </c>
      <c r="GZ6" s="141">
        <f>IF(OR($EF6=0,$EL6=0),"","−"&amp;INDEX($Q$2:$V$8,$DW6,$EL6)&amp;" · "&amp;CHOOSE($EL6,"Leve","Média","Pesada","Leve · Livre","Média · Livre","Pesada · Livre"))</f>
        <v/>
      </c>
      <c r="HA6" s="141">
        <f>IF(OR($EF6=0,$ED6=""),"","+"&amp;IF($EV6=1,CEILING($DW6/2,1),$DW6))</f>
        <v/>
      </c>
      <c r="HB6" s="141">
        <f>IF(OR($EF6=0,$EE6=""),"","+"&amp;IF($EW6=1,CEILING($DW6/2,1),$DW6))</f>
        <v/>
      </c>
      <c r="HD6" s="114" t="inlineStr">
        <is>
          <t>refino</t>
        </is>
      </c>
      <c r="HE6" s="141">
        <f>MAX(1,N(DADOS!$AK$34))</f>
        <v/>
      </c>
      <c r="HG6" s="114" t="inlineStr">
        <is>
          <t>Passiva 5</t>
        </is>
      </c>
      <c r="HH6" s="141">
        <f>'FICHA AMALDIÇOADA'!$J$387&amp;""</f>
        <v/>
      </c>
      <c r="HI6" s="141">
        <f>IFERROR(VLOOKUP($HH6,$BR$2:$BW$24,2,FALSE),0)</f>
        <v/>
      </c>
      <c r="HJ6" s="141">
        <f>IFERROR(VLOOKUP($HI6,$BY$2:$BZ$4,2,FALSE),0)</f>
        <v/>
      </c>
      <c r="HK6" s="141">
        <f>IFERROR(VLOOKUP($HH6,$BR$2:$BW$24,3,FALSE),"")</f>
        <v/>
      </c>
      <c r="HL6" s="141">
        <f>IF($HI6=0,"",IF($HJ6&gt;$HE$2,"⚠ Nível "&amp;$HJ6,"CP "&amp;$HI6))</f>
        <v/>
      </c>
      <c r="HM6" s="141">
        <f>IF($HI6=0,"",$HI6&amp;" esp.")</f>
        <v/>
      </c>
      <c r="HO6" s="114" t="inlineStr">
        <is>
          <t>Aptidão 5</t>
        </is>
      </c>
      <c r="HP6" s="141">
        <f>'FICHA AMALDIÇOADA'!$J$450&amp;""</f>
        <v/>
      </c>
      <c r="HQ6" s="141">
        <f>IF($HP6="","","Requisito: "&amp;IFERROR(VLOOKUP($HP6,$CB$2:$CJ$32,2,FALSE),""))</f>
        <v/>
      </c>
      <c r="HR6" s="141">
        <f>IF($HP6="","",IFERROR(IF(ISNUMBER(VLOOKUP($HP6,$CB$2:$CJ$32,3,FALSE)),"CP "&amp;VLOOKUP($HP6,$CB$2:$CJ$32,3,FALSE),VLOOKUP($HP6,$CB$2:$CJ$32,3,FALSE)),""))</f>
        <v/>
      </c>
      <c r="HS6" s="141">
        <f>IF($HP6="","",IFERROR(VLOOKUP($HP6,$CB$2:$CJ$32,4,FALSE),""))</f>
        <v/>
      </c>
      <c r="HT6" s="141">
        <f>IF($HP6="","",IFERROR(VLOOKUP($HP6,$CB$2:$CJ$32,5,FALSE),""))</f>
        <v/>
      </c>
      <c r="HV6" s="114" t="inlineStr">
        <is>
          <t>Classe 0 · 5</t>
        </is>
      </c>
      <c r="HW6" s="141">
        <f>'FICHA AMALDIÇOADA'!$F$314&amp;""</f>
        <v/>
      </c>
      <c r="HX6" s="141">
        <f>'FICHA AMALDIÇOADA'!$J$314&amp;""</f>
        <v/>
      </c>
      <c r="HY6" s="141">
        <f>'FICHA AMALDIÇOADA'!$L$314&amp;""</f>
        <v/>
      </c>
      <c r="HZ6" s="141">
        <f>IFERROR(MATCH($HW6,$Y$2:$Y$11,0),0)</f>
        <v/>
      </c>
      <c r="IA6" s="141">
        <f>$HE$11-IF($HX6&lt;&gt;"",1,0)+IF(AND($HX6&lt;&gt;"",$HY6&lt;&gt;""),1,0)</f>
        <v/>
      </c>
      <c r="IB6" s="141">
        <f>IF(5&gt;$HE$10,"Nível 17",IF($HZ6=0,"",IF(INDEX($AE$2:$AE$11,$HZ6)&gt;=2,"—",$IA6&amp;"d8 = "&amp;FLOOR($IA6*4.5,1))))</f>
        <v/>
      </c>
      <c r="IC6" s="141">
        <f>IF(OR(5&gt;$HE$10,$HZ6=0),"",INDEX($AP$2:$AU$31,($HZ6-1)*3+1,1+IF(OR(AND($HX6="Longe",INDEX($AH$2:$AH$11,$HZ6)&lt;&gt;2),AND($HX6="Maior",INDEX($AH$2:$AH$11,$HZ6)&gt;=2)),1,0))&amp;INDEX($AV$2:$BA$31,($HZ6-1)*3+1,1+IF(AND($HX6="Longe",INDEX($AI$2:$AI$11,$HZ6)=1),1,0)))</f>
        <v/>
      </c>
      <c r="IE6" s="141">
        <f>IF($A$2&gt;=3,INDEX($D$4:$G$4,1,$A$2),"Liberação")</f>
        <v/>
      </c>
      <c r="IF6" s="141">
        <f>ADDRESS(ROW('FICHA AMALDIÇOADA'!J7),COLUMN('FICHA AMALDIÇOADA'!J7),4)</f>
        <v/>
      </c>
      <c r="IG6" s="141">
        <f>ADDRESS(ROW('FICHA AMALDIÇOADA'!D316),COLUMN('FICHA AMALDIÇOADA'!D316),4)</f>
        <v/>
      </c>
      <c r="IH6" s="141">
        <f>ADDRESS(ROW(DADOS_AM!IE6),COLUMN(DADOS_AM!IE6),4)</f>
        <v/>
      </c>
      <c r="IJ6" s="114" t="inlineStr">
        <is>
          <t>P15</t>
        </is>
      </c>
      <c r="IK6" s="141">
        <f>UPPER(INDEX(DADOS_AM!$D$14:$G$14,1,DADOS_AM!$A$2))</f>
        <v/>
      </c>
    </row>
    <row r="7">
      <c r="C7" s="114" t="inlineStr">
        <is>
          <t>escala</t>
        </is>
      </c>
      <c r="D7" s="114" t="inlineStr">
        <is>
          <t>Refino</t>
        </is>
      </c>
      <c r="E7" s="114" t="inlineStr">
        <is>
          <t>Refino</t>
        </is>
      </c>
      <c r="F7" s="114" t="inlineStr">
        <is>
          <t>Refino</t>
        </is>
      </c>
      <c r="G7" s="114" t="inlineStr">
        <is>
          <t>Lapidação</t>
        </is>
      </c>
      <c r="I7" s="114" t="inlineStr">
        <is>
          <t>Castigo</t>
        </is>
      </c>
      <c r="J7" s="141">
        <f>'FICHA AMALDIÇOADA'!$K$37&amp;""</f>
        <v/>
      </c>
      <c r="K7" s="141">
        <f>IF($J7="Livre",1,0)</f>
        <v/>
      </c>
      <c r="L7" s="141">
        <f>IF($J7="Fechada",1,0)</f>
        <v/>
      </c>
      <c r="P7" s="141" t="n">
        <v>6</v>
      </c>
      <c r="Q7" s="141" t="n">
        <v>3</v>
      </c>
      <c r="R7" s="141" t="n">
        <v>6</v>
      </c>
      <c r="S7" s="141" t="n">
        <v>9</v>
      </c>
      <c r="T7" s="141" t="n">
        <v>1</v>
      </c>
      <c r="U7" s="141" t="n">
        <v>3</v>
      </c>
      <c r="V7" s="141" t="n">
        <v>6</v>
      </c>
      <c r="W7" s="141" t="n">
        <v>4</v>
      </c>
      <c r="Y7" s="114" t="inlineStr">
        <is>
          <t>Linha</t>
        </is>
      </c>
      <c r="Z7" s="114" t="inlineStr">
        <is>
          <t>Área</t>
        </is>
      </c>
      <c r="AA7" s="141" t="n">
        <v>1</v>
      </c>
      <c r="AB7" s="141">
        <f>IF($AA7=0,0,$AA7+3*IFERROR(VLOOKUP($Z7,$I$2:$L$10,3,FALSE),0))</f>
        <v/>
      </c>
      <c r="AC7" s="141">
        <f>IFERROR(VLOOKUP($Z7,$I$2:$L$10,4,FALSE),0)</f>
        <v/>
      </c>
      <c r="AD7" s="141" t="n">
        <v>0</v>
      </c>
      <c r="AE7" s="141" t="n">
        <v>0</v>
      </c>
      <c r="AF7" s="114" t="inlineStr">
        <is>
          <t>TR, metade</t>
        </is>
      </c>
      <c r="AG7" s="141" t="n">
        <v>1</v>
      </c>
      <c r="AH7" s="141" t="n">
        <v>3</v>
      </c>
      <c r="AI7" s="141" t="n">
        <v>0</v>
      </c>
      <c r="AJ7" s="141" t="n">
        <v>0</v>
      </c>
      <c r="AK7" s="141" t="n">
        <v>1</v>
      </c>
      <c r="AL7" s="141">
        <f>IF($AC7=1,"",$Y7)</f>
        <v/>
      </c>
      <c r="AM7" s="141">
        <f>IF(AND($AK7=1,$AC7=0),$Y7,"")</f>
        <v/>
      </c>
      <c r="AO7" s="114" t="inlineStr">
        <is>
          <t>Toque · classes 6 e 7</t>
        </is>
      </c>
      <c r="AP7" s="114" t="inlineStr">
        <is>
          <t>1,5 m, um alvo</t>
        </is>
      </c>
      <c r="AQ7" s="114" t="inlineStr">
        <is>
          <t>1,5 m, um alvo</t>
        </is>
      </c>
      <c r="AR7" s="114" t="inlineStr">
        <is>
          <t>1,5 m, um alvo</t>
        </is>
      </c>
      <c r="AS7" s="114" t="inlineStr">
        <is>
          <t>1,5 m, um alvo</t>
        </is>
      </c>
      <c r="AT7" s="114" t="inlineStr">
        <is>
          <t>1,5 m, um alvo</t>
        </is>
      </c>
      <c r="AU7" s="114" t="inlineStr">
        <is>
          <t>1,5 m, um alvo</t>
        </is>
      </c>
      <c r="AV7" s="114" t="inlineStr"/>
      <c r="AW7" s="114" t="inlineStr"/>
      <c r="AX7" s="114" t="inlineStr"/>
      <c r="AY7" s="114" t="inlineStr"/>
      <c r="AZ7" s="114" t="inlineStr"/>
      <c r="BA7" s="114" t="inlineStr"/>
      <c r="BC7" s="114" t="inlineStr">
        <is>
          <t>Troca</t>
        </is>
      </c>
      <c r="BD7" s="114" t="inlineStr">
        <is>
          <t>Alcance</t>
        </is>
      </c>
      <c r="BE7" s="141" t="n">
        <v>2</v>
      </c>
      <c r="BF7" s="141">
        <f>$BE7+3*IFERROR(VLOOKUP($BD7,$I$2:$L$10,3,FALSE),0)</f>
        <v/>
      </c>
      <c r="BG7" s="141">
        <f>IFERROR(VLOOKUP($BD7,$I$2:$L$10,4,FALSE),0)</f>
        <v/>
      </c>
      <c r="BH7" s="141" t="n">
        <v>0</v>
      </c>
      <c r="BI7" s="141">
        <f>IF($BG7=1,"",$BC7)</f>
        <v/>
      </c>
      <c r="BJ7" s="141">
        <f>IF(AND($BE7=1,$BG7=0),$BC7,"")</f>
        <v/>
      </c>
      <c r="BL7" s="114" t="inlineStr">
        <is>
          <t>Recuo (Leve)</t>
        </is>
      </c>
      <c r="BM7" s="114" t="inlineStr">
        <is>
          <t>Recuo</t>
        </is>
      </c>
      <c r="BN7" s="141" t="n">
        <v>1</v>
      </c>
      <c r="BO7" s="141" t="n">
        <v>0</v>
      </c>
      <c r="BP7" s="114" t="inlineStr">
        <is>
          <t>Recuo (Leve)</t>
        </is>
      </c>
      <c r="BR7" s="114" t="inlineStr">
        <is>
          <t>Aviso</t>
        </is>
      </c>
      <c r="BS7" s="141" t="n">
        <v>1</v>
      </c>
      <c r="BT7" s="114" t="inlineStr">
        <is>
          <t>Você sabe qual foi o último feitiço que um inimigo à vista usou.</t>
        </is>
      </c>
      <c r="BU7" s="141" t="n">
        <v>1</v>
      </c>
      <c r="BV7" s="141" t="n">
        <v>0</v>
      </c>
      <c r="BW7" s="141">
        <f>IF(OR(AND($A$2&lt;=2,$BU7=1),AND($A$2&gt;=2,$BV7=1)),$BR7,"")</f>
        <v/>
      </c>
      <c r="CB7" s="114" t="inlineStr">
        <is>
          <t>Regravação</t>
        </is>
      </c>
      <c r="CC7" s="114" t="inlineStr">
        <is>
          <t>Circulação</t>
        </is>
      </c>
      <c r="CD7" s="141" t="n">
        <v>3</v>
      </c>
      <c r="CE7" s="114" t="inlineStr">
        <is>
          <t>—</t>
        </is>
      </c>
      <c r="CF7" s="114" t="inlineStr">
        <is>
          <t>Ação Bônus, durante o seu Rescaldo. Gaste o teto inteiro da sua Energia Reversa, e o Rescaldo acaba: a sua técnica volta a responder. Nesse uso você não cura vida nenhuma. Cada uso deixa uma marca, e as marcas somem no descanso longo. Com metade da sua Inteligência + metade da sua maestria marcas, cada metade arredondando para baixo, você não abre Expansão de Domínio.</t>
        </is>
      </c>
      <c r="CG7" s="141">
        <f>IF($CJ7=1,"",IF($A$2=4,IF($CH7=1,$CB7,""),IF(OR($CH7=1,AND($A$2=3,$CI7=1)),"",$CB7)))</f>
        <v/>
      </c>
      <c r="CH7" s="141" t="n">
        <v>0</v>
      </c>
      <c r="CI7" s="141" t="n">
        <v>0</v>
      </c>
      <c r="CJ7" s="141" t="n">
        <v>0</v>
      </c>
      <c r="CR7" s="114" t="inlineStr">
        <is>
          <t>Ceifa</t>
        </is>
      </c>
      <c r="CS7" s="141" t="n">
        <v>1</v>
      </c>
      <c r="CT7" s="141" t="n">
        <v>0</v>
      </c>
      <c r="CU7" s="141">
        <f>IF(AND($A$2&gt;=3,'FICHA AMALDIÇOADA'!$J$16&amp;""="Três grupos de arma"),$CR7,"")</f>
        <v/>
      </c>
      <c r="DT7" s="114" t="inlineStr">
        <is>
          <t>Feitiço 6</t>
        </is>
      </c>
      <c r="DU7" s="141" t="n">
        <v>0</v>
      </c>
      <c r="DV7" s="141" t="n">
        <v>6</v>
      </c>
      <c r="DW7" s="141">
        <f>MAX(1,MIN(7,N('FICHA AMALDIÇOADA'!$P$72)))</f>
        <v/>
      </c>
      <c r="DX7" s="141">
        <f>'FICHA AMALDIÇOADA'!$Q$72&amp;""</f>
        <v/>
      </c>
      <c r="DY7" s="141">
        <f>'FICHA AMALDIÇOADA'!$P$79&amp;""</f>
        <v/>
      </c>
      <c r="DZ7" s="141">
        <f>'FICHA AMALDIÇOADA'!$Q$81&amp;""</f>
        <v/>
      </c>
      <c r="EA7" s="141">
        <f>'FICHA AMALDIÇOADA'!$Q$82&amp;""</f>
        <v/>
      </c>
      <c r="EB7" s="141">
        <f>'FICHA AMALDIÇOADA'!$Q$83&amp;""</f>
        <v/>
      </c>
      <c r="EC7" s="141">
        <f>'FICHA AMALDIÇOADA'!$Q$84&amp;""</f>
        <v/>
      </c>
      <c r="ED7" s="141">
        <f>'FICHA AMALDIÇOADA'!$Q$85&amp;""</f>
        <v/>
      </c>
      <c r="EE7" s="141">
        <f>'FICHA AMALDIÇOADA'!$Q$86&amp;""</f>
        <v/>
      </c>
      <c r="EF7" s="141">
        <f>IF($DX7&lt;&gt;"",1,0)</f>
        <v/>
      </c>
      <c r="EG7" s="141">
        <f>IFERROR(MATCH($DY7,$Y$2:$Y$11,0),0)</f>
        <v/>
      </c>
      <c r="EH7" s="141">
        <f>IF($EG7=0,0,INDEX($AB$2:$AB$11,$EG7))</f>
        <v/>
      </c>
      <c r="EI7" s="141">
        <f>IFERROR(VLOOKUP($DZ7,$BC$2:$BJ$84,4,FALSE),0)</f>
        <v/>
      </c>
      <c r="EJ7" s="141">
        <f>IFERROR(VLOOKUP($EA7,$BC$2:$BJ$84,4,FALSE),0)</f>
        <v/>
      </c>
      <c r="EK7" s="141">
        <f>IFERROR(VLOOKUP($EB7,$BC$2:$BJ$84,4,FALSE),0)</f>
        <v/>
      </c>
      <c r="EL7" s="141">
        <f>IFERROR(VLOOKUP($EC7,$BC$2:$BJ$84,4,FALSE),0)</f>
        <v/>
      </c>
      <c r="EM7" s="141">
        <f>IF($EG7=0,0,INDEX($AC$2:$AC$11,$EG7))</f>
        <v/>
      </c>
      <c r="EN7" s="141">
        <f>IFERROR(VLOOKUP($DZ7,$BC$2:$BJ$84,5,FALSE),0)</f>
        <v/>
      </c>
      <c r="EO7" s="141">
        <f>IFERROR(VLOOKUP($EA7,$BC$2:$BJ$84,5,FALSE),0)</f>
        <v/>
      </c>
      <c r="EP7" s="141">
        <f>IFERROR(VLOOKUP($EB7,$BC$2:$BJ$84,5,FALSE),0)</f>
        <v/>
      </c>
      <c r="EQ7" s="141">
        <f>IFERROR(VLOOKUP($EC7,$BC$2:$BJ$84,5,FALSE),0)</f>
        <v/>
      </c>
      <c r="ER7" s="141">
        <f>IFERROR(VLOOKUP($DZ7,$BC$2:$BJ$84,6,FALSE),0)+IFERROR(VLOOKUP($EA7,$BC$2:$BJ$84,6,FALSE),0)+IFERROR(VLOOKUP($EB7,$BC$2:$BJ$84,6,FALSE),0)+IFERROR(VLOOKUP($EC7,$BC$2:$BJ$84,6,FALSE),0)</f>
        <v/>
      </c>
      <c r="ES7" s="141">
        <f>IF($EG7=0,0,INDEX($AD$2:$AD$11,$EG7))</f>
        <v/>
      </c>
      <c r="ET7" s="141">
        <f>IF($EG7=0,0,INDEX($AE$2:$AE$11,$EG7))</f>
        <v/>
      </c>
      <c r="EU7" s="141">
        <f>IF($EG7=0,0,INDEX($AG$2:$AG$11,$EG7))</f>
        <v/>
      </c>
      <c r="EV7" s="141">
        <f>IFERROR(VLOOKUP($ED7,$BL$2:$BP$24,3,FALSE),0)</f>
        <v/>
      </c>
      <c r="EW7" s="141">
        <f>IFERROR(VLOOKUP($EE7,$BL$2:$BP$24,3,FALSE),0)</f>
        <v/>
      </c>
      <c r="EX7" s="141">
        <f>IFERROR(VLOOKUP($ED7,$BL$2:$BP$24,2,FALSE),"")</f>
        <v/>
      </c>
      <c r="EY7" s="141">
        <f>IFERROR(VLOOKUP($EE7,$BL$2:$BP$24,2,FALSE),"")</f>
        <v/>
      </c>
      <c r="EZ7" s="141">
        <f>COUNTIF($EH7:$EL7,1)</f>
        <v/>
      </c>
      <c r="FA7" s="141">
        <f>COUNTIF($EH7:$EL7,2)</f>
        <v/>
      </c>
      <c r="FB7" s="141">
        <f>COUNTIF($EH7:$EL7,3)</f>
        <v/>
      </c>
      <c r="FC7" s="141">
        <f>COUNTIF($EH7:$EL7,4)</f>
        <v/>
      </c>
      <c r="FD7" s="141">
        <f>COUNTIF($EH7:$EL7,5)</f>
        <v/>
      </c>
      <c r="FE7" s="141">
        <f>COUNTIF($EH7:$EL7,6)</f>
        <v/>
      </c>
      <c r="FF7" s="141">
        <f>COUNTIF($EV7:$EW7,1)</f>
        <v/>
      </c>
      <c r="FG7" s="141">
        <f>COUNTIF($EV7:$EW7,2)+$ES7</f>
        <v/>
      </c>
      <c r="FH7" s="141">
        <f>COUNTIF($DZ7:$EC7,"?*")</f>
        <v/>
      </c>
      <c r="FI7" s="141">
        <f>COUNTIF($ED7:$EE7,"?*")+$ES7</f>
        <v/>
      </c>
      <c r="FJ7" s="141">
        <f>SUMPRODUCT($EZ7:$FE7,INDEX($Q$2:$V$8,$DW7,0))</f>
        <v/>
      </c>
      <c r="FK7" s="141">
        <f>$FF7*CEILING($DW7/2,1)+$FG7*$DW7</f>
        <v/>
      </c>
      <c r="FL7" s="141">
        <f>MIN(2*$DW7,$FK7)</f>
        <v/>
      </c>
      <c r="FM7" s="141">
        <f>MIN($FL7,$FJ7)</f>
        <v/>
      </c>
      <c r="FN7" s="141">
        <f>$FL7-$FM7</f>
        <v/>
      </c>
      <c r="FO7" s="141">
        <f>3*$DW7-$FJ7+$FM7</f>
        <v/>
      </c>
      <c r="FP7" s="141">
        <f>MAX(0,$FO7)+$DU7*$DW7</f>
        <v/>
      </c>
      <c r="FQ7" s="141">
        <f>(IF(COUNTIF($DZ7:$EC7,"Salto")&gt;0,1,0)+IF(COUNTIF($DZ7:$EC7,"Queima")&gt;0,1,0))*FLOOR($FP7/2,1)</f>
        <v/>
      </c>
      <c r="FR7" s="141">
        <f>MAX(0,3-SUMPRODUCT($EZ7:$FE7,$Q$2:$V$2)+MIN(2,$FF7*1+$FG7*1,SUMPRODUCT($EZ7:$FE7,$Q$2:$V$2)))+$DU7*1</f>
        <v/>
      </c>
      <c r="FS7" s="141">
        <f>MAX(0,6-SUMPRODUCT($EZ7:$FE7,$Q$3:$V$3)+MIN(4,$FF7*1+$FG7*2,SUMPRODUCT($EZ7:$FE7,$Q$3:$V$3)))+$DU7*2</f>
        <v/>
      </c>
      <c r="FT7" s="141">
        <f>MAX(0,9-SUMPRODUCT($EZ7:$FE7,$Q$4:$V$4)+MIN(6,$FF7*2+$FG7*3,SUMPRODUCT($EZ7:$FE7,$Q$4:$V$4)))+$DU7*3</f>
        <v/>
      </c>
      <c r="FU7" s="141">
        <f>MAX(0,12-SUMPRODUCT($EZ7:$FE7,$Q$5:$V$5)+MIN(8,$FF7*2+$FG7*4,SUMPRODUCT($EZ7:$FE7,$Q$5:$V$5)))+$DU7*4</f>
        <v/>
      </c>
      <c r="FV7" s="141">
        <f>MAX(0,15-SUMPRODUCT($EZ7:$FE7,$Q$6:$V$6)+MIN(10,$FF7*3+$FG7*5,SUMPRODUCT($EZ7:$FE7,$Q$6:$V$6)))+$DU7*5</f>
        <v/>
      </c>
      <c r="FW7" s="141">
        <f>MAX(0,18-SUMPRODUCT($EZ7:$FE7,$Q$7:$V$7)+MIN(12,$FF7*3+$FG7*6,SUMPRODUCT($EZ7:$FE7,$Q$7:$V$7)))+$DU7*6</f>
        <v/>
      </c>
      <c r="FX7" s="141">
        <f>MAX(0,21-SUMPRODUCT($EZ7:$FE7,$Q$8:$V$8)+MIN(14,$FF7*4+$FG7*7,SUMPRODUCT($EZ7:$FE7,$Q$8:$V$8)))+$DU7*7</f>
        <v/>
      </c>
      <c r="FY7" s="141">
        <f>IF($ET7=2,3*$FR7&amp;" de vida temp.",IF($ET7=3,"sem dano",IF($FR7=0,IF($ET7=1,"sem cura","sem dano"),IF($ET7=1,"cura ","")&amp;$FR7&amp;"d8")))</f>
        <v/>
      </c>
      <c r="FZ7" s="141">
        <f>IF($ET7=2,3*$FS7&amp;" de vida temp.",IF($ET7=3,"sem dano",IF($FS7=0,IF($ET7=1,"sem cura","sem dano"),IF($ET7=1,"cura ","")&amp;$FS7&amp;"d8")))</f>
        <v/>
      </c>
      <c r="GA7" s="141">
        <f>IF($ET7=2,3*$FT7&amp;" de vida temp.",IF($ET7=3,"sem dano",IF($FT7=0,IF($ET7=1,"sem cura","sem dano"),IF($ET7=1,"cura ","")&amp;$FT7&amp;"d8")))</f>
        <v/>
      </c>
      <c r="GB7" s="141">
        <f>IF($ET7=2,3*$FU7&amp;" de vida temp.",IF($ET7=3,"sem dano",IF($FU7=0,IF($ET7=1,"sem cura","sem dano"),IF($ET7=1,"cura ","")&amp;$FU7&amp;"d8")))</f>
        <v/>
      </c>
      <c r="GC7" s="141">
        <f>IF($ET7=2,3*$FV7&amp;" de vida temp.",IF($ET7=3,"sem dano",IF($FV7=0,IF($ET7=1,"sem cura","sem dano"),IF($ET7=1,"cura ","")&amp;$FV7&amp;"d8")))</f>
        <v/>
      </c>
      <c r="GD7" s="141">
        <f>IF($ET7=2,3*$FW7&amp;" de vida temp.",IF($ET7=3,"sem dano",IF($FW7=0,IF($ET7=1,"sem cura","sem dano"),IF($ET7=1,"cura ","")&amp;$FW7&amp;"d8")))</f>
        <v/>
      </c>
      <c r="GE7" s="141">
        <f>IF($ET7=2,3*$FX7&amp;" de vida temp.",IF($ET7=3,"sem dano",IF($FX7=0,IF($ET7=1,"sem cura","sem dano"),IF($ET7=1,"cura ","")&amp;$FX7&amp;"d8")))</f>
        <v/>
      </c>
      <c r="GF7" s="141">
        <f>IF($EF7=0,"",TEXTJOIN(" · ",TRUE,IF(AND($DU7=1,$DV7&gt;$HE$9),"O nível "&amp;$HE$2&amp;" dá "&amp;$HE$9&amp;" Liberação Máxima",""),IF($DW7&gt;$HE$4,"Classe "&amp;$DW7&amp;": o nível "&amp;$HE$2&amp;" libera até a "&amp;$HE$4,""),IF($EM7=1,"Família Fechada: a Forma "&amp;$DY7,""),IF($EN7=1,"Família Fechada: "&amp;$DZ7,""),IF($EO7=1,"Família Fechada: "&amp;$EA7,""),IF($EP7=1,"Família Fechada: "&amp;$EB7,""),IF($EQ7=1,"Família Fechada: "&amp;$EC7,""),IF($FH7&gt;INDEX($W$2:$W$8,$DW7),$FH7&amp;" Melhorias: a Classe "&amp;$DW7&amp;" aceita "&amp;INDEX($W$2:$W$8,$DW7),""),IF($FI7&gt;2,$FI7&amp;" Restrições"&amp;IF($ES7=1,", contando a que a Forma "&amp;$DY7&amp;" já traz","")&amp;": o limite é 2",""),IF($FO7&lt;0,"Orçamento estourado: faltam "&amp;(-$FO7)&amp;IF($FO7&lt;-1," pontos"," ponto"),""),IF(IFERROR(VLOOKUP($ED7,$BL$2:$BP$24,4,FALSE),0)+IFERROR(VLOOKUP($EE7,$BL$2:$BP$24,4,FALSE),0)&gt;1,$EX7&amp;" e "&amp;$EY7&amp;" são as duas de frequência",""),IF(AND((COUNTIF($DZ7:$EC7,"Rápido")+COUNTIF($EX7:$EY7,"Rápido"))&gt;0,(COUNTIF($DZ7:$EC7,"Reação")+COUNTIF($EX7:$EY7,"Reação"))&gt;0),"Rápido não entra com Reação",""),IF(AND((COUNTIF($DZ7:$EC7,"Rápido")+COUNTIF($EX7:$EY7,"Rápido"))&gt;0,(COUNTIF($DZ7:$EC7,"Atrasar")+COUNTIF($EX7:$EY7,"Atrasar"))&gt;0),"Rápido não entra com Atrasar",""),IF(AND((COUNTIF($DZ7:$EC7,"Reação")+COUNTIF($EX7:$EY7,"Reação"))&gt;0,(COUNTIF($DZ7:$EC7,"Atrasar")+COUNTIF($EX7:$EY7,"Atrasar"))&gt;0),"Reação não entra com Atrasar",""),IF(AND((COUNTIF($DZ7:$EC7,"Reação")+COUNTIF($EX7:$EY7,"Reação"))&gt;0,(COUNTIF($DZ7:$EC7,"Parado")+COUNTIF($EX7:$EY7,"Parado"))&gt;0),"Reação não entra com Parado",""),IF(AND(COUNTIF($EX7:$EY7,"Corpo a Corpo")&gt;0,$ES7=0,OR($DY7="Cone",$DY7="Linha")),"Corpo a Corpo não entra em "&amp;$DY7,""),IF(AND(COUNTIF($EX7:$EY7,"Corpo a Corpo")&gt;0,$ES7=1),"A Forma "&amp;$DY7&amp;" já traz o Corpo a Corpo",""),IF(AND(COUNTIF($EX7:$EY7,"Tudo ou Nada")&gt;0,$EU7=0),"Tudo ou Nada só entra em feitiço de Teste de Resistência",""),IF(AND(COUNTIF($DZ7:$EC7,"Inescapável")&gt;0,OR($FH7&gt;1,$FI7&gt;0)),"Inescapável não aceita outra peça",""),IF(AND($DU7=1,$DW7&lt;3),"Liberação Máxima é de Classe 3 ou mais",""),IF(AND($DU7=1,OR($ET7=1,$ET7=2)),"Liberação Máxima não serve para cura",""),IF(AND($DU7=1,COUNTIF($DZ7:$EC7,"Inescapável")+COUNTIF($DZ7:$EC7,"Toca a Alma")&gt;0),"Esta peça não entra numa Liberação Máxima",""),IF($FP7+$FQ7&gt;4*$DW7,($FP7+$FQ7)&amp;" dados somando alvos e repetições: o teto da Classe "&amp;$DW7&amp;" é "&amp;4*$DW7,"")))</f>
        <v/>
      </c>
      <c r="GG7" s="141">
        <f>IF($GF7="",0,(LEN($GF7)-LEN(SUBSTITUTE($GF7," · ","")))/3+1)</f>
        <v/>
      </c>
      <c r="GH7" s="141">
        <f>IF($EF7=0,"",TEXTJOIN(" · ",TRUE,IF($FK7&gt;2*$DW7,"A devolução parou no teto de "&amp;2*$DW7,""),IF($FN7&gt;0,"Devolução perdida: "&amp;$FN7&amp;IF($FN7&gt;1," pontos"," ponto")&amp;" sem peça para pagar",""),IF(AND($ER7&gt;0,$FP7=0),"Controle sem dano: uma rodada a mais e CD +2",""),IF(AND($ER7&gt;0,$FP7&gt;0,$FP7&lt;=$DW7),"Controle com um quarto do teto: uma rodada a mais","")))</f>
        <v/>
      </c>
      <c r="GI7" s="141">
        <f>IF($GH7="",0,(LEN($GH7)-LEN(SUBSTITUTE($GH7," · ","")))/3+1)</f>
        <v/>
      </c>
      <c r="GJ7" s="141">
        <f>IF($EF7=0,IF($FH7+$FI7-$ES7&gt;0,"Dê um nome",""),IF($GG7&gt;0,"⚠ "&amp;$GG7&amp;IF($GG7&gt;1," erros"," erro"),IF($GI7&gt;0,"! "&amp;$GI7&amp;IF($GI7&gt;1," avisos"," aviso"),"Na regra")))</f>
        <v/>
      </c>
      <c r="GK7" s="141">
        <f>IF($EF7=0,"",IF($GG7+$GI7=0,"Dentro das regras que a ficha confere",$GF7&amp;IF(AND($GG7&gt;0,$GI7&gt;0)," · ","")&amp;$GH7))</f>
        <v/>
      </c>
      <c r="GL7" s="141">
        <f>IF($EF7=0,"",IF($DU7=1,CEILING(4.5*$DW7,1),3*$DW7)&amp;" PE")</f>
        <v/>
      </c>
      <c r="GM7" s="141">
        <f>IF($EF7=0,"",IF($DU7=1,"Rodada inteira",IF(COUNTIF($EX7:$EY7,"Atrasar")&gt;0,IF(COUNTIF($EX7:$EY7,"Carregar")&gt;0,"Rodada +1 turno","Rodada inteira"),IF(COUNTIF($DZ7:$EC7,"Rápido")&gt;0,"Bônus",IF(COUNTIF($DZ7:$EC7,"Reação")&gt;0,"Reação","Padrão"))&amp;IF(COUNTIF($EX7:$EY7,"Carregar")&gt;0," +1 turno",""))))</f>
        <v/>
      </c>
      <c r="GN7" s="141">
        <f>IF(OR($EF7=0,$EG7=0),"",IF(COUNTIF($DZ7:$EC7,"Inescapável")&gt;0,"Automático",IF(COUNTIF($DZ7:$EC7,"Certeiro")&gt;0,"TR para metade",INDEX($AF$2:$AF$11,$EG7))))</f>
        <v/>
      </c>
      <c r="GO7" s="141">
        <f>IF(OR($EF7=0,$EG7=0),"",IF(OR($ET7&gt;=2,$FP7=0),UPPER(LEFT(INDEX($FY7:$GE7,1,$DW7),1))&amp;MID(INDEX($FY7:$GE7,1,$DW7),2,99),UPPER(LEFT(INDEX($FY7:$GE7,1,$DW7),1))&amp;MID(INDEX($FY7:$GE7,1,$DW7),2,99)&amp;" = "&amp;FLOOR($FP7*4.5,1)&amp;IF($FQ7&gt;0," · +"&amp;$FQ7&amp;"d8","")))</f>
        <v/>
      </c>
      <c r="GP7" s="141">
        <f>COUNTIF($DZ7:$EC7,"Longe")+3*COUNTIF($DZ7:$EC7,"Muito Longe")</f>
        <v/>
      </c>
      <c r="GQ7" s="141">
        <f>COUNTIF($DZ7:$EC7,"Maior")+3*COUNTIF($DZ7:$EC7,"Muito Maior")</f>
        <v/>
      </c>
      <c r="GR7" s="141">
        <f>IF($EG7=0,0,CHOOSE(1+INDEX($AH$2:$AH$11,$EG7),0,$GP7,$GQ7,$GP7+$GQ7))</f>
        <v/>
      </c>
      <c r="GS7" s="141">
        <f>IF($EG7=0,0,CHOOSE(1+INDEX($AI$2:$AI$11,$EG7),0,$GP7,$GQ7,$GP7+$GQ7))</f>
        <v/>
      </c>
      <c r="GT7" s="141">
        <f>IF(OR($EF7=0,$EG7=0),"",INDEX($AP$2:$AU$31,($EG7-1)*3+IF($DW7&gt;=6,3,2),1+MIN(5,$GR7))&amp;INDEX($AV$2:$BA$31,($EG7-1)*3+IF($DW7&gt;=6,3,2),1+MIN(5,$GS7))&amp;IF(INDEX($AJ$2:$AJ$11,$EG7)=1,IF(COUNTIF($DZ7:$EC7,"Mais Um")&gt;0," · +"&amp;COUNTIF($DZ7:$EC7,"Mais Um")&amp;IF(COUNTIF($DZ7:$EC7,"Mais Um")&gt;1," alvos"," alvo"),"")&amp;IF(COUNTIF($DZ7:$EC7,"Rajada")&gt;0," · "&amp;($DW7+1)&amp;" tiros",""),""))</f>
        <v/>
      </c>
      <c r="GU7" s="141">
        <f>IF($EF7=0,"",3*$DW7&amp;" − "&amp;$FJ7&amp;" + "&amp;$FM7&amp;IF($DU7=1," + "&amp;$DW7,"")&amp;" = "&amp;$FP7&amp;"d8 · teto "&amp;4*$DW7&amp;IF($ES7=1," · a Forma devolve "&amp;$DW7,"")&amp;IF($FN7&gt;0," · perde "&amp;$FN7,""))</f>
        <v/>
      </c>
      <c r="GV7" s="141">
        <f>IF($EF7=0,"",IF($DW7&gt;=$HE$4,"Já está na maior Classe que o nível liberou",TEXTJOIN(" · ",TRUE,IF(AND(2&gt;$DW7,2&lt;=$HE$4),"2 → "&amp;$FZ7&amp;", "&amp;IF($DU7=1,9,6)&amp;" PE",""),IF(AND(3&gt;$DW7,3&lt;=$HE$4),"3 → "&amp;$GA7&amp;", "&amp;IF($DU7=1,14,9)&amp;" PE",""),IF(AND(4&gt;$DW7,4&lt;=$HE$4),"4 → "&amp;$GB7&amp;", "&amp;IF($DU7=1,18,12)&amp;" PE",""),IF(AND(5&gt;$DW7,5&lt;=$HE$4),"5 → "&amp;$GC7&amp;", "&amp;IF($DU7=1,23,15)&amp;" PE",""),IF(AND(6&gt;$DW7,6&lt;=$HE$4),"6 → "&amp;$GD7&amp;", "&amp;IF($DU7=1,27,18)&amp;" PE",""),IF(AND(7&gt;$DW7,7&lt;=$HE$4),"7 → "&amp;$GE7&amp;", "&amp;IF($DU7=1,32,21)&amp;" PE",""))))</f>
        <v/>
      </c>
      <c r="GW7" s="141">
        <f>IF(OR($EF7=0,$EI7=0),"","−"&amp;INDEX($Q$2:$V$8,$DW7,$EI7)&amp;" · "&amp;CHOOSE($EI7,"Leve","Média","Pesada","Leve · Livre","Média · Livre","Pesada · Livre"))</f>
        <v/>
      </c>
      <c r="GX7" s="141">
        <f>IF(OR($EF7=0,$EJ7=0),"","−"&amp;INDEX($Q$2:$V$8,$DW7,$EJ7)&amp;" · "&amp;CHOOSE($EJ7,"Leve","Média","Pesada","Leve · Livre","Média · Livre","Pesada · Livre"))</f>
        <v/>
      </c>
      <c r="GY7" s="141">
        <f>IF(OR($EF7=0,$EK7=0),"","−"&amp;INDEX($Q$2:$V$8,$DW7,$EK7)&amp;" · "&amp;CHOOSE($EK7,"Leve","Média","Pesada","Leve · Livre","Média · Livre","Pesada · Livre"))</f>
        <v/>
      </c>
      <c r="GZ7" s="141">
        <f>IF(OR($EF7=0,$EL7=0),"","−"&amp;INDEX($Q$2:$V$8,$DW7,$EL7)&amp;" · "&amp;CHOOSE($EL7,"Leve","Média","Pesada","Leve · Livre","Média · Livre","Pesada · Livre"))</f>
        <v/>
      </c>
      <c r="HA7" s="141">
        <f>IF(OR($EF7=0,$ED7=""),"","+"&amp;IF($EV7=1,CEILING($DW7/2,1),$DW7))</f>
        <v/>
      </c>
      <c r="HB7" s="141">
        <f>IF(OR($EF7=0,$EE7=""),"","+"&amp;IF($EW7=1,CEILING($DW7/2,1),$DW7))</f>
        <v/>
      </c>
      <c r="HD7" s="114" t="inlineStr">
        <is>
          <t>essência</t>
        </is>
      </c>
      <c r="HE7" s="141">
        <f>N(FICHA!$AJ$19)</f>
        <v/>
      </c>
      <c r="HG7" s="114" t="inlineStr">
        <is>
          <t>Passiva 6 · Leque</t>
        </is>
      </c>
      <c r="HH7" s="141">
        <f>'FICHA AMALDIÇOADA'!$D$397&amp;""</f>
        <v/>
      </c>
      <c r="HI7" s="141">
        <f>IFERROR(VLOOKUP($HH7,$BR$2:$BW$24,2,FALSE),0)</f>
        <v/>
      </c>
      <c r="HJ7" s="141">
        <f>IFERROR(VLOOKUP($HI7,$BY$2:$BZ$4,2,FALSE),0)</f>
        <v/>
      </c>
      <c r="HK7" s="141">
        <f>IFERROR(VLOOKUP($HH7,$BR$2:$BW$24,3,FALSE),"")</f>
        <v/>
      </c>
      <c r="HL7" s="141">
        <f>IF($HI7=0,"",IF($HJ7&gt;$HE$2,"⚠ Nível "&amp;$HJ7,"CP "&amp;$HI7))</f>
        <v/>
      </c>
      <c r="HM7" s="141">
        <f>IF($HI7=0,"",IF(1&gt;$HE$8,"⚠ Vaga","Grátis"))</f>
        <v/>
      </c>
      <c r="HO7" s="114" t="inlineStr">
        <is>
          <t>Aptidão 6</t>
        </is>
      </c>
      <c r="HP7" s="141">
        <f>'FICHA AMALDIÇOADA'!$P$450&amp;""</f>
        <v/>
      </c>
      <c r="HQ7" s="141">
        <f>IF($HP7="","","Requisito: "&amp;IFERROR(VLOOKUP($HP7,$CB$2:$CJ$32,2,FALSE),""))</f>
        <v/>
      </c>
      <c r="HR7" s="141">
        <f>IF($HP7="","",IFERROR(IF(ISNUMBER(VLOOKUP($HP7,$CB$2:$CJ$32,3,FALSE)),"CP "&amp;VLOOKUP($HP7,$CB$2:$CJ$32,3,FALSE),VLOOKUP($HP7,$CB$2:$CJ$32,3,FALSE)),""))</f>
        <v/>
      </c>
      <c r="HS7" s="141">
        <f>IF($HP7="","",IFERROR(VLOOKUP($HP7,$CB$2:$CJ$32,4,FALSE),""))</f>
        <v/>
      </c>
      <c r="HT7" s="141">
        <f>IF($HP7="","",IFERROR(VLOOKUP($HP7,$CB$2:$CJ$32,5,FALSE),""))</f>
        <v/>
      </c>
      <c r="IE7" s="141">
        <f>IF($A$2=1,"T. Máxima",INDEX($D$5:$G$5,1,$A$2))</f>
        <v/>
      </c>
      <c r="IF7" s="141">
        <f>ADDRESS(ROW('FICHA AMALDIÇOADA'!K7),COLUMN('FICHA AMALDIÇOADA'!K7),4)</f>
        <v/>
      </c>
      <c r="IG7" s="141">
        <f>ADDRESS(ROW('FICHA AMALDIÇOADA'!D340),COLUMN('FICHA AMALDIÇOADA'!D340),4)</f>
        <v/>
      </c>
      <c r="IH7" s="141">
        <f>ADDRESS(ROW(DADOS_AM!IE7),COLUMN(DADOS_AM!IE7),4)</f>
        <v/>
      </c>
      <c r="IJ7" s="114" t="inlineStr">
        <is>
          <t>D16</t>
        </is>
      </c>
      <c r="IK7" s="141">
        <f>INDEX(DADOS_AM!$D$17:$G$17,1,DADOS_AM!$A$2)</f>
        <v/>
      </c>
    </row>
    <row r="8">
      <c r="C8" s="114" t="inlineStr">
        <is>
          <t>o que escala</t>
        </is>
      </c>
      <c r="D8" s="114" t="inlineStr">
        <is>
          <t>O refino escala</t>
        </is>
      </c>
      <c r="E8" s="114" t="inlineStr">
        <is>
          <t>O refino escala</t>
        </is>
      </c>
      <c r="F8" s="114" t="inlineStr">
        <is>
          <t>O refino escala</t>
        </is>
      </c>
      <c r="G8" s="114" t="inlineStr">
        <is>
          <t>A Lapidação escala</t>
        </is>
      </c>
      <c r="I8" s="114" t="inlineStr">
        <is>
          <t>Tempo</t>
        </is>
      </c>
      <c r="J8" s="141">
        <f>'FICHA AMALDIÇOADA'!$L$37&amp;""</f>
        <v/>
      </c>
      <c r="K8" s="141">
        <f>IF($J8="Livre",1,0)</f>
        <v/>
      </c>
      <c r="L8" s="141">
        <f>IF($J8="Fechada",1,0)</f>
        <v/>
      </c>
      <c r="P8" s="141" t="n">
        <v>7</v>
      </c>
      <c r="Q8" s="141" t="n">
        <v>4</v>
      </c>
      <c r="R8" s="141" t="n">
        <v>7</v>
      </c>
      <c r="S8" s="141" t="n">
        <v>11</v>
      </c>
      <c r="T8" s="141" t="n">
        <v>1</v>
      </c>
      <c r="U8" s="141" t="n">
        <v>3</v>
      </c>
      <c r="V8" s="141" t="n">
        <v>7</v>
      </c>
      <c r="W8" s="141" t="n">
        <v>4</v>
      </c>
      <c r="Y8" s="114" t="inlineStr">
        <is>
          <t>Cura</t>
        </is>
      </c>
      <c r="Z8" s="114" t="inlineStr">
        <is>
          <t>Amparo</t>
        </is>
      </c>
      <c r="AA8" s="141" t="n">
        <v>2</v>
      </c>
      <c r="AB8" s="141">
        <f>IF($AA8=0,0,$AA8+3*IFERROR(VLOOKUP($Z8,$I$2:$L$10,3,FALSE),0))</f>
        <v/>
      </c>
      <c r="AC8" s="141">
        <f>IFERROR(VLOOKUP($Z8,$I$2:$L$10,4,FALSE),0)</f>
        <v/>
      </c>
      <c r="AD8" s="141" t="n">
        <v>0</v>
      </c>
      <c r="AE8" s="141" t="n">
        <v>1</v>
      </c>
      <c r="AF8" s="114" t="inlineStr">
        <is>
          <t>Automático</t>
        </is>
      </c>
      <c r="AG8" s="141" t="n">
        <v>0</v>
      </c>
      <c r="AH8" s="141" t="n">
        <v>1</v>
      </c>
      <c r="AI8" s="141" t="n">
        <v>0</v>
      </c>
      <c r="AJ8" s="141" t="n">
        <v>0</v>
      </c>
      <c r="AK8" s="141" t="n">
        <v>0</v>
      </c>
      <c r="AL8" s="141">
        <f>IF($AC8=1,"",$Y8)</f>
        <v/>
      </c>
      <c r="AM8" s="141">
        <f>IF(AND($AK8=1,$AC8=0),$Y8,"")</f>
        <v/>
      </c>
      <c r="AO8" s="114" t="inlineStr">
        <is>
          <t>Explosão · classe 0</t>
        </is>
      </c>
      <c r="AP8" s="114" t="inlineStr">
        <is>
          <t>Raio 3 m</t>
        </is>
      </c>
      <c r="AQ8" s="114" t="inlineStr">
        <is>
          <t>Raio 4,5 m</t>
        </is>
      </c>
      <c r="AR8" s="114" t="inlineStr">
        <is>
          <t>Raio 6 m</t>
        </is>
      </c>
      <c r="AS8" s="114" t="inlineStr">
        <is>
          <t>Raio 9 m</t>
        </is>
      </c>
      <c r="AT8" s="114" t="inlineStr">
        <is>
          <t>Raio 15 m</t>
        </is>
      </c>
      <c r="AU8" s="114" t="inlineStr">
        <is>
          <t>Raio 15 m</t>
        </is>
      </c>
      <c r="AV8" s="114" t="inlineStr">
        <is>
          <t>, a 9 m</t>
        </is>
      </c>
      <c r="AW8" s="114" t="inlineStr">
        <is>
          <t>, a 18 m</t>
        </is>
      </c>
      <c r="AX8" s="114" t="inlineStr">
        <is>
          <t>, a 36 m</t>
        </is>
      </c>
      <c r="AY8" s="114" t="inlineStr">
        <is>
          <t>, a 90 m</t>
        </is>
      </c>
      <c r="AZ8" s="114" t="inlineStr">
        <is>
          <t>, a o que você enxergar</t>
        </is>
      </c>
      <c r="BA8" s="114" t="inlineStr">
        <is>
          <t>, a o que você enxergar</t>
        </is>
      </c>
      <c r="BC8" s="114" t="inlineStr">
        <is>
          <t>Perseguir</t>
        </is>
      </c>
      <c r="BD8" s="114" t="inlineStr">
        <is>
          <t>Alcance</t>
        </is>
      </c>
      <c r="BE8" s="141" t="n">
        <v>2</v>
      </c>
      <c r="BF8" s="141">
        <f>$BE8+3*IFERROR(VLOOKUP($BD8,$I$2:$L$10,3,FALSE),0)</f>
        <v/>
      </c>
      <c r="BG8" s="141">
        <f>IFERROR(VLOOKUP($BD8,$I$2:$L$10,4,FALSE),0)</f>
        <v/>
      </c>
      <c r="BH8" s="141" t="n">
        <v>0</v>
      </c>
      <c r="BI8" s="141">
        <f>IF($BG8=1,"",$BC8)</f>
        <v/>
      </c>
      <c r="BJ8" s="141">
        <f>IF(AND($BE8=1,$BG8=0),$BC8,"")</f>
        <v/>
      </c>
      <c r="BL8" s="114" t="inlineStr">
        <is>
          <t>Recuo (Média)</t>
        </is>
      </c>
      <c r="BM8" s="114" t="inlineStr">
        <is>
          <t>Recuo</t>
        </is>
      </c>
      <c r="BN8" s="141" t="n">
        <v>2</v>
      </c>
      <c r="BO8" s="141" t="n">
        <v>0</v>
      </c>
      <c r="BP8" s="114" t="inlineStr"/>
      <c r="BR8" s="114" t="inlineStr">
        <is>
          <t>Fluxo</t>
        </is>
      </c>
      <c r="BS8" s="141" t="n">
        <v>2</v>
      </c>
      <c r="BT8" s="114" t="inlineStr">
        <is>
          <t>Ao conjurar Classe 3 ou mais, você ganha 2 × Classe de vida temporária.</t>
        </is>
      </c>
      <c r="BU8" s="141" t="n">
        <v>1</v>
      </c>
      <c r="BV8" s="141" t="n">
        <v>0</v>
      </c>
      <c r="BW8" s="141">
        <f>IF(OR(AND($A$2&lt;=2,$BU8=1),AND($A$2&gt;=2,$BV8=1)),$BR8,"")</f>
        <v/>
      </c>
      <c r="CB8" s="114" t="inlineStr">
        <is>
          <t>Kokusen Melhorado</t>
        </is>
      </c>
      <c r="CC8" s="114" t="inlineStr">
        <is>
          <t>refino 5 e nível 14</t>
        </is>
      </c>
      <c r="CD8" s="114" t="inlineStr">
        <is>
          <t>—</t>
        </is>
      </c>
      <c r="CE8" s="114" t="inlineStr">
        <is>
          <t>Vantagem no d100</t>
        </is>
      </c>
      <c r="CF8" s="114" t="inlineStr">
        <is>
          <t>Mesma regra do Kokusen, exceto que você rola dois d100 e fica com o melhor.</t>
        </is>
      </c>
      <c r="CG8" s="141">
        <f>IF($CJ8=1,"",IF($A$2=4,IF($CH8=1,$CB8,""),IF(OR($CH8=1,AND($A$2=3,$CI8=1)),"",$CB8)))</f>
        <v/>
      </c>
      <c r="CH8" s="141" t="n">
        <v>0</v>
      </c>
      <c r="CI8" s="141" t="n">
        <v>0</v>
      </c>
      <c r="CJ8" s="141" t="n">
        <v>0</v>
      </c>
      <c r="CR8" s="114" t="inlineStr">
        <is>
          <t>Armas Longas</t>
        </is>
      </c>
      <c r="CS8" s="141" t="n">
        <v>1</v>
      </c>
      <c r="CT8" s="141" t="n">
        <v>0</v>
      </c>
      <c r="CU8" s="141">
        <f>IF(AND($A$2&gt;=3,'FICHA AMALDIÇOADA'!$J$16&amp;""="Três grupos de arma"),$CR8,"")</f>
        <v/>
      </c>
      <c r="DT8" s="114" t="inlineStr">
        <is>
          <t>Feitiço 7</t>
        </is>
      </c>
      <c r="DU8" s="141" t="n">
        <v>0</v>
      </c>
      <c r="DV8" s="141" t="n">
        <v>7</v>
      </c>
      <c r="DW8" s="141">
        <f>MAX(1,MIN(7,N('FICHA AMALDIÇOADA'!$D$93)))</f>
        <v/>
      </c>
      <c r="DX8" s="141">
        <f>'FICHA AMALDIÇOADA'!$E$93&amp;""</f>
        <v/>
      </c>
      <c r="DY8" s="141">
        <f>'FICHA AMALDIÇOADA'!$D$100&amp;""</f>
        <v/>
      </c>
      <c r="DZ8" s="141">
        <f>'FICHA AMALDIÇOADA'!$E$102&amp;""</f>
        <v/>
      </c>
      <c r="EA8" s="141">
        <f>'FICHA AMALDIÇOADA'!$E$103&amp;""</f>
        <v/>
      </c>
      <c r="EB8" s="141">
        <f>'FICHA AMALDIÇOADA'!$E$104&amp;""</f>
        <v/>
      </c>
      <c r="EC8" s="141">
        <f>'FICHA AMALDIÇOADA'!$E$105&amp;""</f>
        <v/>
      </c>
      <c r="ED8" s="141">
        <f>'FICHA AMALDIÇOADA'!$E$106&amp;""</f>
        <v/>
      </c>
      <c r="EE8" s="141">
        <f>'FICHA AMALDIÇOADA'!$E$107&amp;""</f>
        <v/>
      </c>
      <c r="EF8" s="141">
        <f>IF($DX8&lt;&gt;"",1,0)</f>
        <v/>
      </c>
      <c r="EG8" s="141">
        <f>IFERROR(MATCH($DY8,$Y$2:$Y$11,0),0)</f>
        <v/>
      </c>
      <c r="EH8" s="141">
        <f>IF($EG8=0,0,INDEX($AB$2:$AB$11,$EG8))</f>
        <v/>
      </c>
      <c r="EI8" s="141">
        <f>IFERROR(VLOOKUP($DZ8,$BC$2:$BJ$84,4,FALSE),0)</f>
        <v/>
      </c>
      <c r="EJ8" s="141">
        <f>IFERROR(VLOOKUP($EA8,$BC$2:$BJ$84,4,FALSE),0)</f>
        <v/>
      </c>
      <c r="EK8" s="141">
        <f>IFERROR(VLOOKUP($EB8,$BC$2:$BJ$84,4,FALSE),0)</f>
        <v/>
      </c>
      <c r="EL8" s="141">
        <f>IFERROR(VLOOKUP($EC8,$BC$2:$BJ$84,4,FALSE),0)</f>
        <v/>
      </c>
      <c r="EM8" s="141">
        <f>IF($EG8=0,0,INDEX($AC$2:$AC$11,$EG8))</f>
        <v/>
      </c>
      <c r="EN8" s="141">
        <f>IFERROR(VLOOKUP($DZ8,$BC$2:$BJ$84,5,FALSE),0)</f>
        <v/>
      </c>
      <c r="EO8" s="141">
        <f>IFERROR(VLOOKUP($EA8,$BC$2:$BJ$84,5,FALSE),0)</f>
        <v/>
      </c>
      <c r="EP8" s="141">
        <f>IFERROR(VLOOKUP($EB8,$BC$2:$BJ$84,5,FALSE),0)</f>
        <v/>
      </c>
      <c r="EQ8" s="141">
        <f>IFERROR(VLOOKUP($EC8,$BC$2:$BJ$84,5,FALSE),0)</f>
        <v/>
      </c>
      <c r="ER8" s="141">
        <f>IFERROR(VLOOKUP($DZ8,$BC$2:$BJ$84,6,FALSE),0)+IFERROR(VLOOKUP($EA8,$BC$2:$BJ$84,6,FALSE),0)+IFERROR(VLOOKUP($EB8,$BC$2:$BJ$84,6,FALSE),0)+IFERROR(VLOOKUP($EC8,$BC$2:$BJ$84,6,FALSE),0)</f>
        <v/>
      </c>
      <c r="ES8" s="141">
        <f>IF($EG8=0,0,INDEX($AD$2:$AD$11,$EG8))</f>
        <v/>
      </c>
      <c r="ET8" s="141">
        <f>IF($EG8=0,0,INDEX($AE$2:$AE$11,$EG8))</f>
        <v/>
      </c>
      <c r="EU8" s="141">
        <f>IF($EG8=0,0,INDEX($AG$2:$AG$11,$EG8))</f>
        <v/>
      </c>
      <c r="EV8" s="141">
        <f>IFERROR(VLOOKUP($ED8,$BL$2:$BP$24,3,FALSE),0)</f>
        <v/>
      </c>
      <c r="EW8" s="141">
        <f>IFERROR(VLOOKUP($EE8,$BL$2:$BP$24,3,FALSE),0)</f>
        <v/>
      </c>
      <c r="EX8" s="141">
        <f>IFERROR(VLOOKUP($ED8,$BL$2:$BP$24,2,FALSE),"")</f>
        <v/>
      </c>
      <c r="EY8" s="141">
        <f>IFERROR(VLOOKUP($EE8,$BL$2:$BP$24,2,FALSE),"")</f>
        <v/>
      </c>
      <c r="EZ8" s="141">
        <f>COUNTIF($EH8:$EL8,1)</f>
        <v/>
      </c>
      <c r="FA8" s="141">
        <f>COUNTIF($EH8:$EL8,2)</f>
        <v/>
      </c>
      <c r="FB8" s="141">
        <f>COUNTIF($EH8:$EL8,3)</f>
        <v/>
      </c>
      <c r="FC8" s="141">
        <f>COUNTIF($EH8:$EL8,4)</f>
        <v/>
      </c>
      <c r="FD8" s="141">
        <f>COUNTIF($EH8:$EL8,5)</f>
        <v/>
      </c>
      <c r="FE8" s="141">
        <f>COUNTIF($EH8:$EL8,6)</f>
        <v/>
      </c>
      <c r="FF8" s="141">
        <f>COUNTIF($EV8:$EW8,1)</f>
        <v/>
      </c>
      <c r="FG8" s="141">
        <f>COUNTIF($EV8:$EW8,2)+$ES8</f>
        <v/>
      </c>
      <c r="FH8" s="141">
        <f>COUNTIF($DZ8:$EC8,"?*")</f>
        <v/>
      </c>
      <c r="FI8" s="141">
        <f>COUNTIF($ED8:$EE8,"?*")+$ES8</f>
        <v/>
      </c>
      <c r="FJ8" s="141">
        <f>SUMPRODUCT($EZ8:$FE8,INDEX($Q$2:$V$8,$DW8,0))</f>
        <v/>
      </c>
      <c r="FK8" s="141">
        <f>$FF8*CEILING($DW8/2,1)+$FG8*$DW8</f>
        <v/>
      </c>
      <c r="FL8" s="141">
        <f>MIN(2*$DW8,$FK8)</f>
        <v/>
      </c>
      <c r="FM8" s="141">
        <f>MIN($FL8,$FJ8)</f>
        <v/>
      </c>
      <c r="FN8" s="141">
        <f>$FL8-$FM8</f>
        <v/>
      </c>
      <c r="FO8" s="141">
        <f>3*$DW8-$FJ8+$FM8</f>
        <v/>
      </c>
      <c r="FP8" s="141">
        <f>MAX(0,$FO8)+$DU8*$DW8</f>
        <v/>
      </c>
      <c r="FQ8" s="141">
        <f>(IF(COUNTIF($DZ8:$EC8,"Salto")&gt;0,1,0)+IF(COUNTIF($DZ8:$EC8,"Queima")&gt;0,1,0))*FLOOR($FP8/2,1)</f>
        <v/>
      </c>
      <c r="FR8" s="141">
        <f>MAX(0,3-SUMPRODUCT($EZ8:$FE8,$Q$2:$V$2)+MIN(2,$FF8*1+$FG8*1,SUMPRODUCT($EZ8:$FE8,$Q$2:$V$2)))+$DU8*1</f>
        <v/>
      </c>
      <c r="FS8" s="141">
        <f>MAX(0,6-SUMPRODUCT($EZ8:$FE8,$Q$3:$V$3)+MIN(4,$FF8*1+$FG8*2,SUMPRODUCT($EZ8:$FE8,$Q$3:$V$3)))+$DU8*2</f>
        <v/>
      </c>
      <c r="FT8" s="141">
        <f>MAX(0,9-SUMPRODUCT($EZ8:$FE8,$Q$4:$V$4)+MIN(6,$FF8*2+$FG8*3,SUMPRODUCT($EZ8:$FE8,$Q$4:$V$4)))+$DU8*3</f>
        <v/>
      </c>
      <c r="FU8" s="141">
        <f>MAX(0,12-SUMPRODUCT($EZ8:$FE8,$Q$5:$V$5)+MIN(8,$FF8*2+$FG8*4,SUMPRODUCT($EZ8:$FE8,$Q$5:$V$5)))+$DU8*4</f>
        <v/>
      </c>
      <c r="FV8" s="141">
        <f>MAX(0,15-SUMPRODUCT($EZ8:$FE8,$Q$6:$V$6)+MIN(10,$FF8*3+$FG8*5,SUMPRODUCT($EZ8:$FE8,$Q$6:$V$6)))+$DU8*5</f>
        <v/>
      </c>
      <c r="FW8" s="141">
        <f>MAX(0,18-SUMPRODUCT($EZ8:$FE8,$Q$7:$V$7)+MIN(12,$FF8*3+$FG8*6,SUMPRODUCT($EZ8:$FE8,$Q$7:$V$7)))+$DU8*6</f>
        <v/>
      </c>
      <c r="FX8" s="141">
        <f>MAX(0,21-SUMPRODUCT($EZ8:$FE8,$Q$8:$V$8)+MIN(14,$FF8*4+$FG8*7,SUMPRODUCT($EZ8:$FE8,$Q$8:$V$8)))+$DU8*7</f>
        <v/>
      </c>
      <c r="FY8" s="141">
        <f>IF($ET8=2,3*$FR8&amp;" de vida temp.",IF($ET8=3,"sem dano",IF($FR8=0,IF($ET8=1,"sem cura","sem dano"),IF($ET8=1,"cura ","")&amp;$FR8&amp;"d8")))</f>
        <v/>
      </c>
      <c r="FZ8" s="141">
        <f>IF($ET8=2,3*$FS8&amp;" de vida temp.",IF($ET8=3,"sem dano",IF($FS8=0,IF($ET8=1,"sem cura","sem dano"),IF($ET8=1,"cura ","")&amp;$FS8&amp;"d8")))</f>
        <v/>
      </c>
      <c r="GA8" s="141">
        <f>IF($ET8=2,3*$FT8&amp;" de vida temp.",IF($ET8=3,"sem dano",IF($FT8=0,IF($ET8=1,"sem cura","sem dano"),IF($ET8=1,"cura ","")&amp;$FT8&amp;"d8")))</f>
        <v/>
      </c>
      <c r="GB8" s="141">
        <f>IF($ET8=2,3*$FU8&amp;" de vida temp.",IF($ET8=3,"sem dano",IF($FU8=0,IF($ET8=1,"sem cura","sem dano"),IF($ET8=1,"cura ","")&amp;$FU8&amp;"d8")))</f>
        <v/>
      </c>
      <c r="GC8" s="141">
        <f>IF($ET8=2,3*$FV8&amp;" de vida temp.",IF($ET8=3,"sem dano",IF($FV8=0,IF($ET8=1,"sem cura","sem dano"),IF($ET8=1,"cura ","")&amp;$FV8&amp;"d8")))</f>
        <v/>
      </c>
      <c r="GD8" s="141">
        <f>IF($ET8=2,3*$FW8&amp;" de vida temp.",IF($ET8=3,"sem dano",IF($FW8=0,IF($ET8=1,"sem cura","sem dano"),IF($ET8=1,"cura ","")&amp;$FW8&amp;"d8")))</f>
        <v/>
      </c>
      <c r="GE8" s="141">
        <f>IF($ET8=2,3*$FX8&amp;" de vida temp.",IF($ET8=3,"sem dano",IF($FX8=0,IF($ET8=1,"sem cura","sem dano"),IF($ET8=1,"cura ","")&amp;$FX8&amp;"d8")))</f>
        <v/>
      </c>
      <c r="GF8" s="141">
        <f>IF($EF8=0,"",TEXTJOIN(" · ",TRUE,IF(AND($DU8=1,$DV8&gt;$HE$9),"O nível "&amp;$HE$2&amp;" dá "&amp;$HE$9&amp;" Liberação Máxima",""),IF($DW8&gt;$HE$4,"Classe "&amp;$DW8&amp;": o nível "&amp;$HE$2&amp;" libera até a "&amp;$HE$4,""),IF($EM8=1,"Família Fechada: a Forma "&amp;$DY8,""),IF($EN8=1,"Família Fechada: "&amp;$DZ8,""),IF($EO8=1,"Família Fechada: "&amp;$EA8,""),IF($EP8=1,"Família Fechada: "&amp;$EB8,""),IF($EQ8=1,"Família Fechada: "&amp;$EC8,""),IF($FH8&gt;INDEX($W$2:$W$8,$DW8),$FH8&amp;" Melhorias: a Classe "&amp;$DW8&amp;" aceita "&amp;INDEX($W$2:$W$8,$DW8),""),IF($FI8&gt;2,$FI8&amp;" Restrições"&amp;IF($ES8=1,", contando a que a Forma "&amp;$DY8&amp;" já traz","")&amp;": o limite é 2",""),IF($FO8&lt;0,"Orçamento estourado: faltam "&amp;(-$FO8)&amp;IF($FO8&lt;-1," pontos"," ponto"),""),IF(IFERROR(VLOOKUP($ED8,$BL$2:$BP$24,4,FALSE),0)+IFERROR(VLOOKUP($EE8,$BL$2:$BP$24,4,FALSE),0)&gt;1,$EX8&amp;" e "&amp;$EY8&amp;" são as duas de frequência",""),IF(AND((COUNTIF($DZ8:$EC8,"Rápido")+COUNTIF($EX8:$EY8,"Rápido"))&gt;0,(COUNTIF($DZ8:$EC8,"Reação")+COUNTIF($EX8:$EY8,"Reação"))&gt;0),"Rápido não entra com Reação",""),IF(AND((COUNTIF($DZ8:$EC8,"Rápido")+COUNTIF($EX8:$EY8,"Rápido"))&gt;0,(COUNTIF($DZ8:$EC8,"Atrasar")+COUNTIF($EX8:$EY8,"Atrasar"))&gt;0),"Rápido não entra com Atrasar",""),IF(AND((COUNTIF($DZ8:$EC8,"Reação")+COUNTIF($EX8:$EY8,"Reação"))&gt;0,(COUNTIF($DZ8:$EC8,"Atrasar")+COUNTIF($EX8:$EY8,"Atrasar"))&gt;0),"Reação não entra com Atrasar",""),IF(AND((COUNTIF($DZ8:$EC8,"Reação")+COUNTIF($EX8:$EY8,"Reação"))&gt;0,(COUNTIF($DZ8:$EC8,"Parado")+COUNTIF($EX8:$EY8,"Parado"))&gt;0),"Reação não entra com Parado",""),IF(AND(COUNTIF($EX8:$EY8,"Corpo a Corpo")&gt;0,$ES8=0,OR($DY8="Cone",$DY8="Linha")),"Corpo a Corpo não entra em "&amp;$DY8,""),IF(AND(COUNTIF($EX8:$EY8,"Corpo a Corpo")&gt;0,$ES8=1),"A Forma "&amp;$DY8&amp;" já traz o Corpo a Corpo",""),IF(AND(COUNTIF($EX8:$EY8,"Tudo ou Nada")&gt;0,$EU8=0),"Tudo ou Nada só entra em feitiço de Teste de Resistência",""),IF(AND(COUNTIF($DZ8:$EC8,"Inescapável")&gt;0,OR($FH8&gt;1,$FI8&gt;0)),"Inescapável não aceita outra peça",""),IF(AND($DU8=1,$DW8&lt;3),"Liberação Máxima é de Classe 3 ou mais",""),IF(AND($DU8=1,OR($ET8=1,$ET8=2)),"Liberação Máxima não serve para cura",""),IF(AND($DU8=1,COUNTIF($DZ8:$EC8,"Inescapável")+COUNTIF($DZ8:$EC8,"Toca a Alma")&gt;0),"Esta peça não entra numa Liberação Máxima",""),IF($FP8+$FQ8&gt;4*$DW8,($FP8+$FQ8)&amp;" dados somando alvos e repetições: o teto da Classe "&amp;$DW8&amp;" é "&amp;4*$DW8,"")))</f>
        <v/>
      </c>
      <c r="GG8" s="141">
        <f>IF($GF8="",0,(LEN($GF8)-LEN(SUBSTITUTE($GF8," · ","")))/3+1)</f>
        <v/>
      </c>
      <c r="GH8" s="141">
        <f>IF($EF8=0,"",TEXTJOIN(" · ",TRUE,IF($FK8&gt;2*$DW8,"A devolução parou no teto de "&amp;2*$DW8,""),IF($FN8&gt;0,"Devolução perdida: "&amp;$FN8&amp;IF($FN8&gt;1," pontos"," ponto")&amp;" sem peça para pagar",""),IF(AND($ER8&gt;0,$FP8=0),"Controle sem dano: uma rodada a mais e CD +2",""),IF(AND($ER8&gt;0,$FP8&gt;0,$FP8&lt;=$DW8),"Controle com um quarto do teto: uma rodada a mais","")))</f>
        <v/>
      </c>
      <c r="GI8" s="141">
        <f>IF($GH8="",0,(LEN($GH8)-LEN(SUBSTITUTE($GH8," · ","")))/3+1)</f>
        <v/>
      </c>
      <c r="GJ8" s="141">
        <f>IF($EF8=0,IF($FH8+$FI8-$ES8&gt;0,"Dê um nome",""),IF($GG8&gt;0,"⚠ "&amp;$GG8&amp;IF($GG8&gt;1," erros"," erro"),IF($GI8&gt;0,"! "&amp;$GI8&amp;IF($GI8&gt;1," avisos"," aviso"),"Na regra")))</f>
        <v/>
      </c>
      <c r="GK8" s="141">
        <f>IF($EF8=0,"",IF($GG8+$GI8=0,"Dentro das regras que a ficha confere",$GF8&amp;IF(AND($GG8&gt;0,$GI8&gt;0)," · ","")&amp;$GH8))</f>
        <v/>
      </c>
      <c r="GL8" s="141">
        <f>IF($EF8=0,"",IF($DU8=1,CEILING(4.5*$DW8,1),3*$DW8)&amp;" PE")</f>
        <v/>
      </c>
      <c r="GM8" s="141">
        <f>IF($EF8=0,"",IF($DU8=1,"Rodada inteira",IF(COUNTIF($EX8:$EY8,"Atrasar")&gt;0,IF(COUNTIF($EX8:$EY8,"Carregar")&gt;0,"Rodada +1 turno","Rodada inteira"),IF(COUNTIF($DZ8:$EC8,"Rápido")&gt;0,"Bônus",IF(COUNTIF($DZ8:$EC8,"Reação")&gt;0,"Reação","Padrão"))&amp;IF(COUNTIF($EX8:$EY8,"Carregar")&gt;0," +1 turno",""))))</f>
        <v/>
      </c>
      <c r="GN8" s="141">
        <f>IF(OR($EF8=0,$EG8=0),"",IF(COUNTIF($DZ8:$EC8,"Inescapável")&gt;0,"Automático",IF(COUNTIF($DZ8:$EC8,"Certeiro")&gt;0,"TR para metade",INDEX($AF$2:$AF$11,$EG8))))</f>
        <v/>
      </c>
      <c r="GO8" s="141">
        <f>IF(OR($EF8=0,$EG8=0),"",IF(OR($ET8&gt;=2,$FP8=0),UPPER(LEFT(INDEX($FY8:$GE8,1,$DW8),1))&amp;MID(INDEX($FY8:$GE8,1,$DW8),2,99),UPPER(LEFT(INDEX($FY8:$GE8,1,$DW8),1))&amp;MID(INDEX($FY8:$GE8,1,$DW8),2,99)&amp;" = "&amp;FLOOR($FP8*4.5,1)&amp;IF($FQ8&gt;0," · +"&amp;$FQ8&amp;"d8","")))</f>
        <v/>
      </c>
      <c r="GP8" s="141">
        <f>COUNTIF($DZ8:$EC8,"Longe")+3*COUNTIF($DZ8:$EC8,"Muito Longe")</f>
        <v/>
      </c>
      <c r="GQ8" s="141">
        <f>COUNTIF($DZ8:$EC8,"Maior")+3*COUNTIF($DZ8:$EC8,"Muito Maior")</f>
        <v/>
      </c>
      <c r="GR8" s="141">
        <f>IF($EG8=0,0,CHOOSE(1+INDEX($AH$2:$AH$11,$EG8),0,$GP8,$GQ8,$GP8+$GQ8))</f>
        <v/>
      </c>
      <c r="GS8" s="141">
        <f>IF($EG8=0,0,CHOOSE(1+INDEX($AI$2:$AI$11,$EG8),0,$GP8,$GQ8,$GP8+$GQ8))</f>
        <v/>
      </c>
      <c r="GT8" s="141">
        <f>IF(OR($EF8=0,$EG8=0),"",INDEX($AP$2:$AU$31,($EG8-1)*3+IF($DW8&gt;=6,3,2),1+MIN(5,$GR8))&amp;INDEX($AV$2:$BA$31,($EG8-1)*3+IF($DW8&gt;=6,3,2),1+MIN(5,$GS8))&amp;IF(INDEX($AJ$2:$AJ$11,$EG8)=1,IF(COUNTIF($DZ8:$EC8,"Mais Um")&gt;0," · +"&amp;COUNTIF($DZ8:$EC8,"Mais Um")&amp;IF(COUNTIF($DZ8:$EC8,"Mais Um")&gt;1," alvos"," alvo"),"")&amp;IF(COUNTIF($DZ8:$EC8,"Rajada")&gt;0," · "&amp;($DW8+1)&amp;" tiros",""),""))</f>
        <v/>
      </c>
      <c r="GU8" s="141">
        <f>IF($EF8=0,"",3*$DW8&amp;" − "&amp;$FJ8&amp;" + "&amp;$FM8&amp;IF($DU8=1," + "&amp;$DW8,"")&amp;" = "&amp;$FP8&amp;"d8 · teto "&amp;4*$DW8&amp;IF($ES8=1," · a Forma devolve "&amp;$DW8,"")&amp;IF($FN8&gt;0," · perde "&amp;$FN8,""))</f>
        <v/>
      </c>
      <c r="GV8" s="141">
        <f>IF($EF8=0,"",IF($DW8&gt;=$HE$4,"Já está na maior Classe que o nível liberou",TEXTJOIN(" · ",TRUE,IF(AND(2&gt;$DW8,2&lt;=$HE$4),"2 → "&amp;$FZ8&amp;", "&amp;IF($DU8=1,9,6)&amp;" PE",""),IF(AND(3&gt;$DW8,3&lt;=$HE$4),"3 → "&amp;$GA8&amp;", "&amp;IF($DU8=1,14,9)&amp;" PE",""),IF(AND(4&gt;$DW8,4&lt;=$HE$4),"4 → "&amp;$GB8&amp;", "&amp;IF($DU8=1,18,12)&amp;" PE",""),IF(AND(5&gt;$DW8,5&lt;=$HE$4),"5 → "&amp;$GC8&amp;", "&amp;IF($DU8=1,23,15)&amp;" PE",""),IF(AND(6&gt;$DW8,6&lt;=$HE$4),"6 → "&amp;$GD8&amp;", "&amp;IF($DU8=1,27,18)&amp;" PE",""),IF(AND(7&gt;$DW8,7&lt;=$HE$4),"7 → "&amp;$GE8&amp;", "&amp;IF($DU8=1,32,21)&amp;" PE",""))))</f>
        <v/>
      </c>
      <c r="GW8" s="141">
        <f>IF(OR($EF8=0,$EI8=0),"","−"&amp;INDEX($Q$2:$V$8,$DW8,$EI8)&amp;" · "&amp;CHOOSE($EI8,"Leve","Média","Pesada","Leve · Livre","Média · Livre","Pesada · Livre"))</f>
        <v/>
      </c>
      <c r="GX8" s="141">
        <f>IF(OR($EF8=0,$EJ8=0),"","−"&amp;INDEX($Q$2:$V$8,$DW8,$EJ8)&amp;" · "&amp;CHOOSE($EJ8,"Leve","Média","Pesada","Leve · Livre","Média · Livre","Pesada · Livre"))</f>
        <v/>
      </c>
      <c r="GY8" s="141">
        <f>IF(OR($EF8=0,$EK8=0),"","−"&amp;INDEX($Q$2:$V$8,$DW8,$EK8)&amp;" · "&amp;CHOOSE($EK8,"Leve","Média","Pesada","Leve · Livre","Média · Livre","Pesada · Livre"))</f>
        <v/>
      </c>
      <c r="GZ8" s="141">
        <f>IF(OR($EF8=0,$EL8=0),"","−"&amp;INDEX($Q$2:$V$8,$DW8,$EL8)&amp;" · "&amp;CHOOSE($EL8,"Leve","Média","Pesada","Leve · Livre","Média · Livre","Pesada · Livre"))</f>
        <v/>
      </c>
      <c r="HA8" s="141">
        <f>IF(OR($EF8=0,$ED8=""),"","+"&amp;IF($EV8=1,CEILING($DW8/2,1),$DW8))</f>
        <v/>
      </c>
      <c r="HB8" s="141">
        <f>IF(OR($EF8=0,$EE8=""),"","+"&amp;IF($EW8=1,CEILING($DW8/2,1),$DW8))</f>
        <v/>
      </c>
      <c r="HD8" s="114" t="inlineStr">
        <is>
          <t>escolhas de Leque</t>
        </is>
      </c>
      <c r="HE8" s="141">
        <f>MIN(N(DADOS!$AK$38),$HE$5)</f>
        <v/>
      </c>
      <c r="HG8" s="114" t="inlineStr">
        <is>
          <t>Passiva 7 · Leque</t>
        </is>
      </c>
      <c r="HH8" s="141">
        <f>'FICHA AMALDIÇOADA'!$J$397&amp;""</f>
        <v/>
      </c>
      <c r="HI8" s="141">
        <f>IFERROR(VLOOKUP($HH8,$BR$2:$BW$24,2,FALSE),0)</f>
        <v/>
      </c>
      <c r="HJ8" s="141">
        <f>IFERROR(VLOOKUP($HI8,$BY$2:$BZ$4,2,FALSE),0)</f>
        <v/>
      </c>
      <c r="HK8" s="141">
        <f>IFERROR(VLOOKUP($HH8,$BR$2:$BW$24,3,FALSE),"")</f>
        <v/>
      </c>
      <c r="HL8" s="141">
        <f>IF($HI8=0,"",IF($HJ8&gt;$HE$2,"⚠ Nível "&amp;$HJ8,"CP "&amp;$HI8))</f>
        <v/>
      </c>
      <c r="HM8" s="141">
        <f>IF($HI8=0,"",IF(2&gt;$HE$8,"⚠ Vaga","Grátis"))</f>
        <v/>
      </c>
      <c r="HO8" s="114" t="inlineStr">
        <is>
          <t>Aptidão 7</t>
        </is>
      </c>
      <c r="HP8" s="141">
        <f>'FICHA AMALDIÇOADA'!$D$472&amp;""</f>
        <v/>
      </c>
      <c r="HQ8" s="141">
        <f>IF($HP8="","","Requisito: "&amp;IFERROR(VLOOKUP($HP8,$CB$2:$CJ$32,2,FALSE),""))</f>
        <v/>
      </c>
      <c r="HR8" s="141">
        <f>IF($HP8="","",IFERROR(IF(ISNUMBER(VLOOKUP($HP8,$CB$2:$CJ$32,3,FALSE)),"CP "&amp;VLOOKUP($HP8,$CB$2:$CJ$32,3,FALSE),VLOOKUP($HP8,$CB$2:$CJ$32,3,FALSE)),""))</f>
        <v/>
      </c>
      <c r="HS8" s="141">
        <f>IF($HP8="","",IFERROR(VLOOKUP($HP8,$CB$2:$CJ$32,4,FALSE),""))</f>
        <v/>
      </c>
      <c r="HT8" s="141">
        <f>IF($HP8="","",IFERROR(VLOOKUP($HP8,$CB$2:$CJ$32,5,FALSE),""))</f>
        <v/>
      </c>
      <c r="IE8" s="114" t="inlineStr">
        <is>
          <t>Domínio</t>
        </is>
      </c>
      <c r="IF8" s="141">
        <f>ADDRESS(ROW('FICHA AMALDIÇOADA'!L7),COLUMN('FICHA AMALDIÇOADA'!L7),4)</f>
        <v/>
      </c>
      <c r="IG8" s="141">
        <f>ADDRESS(ROW('FICHA AMALDIÇOADA'!D354),COLUMN('FICHA AMALDIÇOADA'!D354),4)</f>
        <v/>
      </c>
      <c r="IH8" s="141">
        <f>ADDRESS(ROW(DADOS_AM!IE8),COLUMN(DADOS_AM!IE8),4)</f>
        <v/>
      </c>
      <c r="IJ8" s="114" t="inlineStr">
        <is>
          <t>P16</t>
        </is>
      </c>
      <c r="IK8" s="141">
        <f>IF(DADOS_AM!$A$2=2,IF(DADOS_AM!$HE$40="","","Aberta, sem os gates de nível e de refino · conta como uma aptidão a mais"),IF(DADOS_AM!$A$2=3,"Fere maldição: o Corpo Amaldiçoado tem Canalizar energia",IF(DADOS_AM!$A$2=4,IF(DADOS_AM!$HE$40="","",IF(DADOS_AM!$HE$40="Ferramenta de carregar","Não fere maldição: só as Katas ferem","Fere maldição")),"—")))</f>
        <v/>
      </c>
    </row>
    <row r="9">
      <c r="C9" s="114" t="inlineStr">
        <is>
          <t>graça 1</t>
        </is>
      </c>
      <c r="D9" s="114" t="inlineStr">
        <is>
          <t>Cobrir-se de energia</t>
        </is>
      </c>
      <c r="E9" s="114" t="inlineStr">
        <is>
          <t>Cobrir-se de energia</t>
        </is>
      </c>
      <c r="F9" s="114" t="inlineStr">
        <is>
          <t>Cobrir-se de energia</t>
        </is>
      </c>
      <c r="G9" s="114" t="inlineStr">
        <is>
          <t>Defesa sem Armadura</t>
        </is>
      </c>
      <c r="I9" s="114" t="inlineStr">
        <is>
          <t>Marca</t>
        </is>
      </c>
      <c r="J9" s="141">
        <f>'FICHA AMALDIÇOADA'!$M$37&amp;""</f>
        <v/>
      </c>
      <c r="K9" s="141">
        <f>IF($J9="Livre",1,0)</f>
        <v/>
      </c>
      <c r="L9" s="141">
        <f>IF($J9="Fechada",1,0)</f>
        <v/>
      </c>
      <c r="Y9" s="114" t="inlineStr">
        <is>
          <t>Apoio</t>
        </is>
      </c>
      <c r="Z9" s="114" t="inlineStr">
        <is>
          <t>Amparo</t>
        </is>
      </c>
      <c r="AA9" s="141" t="n">
        <v>0</v>
      </c>
      <c r="AB9" s="141">
        <f>IF($AA9=0,0,$AA9+3*IFERROR(VLOOKUP($Z9,$I$2:$L$10,3,FALSE),0))</f>
        <v/>
      </c>
      <c r="AC9" s="141">
        <f>IFERROR(VLOOKUP($Z9,$I$2:$L$10,4,FALSE),0)</f>
        <v/>
      </c>
      <c r="AD9" s="141" t="n">
        <v>0</v>
      </c>
      <c r="AE9" s="141" t="n">
        <v>2</v>
      </c>
      <c r="AF9" s="114" t="inlineStr">
        <is>
          <t>Automático</t>
        </is>
      </c>
      <c r="AG9" s="141" t="n">
        <v>0</v>
      </c>
      <c r="AH9" s="141" t="n">
        <v>1</v>
      </c>
      <c r="AI9" s="141" t="n">
        <v>0</v>
      </c>
      <c r="AJ9" s="141" t="n">
        <v>0</v>
      </c>
      <c r="AK9" s="141" t="n">
        <v>1</v>
      </c>
      <c r="AL9" s="141">
        <f>IF($AC9=1,"",$Y9)</f>
        <v/>
      </c>
      <c r="AM9" s="141">
        <f>IF(AND($AK9=1,$AC9=0),$Y9,"")</f>
        <v/>
      </c>
      <c r="AO9" s="114" t="inlineStr">
        <is>
          <t>Explosão · classes 1 a 5</t>
        </is>
      </c>
      <c r="AP9" s="114" t="inlineStr">
        <is>
          <t>Raio 3 m</t>
        </is>
      </c>
      <c r="AQ9" s="114" t="inlineStr">
        <is>
          <t>Raio 4,5 m</t>
        </is>
      </c>
      <c r="AR9" s="114" t="inlineStr">
        <is>
          <t>Raio 6 m</t>
        </is>
      </c>
      <c r="AS9" s="114" t="inlineStr">
        <is>
          <t>Raio 9 m</t>
        </is>
      </c>
      <c r="AT9" s="114" t="inlineStr">
        <is>
          <t>Raio 15 m</t>
        </is>
      </c>
      <c r="AU9" s="114" t="inlineStr">
        <is>
          <t>Raio 15 m</t>
        </is>
      </c>
      <c r="AV9" s="114" t="inlineStr">
        <is>
          <t>, a 18 m</t>
        </is>
      </c>
      <c r="AW9" s="114" t="inlineStr">
        <is>
          <t>, a 36 m</t>
        </is>
      </c>
      <c r="AX9" s="114" t="inlineStr">
        <is>
          <t>, a 90 m</t>
        </is>
      </c>
      <c r="AY9" s="114" t="inlineStr">
        <is>
          <t>, a o que você enxergar</t>
        </is>
      </c>
      <c r="AZ9" s="114" t="inlineStr">
        <is>
          <t>, a o que você enxergar</t>
        </is>
      </c>
      <c r="BA9" s="114" t="inlineStr">
        <is>
          <t>, a o que você enxergar</t>
        </is>
      </c>
      <c r="BC9" s="114" t="inlineStr">
        <is>
          <t>Maior</t>
        </is>
      </c>
      <c r="BD9" s="114" t="inlineStr">
        <is>
          <t>Área</t>
        </is>
      </c>
      <c r="BE9" s="141" t="n">
        <v>1</v>
      </c>
      <c r="BF9" s="141">
        <f>$BE9+3*IFERROR(VLOOKUP($BD9,$I$2:$L$10,3,FALSE),0)</f>
        <v/>
      </c>
      <c r="BG9" s="141">
        <f>IFERROR(VLOOKUP($BD9,$I$2:$L$10,4,FALSE),0)</f>
        <v/>
      </c>
      <c r="BH9" s="141" t="n">
        <v>0</v>
      </c>
      <c r="BI9" s="141">
        <f>IF($BG9=1,"",$BC9)</f>
        <v/>
      </c>
      <c r="BJ9" s="141">
        <f>IF(AND($BE9=1,$BG9=0),$BC9,"")</f>
        <v/>
      </c>
      <c r="BL9" s="114" t="inlineStr">
        <is>
          <t>Carregar</t>
        </is>
      </c>
      <c r="BM9" s="114" t="inlineStr">
        <is>
          <t>Carregar</t>
        </is>
      </c>
      <c r="BN9" s="141" t="n">
        <v>2</v>
      </c>
      <c r="BO9" s="141" t="n">
        <v>0</v>
      </c>
      <c r="BP9" s="114" t="inlineStr"/>
      <c r="BR9" s="114" t="inlineStr">
        <is>
          <t>Recomposição</t>
        </is>
      </c>
      <c r="BS9" s="141" t="n">
        <v>2</v>
      </c>
      <c r="BT9" s="114" t="inlineStr">
        <is>
          <t>Uma vez por descanso curto, gasta a ação e recupera 5 × a sua maior Classe em vida.</t>
        </is>
      </c>
      <c r="BU9" s="141" t="n">
        <v>1</v>
      </c>
      <c r="BV9" s="141" t="n">
        <v>0</v>
      </c>
      <c r="BW9" s="141">
        <f>IF(OR(AND($A$2&lt;=2,$BU9=1),AND($A$2&gt;=2,$BV9=1)),$BR9,"")</f>
        <v/>
      </c>
      <c r="CB9" s="114" t="inlineStr">
        <is>
          <t>Kokusen Constante</t>
        </is>
      </c>
      <c r="CC9" s="114" t="inlineStr">
        <is>
          <t>refino 5</t>
        </is>
      </c>
      <c r="CD9" s="114" t="inlineStr">
        <is>
          <t>—</t>
        </is>
      </c>
      <c r="CE9" s="114" t="inlineStr">
        <is>
          <t>A chance no d100</t>
        </is>
      </c>
      <c r="CF9" s="114" t="inlineStr">
        <is>
          <t>Mesma regra do Kokusen, exceto que a base sobe para 3 × refino.</t>
        </is>
      </c>
      <c r="CG9" s="141">
        <f>IF($CJ9=1,"",IF($A$2=4,IF($CH9=1,$CB9,""),IF(OR($CH9=1,AND($A$2=3,$CI9=1)),"",$CB9)))</f>
        <v/>
      </c>
      <c r="CH9" s="141" t="n">
        <v>0</v>
      </c>
      <c r="CI9" s="141" t="n">
        <v>0</v>
      </c>
      <c r="CJ9" s="141" t="n">
        <v>0</v>
      </c>
      <c r="CR9" s="114" t="inlineStr">
        <is>
          <t>Flexível</t>
        </is>
      </c>
      <c r="CS9" s="141" t="n">
        <v>1</v>
      </c>
      <c r="CT9" s="141" t="n">
        <v>0</v>
      </c>
      <c r="CU9" s="141">
        <f>IF(AND($A$2&gt;=3,'FICHA AMALDIÇOADA'!$J$16&amp;""="Três grupos de arma"),$CR9,"")</f>
        <v/>
      </c>
      <c r="DT9" s="114" t="inlineStr">
        <is>
          <t>Feitiço 8</t>
        </is>
      </c>
      <c r="DU9" s="141" t="n">
        <v>0</v>
      </c>
      <c r="DV9" s="141" t="n">
        <v>8</v>
      </c>
      <c r="DW9" s="141">
        <f>MAX(1,MIN(7,N('FICHA AMALDIÇOADA'!$J$93)))</f>
        <v/>
      </c>
      <c r="DX9" s="141">
        <f>'FICHA AMALDIÇOADA'!$K$93&amp;""</f>
        <v/>
      </c>
      <c r="DY9" s="141">
        <f>'FICHA AMALDIÇOADA'!$J$100&amp;""</f>
        <v/>
      </c>
      <c r="DZ9" s="141">
        <f>'FICHA AMALDIÇOADA'!$K$102&amp;""</f>
        <v/>
      </c>
      <c r="EA9" s="141">
        <f>'FICHA AMALDIÇOADA'!$K$103&amp;""</f>
        <v/>
      </c>
      <c r="EB9" s="141">
        <f>'FICHA AMALDIÇOADA'!$K$104&amp;""</f>
        <v/>
      </c>
      <c r="EC9" s="141">
        <f>'FICHA AMALDIÇOADA'!$K$105&amp;""</f>
        <v/>
      </c>
      <c r="ED9" s="141">
        <f>'FICHA AMALDIÇOADA'!$K$106&amp;""</f>
        <v/>
      </c>
      <c r="EE9" s="141">
        <f>'FICHA AMALDIÇOADA'!$K$107&amp;""</f>
        <v/>
      </c>
      <c r="EF9" s="141">
        <f>IF($DX9&lt;&gt;"",1,0)</f>
        <v/>
      </c>
      <c r="EG9" s="141">
        <f>IFERROR(MATCH($DY9,$Y$2:$Y$11,0),0)</f>
        <v/>
      </c>
      <c r="EH9" s="141">
        <f>IF($EG9=0,0,INDEX($AB$2:$AB$11,$EG9))</f>
        <v/>
      </c>
      <c r="EI9" s="141">
        <f>IFERROR(VLOOKUP($DZ9,$BC$2:$BJ$84,4,FALSE),0)</f>
        <v/>
      </c>
      <c r="EJ9" s="141">
        <f>IFERROR(VLOOKUP($EA9,$BC$2:$BJ$84,4,FALSE),0)</f>
        <v/>
      </c>
      <c r="EK9" s="141">
        <f>IFERROR(VLOOKUP($EB9,$BC$2:$BJ$84,4,FALSE),0)</f>
        <v/>
      </c>
      <c r="EL9" s="141">
        <f>IFERROR(VLOOKUP($EC9,$BC$2:$BJ$84,4,FALSE),0)</f>
        <v/>
      </c>
      <c r="EM9" s="141">
        <f>IF($EG9=0,0,INDEX($AC$2:$AC$11,$EG9))</f>
        <v/>
      </c>
      <c r="EN9" s="141">
        <f>IFERROR(VLOOKUP($DZ9,$BC$2:$BJ$84,5,FALSE),0)</f>
        <v/>
      </c>
      <c r="EO9" s="141">
        <f>IFERROR(VLOOKUP($EA9,$BC$2:$BJ$84,5,FALSE),0)</f>
        <v/>
      </c>
      <c r="EP9" s="141">
        <f>IFERROR(VLOOKUP($EB9,$BC$2:$BJ$84,5,FALSE),0)</f>
        <v/>
      </c>
      <c r="EQ9" s="141">
        <f>IFERROR(VLOOKUP($EC9,$BC$2:$BJ$84,5,FALSE),0)</f>
        <v/>
      </c>
      <c r="ER9" s="141">
        <f>IFERROR(VLOOKUP($DZ9,$BC$2:$BJ$84,6,FALSE),0)+IFERROR(VLOOKUP($EA9,$BC$2:$BJ$84,6,FALSE),0)+IFERROR(VLOOKUP($EB9,$BC$2:$BJ$84,6,FALSE),0)+IFERROR(VLOOKUP($EC9,$BC$2:$BJ$84,6,FALSE),0)</f>
        <v/>
      </c>
      <c r="ES9" s="141">
        <f>IF($EG9=0,0,INDEX($AD$2:$AD$11,$EG9))</f>
        <v/>
      </c>
      <c r="ET9" s="141">
        <f>IF($EG9=0,0,INDEX($AE$2:$AE$11,$EG9))</f>
        <v/>
      </c>
      <c r="EU9" s="141">
        <f>IF($EG9=0,0,INDEX($AG$2:$AG$11,$EG9))</f>
        <v/>
      </c>
      <c r="EV9" s="141">
        <f>IFERROR(VLOOKUP($ED9,$BL$2:$BP$24,3,FALSE),0)</f>
        <v/>
      </c>
      <c r="EW9" s="141">
        <f>IFERROR(VLOOKUP($EE9,$BL$2:$BP$24,3,FALSE),0)</f>
        <v/>
      </c>
      <c r="EX9" s="141">
        <f>IFERROR(VLOOKUP($ED9,$BL$2:$BP$24,2,FALSE),"")</f>
        <v/>
      </c>
      <c r="EY9" s="141">
        <f>IFERROR(VLOOKUP($EE9,$BL$2:$BP$24,2,FALSE),"")</f>
        <v/>
      </c>
      <c r="EZ9" s="141">
        <f>COUNTIF($EH9:$EL9,1)</f>
        <v/>
      </c>
      <c r="FA9" s="141">
        <f>COUNTIF($EH9:$EL9,2)</f>
        <v/>
      </c>
      <c r="FB9" s="141">
        <f>COUNTIF($EH9:$EL9,3)</f>
        <v/>
      </c>
      <c r="FC9" s="141">
        <f>COUNTIF($EH9:$EL9,4)</f>
        <v/>
      </c>
      <c r="FD9" s="141">
        <f>COUNTIF($EH9:$EL9,5)</f>
        <v/>
      </c>
      <c r="FE9" s="141">
        <f>COUNTIF($EH9:$EL9,6)</f>
        <v/>
      </c>
      <c r="FF9" s="141">
        <f>COUNTIF($EV9:$EW9,1)</f>
        <v/>
      </c>
      <c r="FG9" s="141">
        <f>COUNTIF($EV9:$EW9,2)+$ES9</f>
        <v/>
      </c>
      <c r="FH9" s="141">
        <f>COUNTIF($DZ9:$EC9,"?*")</f>
        <v/>
      </c>
      <c r="FI9" s="141">
        <f>COUNTIF($ED9:$EE9,"?*")+$ES9</f>
        <v/>
      </c>
      <c r="FJ9" s="141">
        <f>SUMPRODUCT($EZ9:$FE9,INDEX($Q$2:$V$8,$DW9,0))</f>
        <v/>
      </c>
      <c r="FK9" s="141">
        <f>$FF9*CEILING($DW9/2,1)+$FG9*$DW9</f>
        <v/>
      </c>
      <c r="FL9" s="141">
        <f>MIN(2*$DW9,$FK9)</f>
        <v/>
      </c>
      <c r="FM9" s="141">
        <f>MIN($FL9,$FJ9)</f>
        <v/>
      </c>
      <c r="FN9" s="141">
        <f>$FL9-$FM9</f>
        <v/>
      </c>
      <c r="FO9" s="141">
        <f>3*$DW9-$FJ9+$FM9</f>
        <v/>
      </c>
      <c r="FP9" s="141">
        <f>MAX(0,$FO9)+$DU9*$DW9</f>
        <v/>
      </c>
      <c r="FQ9" s="141">
        <f>(IF(COUNTIF($DZ9:$EC9,"Salto")&gt;0,1,0)+IF(COUNTIF($DZ9:$EC9,"Queima")&gt;0,1,0))*FLOOR($FP9/2,1)</f>
        <v/>
      </c>
      <c r="FR9" s="141">
        <f>MAX(0,3-SUMPRODUCT($EZ9:$FE9,$Q$2:$V$2)+MIN(2,$FF9*1+$FG9*1,SUMPRODUCT($EZ9:$FE9,$Q$2:$V$2)))+$DU9*1</f>
        <v/>
      </c>
      <c r="FS9" s="141">
        <f>MAX(0,6-SUMPRODUCT($EZ9:$FE9,$Q$3:$V$3)+MIN(4,$FF9*1+$FG9*2,SUMPRODUCT($EZ9:$FE9,$Q$3:$V$3)))+$DU9*2</f>
        <v/>
      </c>
      <c r="FT9" s="141">
        <f>MAX(0,9-SUMPRODUCT($EZ9:$FE9,$Q$4:$V$4)+MIN(6,$FF9*2+$FG9*3,SUMPRODUCT($EZ9:$FE9,$Q$4:$V$4)))+$DU9*3</f>
        <v/>
      </c>
      <c r="FU9" s="141">
        <f>MAX(0,12-SUMPRODUCT($EZ9:$FE9,$Q$5:$V$5)+MIN(8,$FF9*2+$FG9*4,SUMPRODUCT($EZ9:$FE9,$Q$5:$V$5)))+$DU9*4</f>
        <v/>
      </c>
      <c r="FV9" s="141">
        <f>MAX(0,15-SUMPRODUCT($EZ9:$FE9,$Q$6:$V$6)+MIN(10,$FF9*3+$FG9*5,SUMPRODUCT($EZ9:$FE9,$Q$6:$V$6)))+$DU9*5</f>
        <v/>
      </c>
      <c r="FW9" s="141">
        <f>MAX(0,18-SUMPRODUCT($EZ9:$FE9,$Q$7:$V$7)+MIN(12,$FF9*3+$FG9*6,SUMPRODUCT($EZ9:$FE9,$Q$7:$V$7)))+$DU9*6</f>
        <v/>
      </c>
      <c r="FX9" s="141">
        <f>MAX(0,21-SUMPRODUCT($EZ9:$FE9,$Q$8:$V$8)+MIN(14,$FF9*4+$FG9*7,SUMPRODUCT($EZ9:$FE9,$Q$8:$V$8)))+$DU9*7</f>
        <v/>
      </c>
      <c r="FY9" s="141">
        <f>IF($ET9=2,3*$FR9&amp;" de vida temp.",IF($ET9=3,"sem dano",IF($FR9=0,IF($ET9=1,"sem cura","sem dano"),IF($ET9=1,"cura ","")&amp;$FR9&amp;"d8")))</f>
        <v/>
      </c>
      <c r="FZ9" s="141">
        <f>IF($ET9=2,3*$FS9&amp;" de vida temp.",IF($ET9=3,"sem dano",IF($FS9=0,IF($ET9=1,"sem cura","sem dano"),IF($ET9=1,"cura ","")&amp;$FS9&amp;"d8")))</f>
        <v/>
      </c>
      <c r="GA9" s="141">
        <f>IF($ET9=2,3*$FT9&amp;" de vida temp.",IF($ET9=3,"sem dano",IF($FT9=0,IF($ET9=1,"sem cura","sem dano"),IF($ET9=1,"cura ","")&amp;$FT9&amp;"d8")))</f>
        <v/>
      </c>
      <c r="GB9" s="141">
        <f>IF($ET9=2,3*$FU9&amp;" de vida temp.",IF($ET9=3,"sem dano",IF($FU9=0,IF($ET9=1,"sem cura","sem dano"),IF($ET9=1,"cura ","")&amp;$FU9&amp;"d8")))</f>
        <v/>
      </c>
      <c r="GC9" s="141">
        <f>IF($ET9=2,3*$FV9&amp;" de vida temp.",IF($ET9=3,"sem dano",IF($FV9=0,IF($ET9=1,"sem cura","sem dano"),IF($ET9=1,"cura ","")&amp;$FV9&amp;"d8")))</f>
        <v/>
      </c>
      <c r="GD9" s="141">
        <f>IF($ET9=2,3*$FW9&amp;" de vida temp.",IF($ET9=3,"sem dano",IF($FW9=0,IF($ET9=1,"sem cura","sem dano"),IF($ET9=1,"cura ","")&amp;$FW9&amp;"d8")))</f>
        <v/>
      </c>
      <c r="GE9" s="141">
        <f>IF($ET9=2,3*$FX9&amp;" de vida temp.",IF($ET9=3,"sem dano",IF($FX9=0,IF($ET9=1,"sem cura","sem dano"),IF($ET9=1,"cura ","")&amp;$FX9&amp;"d8")))</f>
        <v/>
      </c>
      <c r="GF9" s="141">
        <f>IF($EF9=0,"",TEXTJOIN(" · ",TRUE,IF(AND($DU9=1,$DV9&gt;$HE$9),"O nível "&amp;$HE$2&amp;" dá "&amp;$HE$9&amp;" Liberação Máxima",""),IF($DW9&gt;$HE$4,"Classe "&amp;$DW9&amp;": o nível "&amp;$HE$2&amp;" libera até a "&amp;$HE$4,""),IF($EM9=1,"Família Fechada: a Forma "&amp;$DY9,""),IF($EN9=1,"Família Fechada: "&amp;$DZ9,""),IF($EO9=1,"Família Fechada: "&amp;$EA9,""),IF($EP9=1,"Família Fechada: "&amp;$EB9,""),IF($EQ9=1,"Família Fechada: "&amp;$EC9,""),IF($FH9&gt;INDEX($W$2:$W$8,$DW9),$FH9&amp;" Melhorias: a Classe "&amp;$DW9&amp;" aceita "&amp;INDEX($W$2:$W$8,$DW9),""),IF($FI9&gt;2,$FI9&amp;" Restrições"&amp;IF($ES9=1,", contando a que a Forma "&amp;$DY9&amp;" já traz","")&amp;": o limite é 2",""),IF($FO9&lt;0,"Orçamento estourado: faltam "&amp;(-$FO9)&amp;IF($FO9&lt;-1," pontos"," ponto"),""),IF(IFERROR(VLOOKUP($ED9,$BL$2:$BP$24,4,FALSE),0)+IFERROR(VLOOKUP($EE9,$BL$2:$BP$24,4,FALSE),0)&gt;1,$EX9&amp;" e "&amp;$EY9&amp;" são as duas de frequência",""),IF(AND((COUNTIF($DZ9:$EC9,"Rápido")+COUNTIF($EX9:$EY9,"Rápido"))&gt;0,(COUNTIF($DZ9:$EC9,"Reação")+COUNTIF($EX9:$EY9,"Reação"))&gt;0),"Rápido não entra com Reação",""),IF(AND((COUNTIF($DZ9:$EC9,"Rápido")+COUNTIF($EX9:$EY9,"Rápido"))&gt;0,(COUNTIF($DZ9:$EC9,"Atrasar")+COUNTIF($EX9:$EY9,"Atrasar"))&gt;0),"Rápido não entra com Atrasar",""),IF(AND((COUNTIF($DZ9:$EC9,"Reação")+COUNTIF($EX9:$EY9,"Reação"))&gt;0,(COUNTIF($DZ9:$EC9,"Atrasar")+COUNTIF($EX9:$EY9,"Atrasar"))&gt;0),"Reação não entra com Atrasar",""),IF(AND((COUNTIF($DZ9:$EC9,"Reação")+COUNTIF($EX9:$EY9,"Reação"))&gt;0,(COUNTIF($DZ9:$EC9,"Parado")+COUNTIF($EX9:$EY9,"Parado"))&gt;0),"Reação não entra com Parado",""),IF(AND(COUNTIF($EX9:$EY9,"Corpo a Corpo")&gt;0,$ES9=0,OR($DY9="Cone",$DY9="Linha")),"Corpo a Corpo não entra em "&amp;$DY9,""),IF(AND(COUNTIF($EX9:$EY9,"Corpo a Corpo")&gt;0,$ES9=1),"A Forma "&amp;$DY9&amp;" já traz o Corpo a Corpo",""),IF(AND(COUNTIF($EX9:$EY9,"Tudo ou Nada")&gt;0,$EU9=0),"Tudo ou Nada só entra em feitiço de Teste de Resistência",""),IF(AND(COUNTIF($DZ9:$EC9,"Inescapável")&gt;0,OR($FH9&gt;1,$FI9&gt;0)),"Inescapável não aceita outra peça",""),IF(AND($DU9=1,$DW9&lt;3),"Liberação Máxima é de Classe 3 ou mais",""),IF(AND($DU9=1,OR($ET9=1,$ET9=2)),"Liberação Máxima não serve para cura",""),IF(AND($DU9=1,COUNTIF($DZ9:$EC9,"Inescapável")+COUNTIF($DZ9:$EC9,"Toca a Alma")&gt;0),"Esta peça não entra numa Liberação Máxima",""),IF($FP9+$FQ9&gt;4*$DW9,($FP9+$FQ9)&amp;" dados somando alvos e repetições: o teto da Classe "&amp;$DW9&amp;" é "&amp;4*$DW9,"")))</f>
        <v/>
      </c>
      <c r="GG9" s="141">
        <f>IF($GF9="",0,(LEN($GF9)-LEN(SUBSTITUTE($GF9," · ","")))/3+1)</f>
        <v/>
      </c>
      <c r="GH9" s="141">
        <f>IF($EF9=0,"",TEXTJOIN(" · ",TRUE,IF($FK9&gt;2*$DW9,"A devolução parou no teto de "&amp;2*$DW9,""),IF($FN9&gt;0,"Devolução perdida: "&amp;$FN9&amp;IF($FN9&gt;1," pontos"," ponto")&amp;" sem peça para pagar",""),IF(AND($ER9&gt;0,$FP9=0),"Controle sem dano: uma rodada a mais e CD +2",""),IF(AND($ER9&gt;0,$FP9&gt;0,$FP9&lt;=$DW9),"Controle com um quarto do teto: uma rodada a mais","")))</f>
        <v/>
      </c>
      <c r="GI9" s="141">
        <f>IF($GH9="",0,(LEN($GH9)-LEN(SUBSTITUTE($GH9," · ","")))/3+1)</f>
        <v/>
      </c>
      <c r="GJ9" s="141">
        <f>IF($EF9=0,IF($FH9+$FI9-$ES9&gt;0,"Dê um nome",""),IF($GG9&gt;0,"⚠ "&amp;$GG9&amp;IF($GG9&gt;1," erros"," erro"),IF($GI9&gt;0,"! "&amp;$GI9&amp;IF($GI9&gt;1," avisos"," aviso"),"Na regra")))</f>
        <v/>
      </c>
      <c r="GK9" s="141">
        <f>IF($EF9=0,"",IF($GG9+$GI9=0,"Dentro das regras que a ficha confere",$GF9&amp;IF(AND($GG9&gt;0,$GI9&gt;0)," · ","")&amp;$GH9))</f>
        <v/>
      </c>
      <c r="GL9" s="141">
        <f>IF($EF9=0,"",IF($DU9=1,CEILING(4.5*$DW9,1),3*$DW9)&amp;" PE")</f>
        <v/>
      </c>
      <c r="GM9" s="141">
        <f>IF($EF9=0,"",IF($DU9=1,"Rodada inteira",IF(COUNTIF($EX9:$EY9,"Atrasar")&gt;0,IF(COUNTIF($EX9:$EY9,"Carregar")&gt;0,"Rodada +1 turno","Rodada inteira"),IF(COUNTIF($DZ9:$EC9,"Rápido")&gt;0,"Bônus",IF(COUNTIF($DZ9:$EC9,"Reação")&gt;0,"Reação","Padrão"))&amp;IF(COUNTIF($EX9:$EY9,"Carregar")&gt;0," +1 turno",""))))</f>
        <v/>
      </c>
      <c r="GN9" s="141">
        <f>IF(OR($EF9=0,$EG9=0),"",IF(COUNTIF($DZ9:$EC9,"Inescapável")&gt;0,"Automático",IF(COUNTIF($DZ9:$EC9,"Certeiro")&gt;0,"TR para metade",INDEX($AF$2:$AF$11,$EG9))))</f>
        <v/>
      </c>
      <c r="GO9" s="141">
        <f>IF(OR($EF9=0,$EG9=0),"",IF(OR($ET9&gt;=2,$FP9=0),UPPER(LEFT(INDEX($FY9:$GE9,1,$DW9),1))&amp;MID(INDEX($FY9:$GE9,1,$DW9),2,99),UPPER(LEFT(INDEX($FY9:$GE9,1,$DW9),1))&amp;MID(INDEX($FY9:$GE9,1,$DW9),2,99)&amp;" = "&amp;FLOOR($FP9*4.5,1)&amp;IF($FQ9&gt;0," · +"&amp;$FQ9&amp;"d8","")))</f>
        <v/>
      </c>
      <c r="GP9" s="141">
        <f>COUNTIF($DZ9:$EC9,"Longe")+3*COUNTIF($DZ9:$EC9,"Muito Longe")</f>
        <v/>
      </c>
      <c r="GQ9" s="141">
        <f>COUNTIF($DZ9:$EC9,"Maior")+3*COUNTIF($DZ9:$EC9,"Muito Maior")</f>
        <v/>
      </c>
      <c r="GR9" s="141">
        <f>IF($EG9=0,0,CHOOSE(1+INDEX($AH$2:$AH$11,$EG9),0,$GP9,$GQ9,$GP9+$GQ9))</f>
        <v/>
      </c>
      <c r="GS9" s="141">
        <f>IF($EG9=0,0,CHOOSE(1+INDEX($AI$2:$AI$11,$EG9),0,$GP9,$GQ9,$GP9+$GQ9))</f>
        <v/>
      </c>
      <c r="GT9" s="141">
        <f>IF(OR($EF9=0,$EG9=0),"",INDEX($AP$2:$AU$31,($EG9-1)*3+IF($DW9&gt;=6,3,2),1+MIN(5,$GR9))&amp;INDEX($AV$2:$BA$31,($EG9-1)*3+IF($DW9&gt;=6,3,2),1+MIN(5,$GS9))&amp;IF(INDEX($AJ$2:$AJ$11,$EG9)=1,IF(COUNTIF($DZ9:$EC9,"Mais Um")&gt;0," · +"&amp;COUNTIF($DZ9:$EC9,"Mais Um")&amp;IF(COUNTIF($DZ9:$EC9,"Mais Um")&gt;1," alvos"," alvo"),"")&amp;IF(COUNTIF($DZ9:$EC9,"Rajada")&gt;0," · "&amp;($DW9+1)&amp;" tiros",""),""))</f>
        <v/>
      </c>
      <c r="GU9" s="141">
        <f>IF($EF9=0,"",3*$DW9&amp;" − "&amp;$FJ9&amp;" + "&amp;$FM9&amp;IF($DU9=1," + "&amp;$DW9,"")&amp;" = "&amp;$FP9&amp;"d8 · teto "&amp;4*$DW9&amp;IF($ES9=1," · a Forma devolve "&amp;$DW9,"")&amp;IF($FN9&gt;0," · perde "&amp;$FN9,""))</f>
        <v/>
      </c>
      <c r="GV9" s="141">
        <f>IF($EF9=0,"",IF($DW9&gt;=$HE$4,"Já está na maior Classe que o nível liberou",TEXTJOIN(" · ",TRUE,IF(AND(2&gt;$DW9,2&lt;=$HE$4),"2 → "&amp;$FZ9&amp;", "&amp;IF($DU9=1,9,6)&amp;" PE",""),IF(AND(3&gt;$DW9,3&lt;=$HE$4),"3 → "&amp;$GA9&amp;", "&amp;IF($DU9=1,14,9)&amp;" PE",""),IF(AND(4&gt;$DW9,4&lt;=$HE$4),"4 → "&amp;$GB9&amp;", "&amp;IF($DU9=1,18,12)&amp;" PE",""),IF(AND(5&gt;$DW9,5&lt;=$HE$4),"5 → "&amp;$GC9&amp;", "&amp;IF($DU9=1,23,15)&amp;" PE",""),IF(AND(6&gt;$DW9,6&lt;=$HE$4),"6 → "&amp;$GD9&amp;", "&amp;IF($DU9=1,27,18)&amp;" PE",""),IF(AND(7&gt;$DW9,7&lt;=$HE$4),"7 → "&amp;$GE9&amp;", "&amp;IF($DU9=1,32,21)&amp;" PE",""))))</f>
        <v/>
      </c>
      <c r="GW9" s="141">
        <f>IF(OR($EF9=0,$EI9=0),"","−"&amp;INDEX($Q$2:$V$8,$DW9,$EI9)&amp;" · "&amp;CHOOSE($EI9,"Leve","Média","Pesada","Leve · Livre","Média · Livre","Pesada · Livre"))</f>
        <v/>
      </c>
      <c r="GX9" s="141">
        <f>IF(OR($EF9=0,$EJ9=0),"","−"&amp;INDEX($Q$2:$V$8,$DW9,$EJ9)&amp;" · "&amp;CHOOSE($EJ9,"Leve","Média","Pesada","Leve · Livre","Média · Livre","Pesada · Livre"))</f>
        <v/>
      </c>
      <c r="GY9" s="141">
        <f>IF(OR($EF9=0,$EK9=0),"","−"&amp;INDEX($Q$2:$V$8,$DW9,$EK9)&amp;" · "&amp;CHOOSE($EK9,"Leve","Média","Pesada","Leve · Livre","Média · Livre","Pesada · Livre"))</f>
        <v/>
      </c>
      <c r="GZ9" s="141">
        <f>IF(OR($EF9=0,$EL9=0),"","−"&amp;INDEX($Q$2:$V$8,$DW9,$EL9)&amp;" · "&amp;CHOOSE($EL9,"Leve","Média","Pesada","Leve · Livre","Média · Livre","Pesada · Livre"))</f>
        <v/>
      </c>
      <c r="HA9" s="141">
        <f>IF(OR($EF9=0,$ED9=""),"","+"&amp;IF($EV9=1,CEILING($DW9/2,1),$DW9))</f>
        <v/>
      </c>
      <c r="HB9" s="141">
        <f>IF(OR($EF9=0,$EE9=""),"","+"&amp;IF($EW9=1,CEILING($DW9/2,1),$DW9))</f>
        <v/>
      </c>
      <c r="HD9" s="114" t="inlineStr">
        <is>
          <t>liberações</t>
        </is>
      </c>
      <c r="HE9" s="141">
        <f>COUNTIF($DA$2:$DA$4,"&lt;="&amp;$HE$2)</f>
        <v/>
      </c>
      <c r="HG9" s="114" t="inlineStr">
        <is>
          <t>Passiva 8 · Leque</t>
        </is>
      </c>
      <c r="HH9" s="141">
        <f>'FICHA AMALDIÇOADA'!$P$397&amp;""</f>
        <v/>
      </c>
      <c r="HI9" s="141">
        <f>IFERROR(VLOOKUP($HH9,$BR$2:$BW$24,2,FALSE),0)</f>
        <v/>
      </c>
      <c r="HJ9" s="141">
        <f>IFERROR(VLOOKUP($HI9,$BY$2:$BZ$4,2,FALSE),0)</f>
        <v/>
      </c>
      <c r="HK9" s="141">
        <f>IFERROR(VLOOKUP($HH9,$BR$2:$BW$24,3,FALSE),"")</f>
        <v/>
      </c>
      <c r="HL9" s="141">
        <f>IF($HI9=0,"",IF($HJ9&gt;$HE$2,"⚠ Nível "&amp;$HJ9,"CP "&amp;$HI9))</f>
        <v/>
      </c>
      <c r="HM9" s="141">
        <f>IF($HI9=0,"",IF(3&gt;$HE$8,"⚠ Vaga","Grátis"))</f>
        <v/>
      </c>
      <c r="HO9" s="114" t="inlineStr">
        <is>
          <t>Aptidão 8</t>
        </is>
      </c>
      <c r="HP9" s="141">
        <f>'FICHA AMALDIÇOADA'!$J$472&amp;""</f>
        <v/>
      </c>
      <c r="HQ9" s="141">
        <f>IF($HP9="","","Requisito: "&amp;IFERROR(VLOOKUP($HP9,$CB$2:$CJ$32,2,FALSE),""))</f>
        <v/>
      </c>
      <c r="HR9" s="141">
        <f>IF($HP9="","",IFERROR(IF(ISNUMBER(VLOOKUP($HP9,$CB$2:$CJ$32,3,FALSE)),"CP "&amp;VLOOKUP($HP9,$CB$2:$CJ$32,3,FALSE),VLOOKUP($HP9,$CB$2:$CJ$32,3,FALSE)),""))</f>
        <v/>
      </c>
      <c r="HS9" s="141">
        <f>IF($HP9="","",IFERROR(VLOOKUP($HP9,$CB$2:$CJ$32,4,FALSE),""))</f>
        <v/>
      </c>
      <c r="HT9" s="141">
        <f>IF($HP9="","",IFERROR(VLOOKUP($HP9,$CB$2:$CJ$32,5,FALSE),""))</f>
        <v/>
      </c>
      <c r="IE9" s="114" t="inlineStr">
        <is>
          <t>Passivas</t>
        </is>
      </c>
      <c r="IF9" s="141">
        <f>ADDRESS(ROW('FICHA AMALDIÇOADA'!M7),COLUMN('FICHA AMALDIÇOADA'!M7),4)</f>
        <v/>
      </c>
      <c r="IG9" s="141">
        <f>ADDRESS(ROW('FICHA AMALDIÇOADA'!D376),COLUMN('FICHA AMALDIÇOADA'!D376),4)</f>
        <v/>
      </c>
      <c r="IH9" s="141">
        <f>ADDRESS(ROW(DADOS_AM!IE9),COLUMN(DADOS_AM!IE9),4)</f>
        <v/>
      </c>
      <c r="IJ9" s="114" t="inlineStr">
        <is>
          <t>D17</t>
        </is>
      </c>
      <c r="IK9" s="141">
        <f>IF(DADOS_AM!$HE$41=1,"GRUPO 1","—")</f>
        <v/>
      </c>
    </row>
    <row r="10">
      <c r="C10" s="114" t="inlineStr">
        <is>
          <t>graça 2</t>
        </is>
      </c>
      <c r="D10" s="114" t="inlineStr">
        <is>
          <t>Canalizar energia</t>
        </is>
      </c>
      <c r="E10" s="114" t="inlineStr">
        <is>
          <t>Canalizar energia</t>
        </is>
      </c>
      <c r="F10" s="114" t="inlineStr">
        <is>
          <t>Canalizar energia</t>
        </is>
      </c>
      <c r="G10" s="114" t="inlineStr">
        <is>
          <t>Estímulo Muscular</t>
        </is>
      </c>
      <c r="I10" s="114" t="inlineStr">
        <is>
          <t>Amparo</t>
        </is>
      </c>
      <c r="J10" s="141">
        <f>'FICHA AMALDIÇOADA'!$P$37&amp;""</f>
        <v/>
      </c>
      <c r="K10" s="141">
        <f>IF($J10="Livre",1,0)</f>
        <v/>
      </c>
      <c r="L10" s="141">
        <f>IF($J10="Fechada",1,0)</f>
        <v/>
      </c>
      <c r="Y10" s="114" t="inlineStr">
        <is>
          <t>Onda</t>
        </is>
      </c>
      <c r="Z10" s="114" t="inlineStr">
        <is>
          <t>Amparo</t>
        </is>
      </c>
      <c r="AA10" s="141" t="n">
        <v>3</v>
      </c>
      <c r="AB10" s="141">
        <f>IF($AA10=0,0,$AA10+3*IFERROR(VLOOKUP($Z10,$I$2:$L$10,3,FALSE),0))</f>
        <v/>
      </c>
      <c r="AC10" s="141">
        <f>IFERROR(VLOOKUP($Z10,$I$2:$L$10,4,FALSE),0)</f>
        <v/>
      </c>
      <c r="AD10" s="141" t="n">
        <v>0</v>
      </c>
      <c r="AE10" s="141" t="n">
        <v>1</v>
      </c>
      <c r="AF10" s="114" t="inlineStr">
        <is>
          <t>Automático</t>
        </is>
      </c>
      <c r="AG10" s="141" t="n">
        <v>0</v>
      </c>
      <c r="AH10" s="141" t="n">
        <v>2</v>
      </c>
      <c r="AI10" s="141" t="n">
        <v>0</v>
      </c>
      <c r="AJ10" s="141" t="n">
        <v>0</v>
      </c>
      <c r="AK10" s="141" t="n">
        <v>0</v>
      </c>
      <c r="AL10" s="141">
        <f>IF($AC10=1,"",$Y10)</f>
        <v/>
      </c>
      <c r="AM10" s="141">
        <f>IF(AND($AK10=1,$AC10=0),$Y10,"")</f>
        <v/>
      </c>
      <c r="AO10" s="114" t="inlineStr">
        <is>
          <t>Explosão · classes 6 e 7</t>
        </is>
      </c>
      <c r="AP10" s="114" t="inlineStr">
        <is>
          <t>Raio 4,5 m</t>
        </is>
      </c>
      <c r="AQ10" s="114" t="inlineStr">
        <is>
          <t>Raio 6 m</t>
        </is>
      </c>
      <c r="AR10" s="114" t="inlineStr">
        <is>
          <t>Raio 9 m</t>
        </is>
      </c>
      <c r="AS10" s="114" t="inlineStr">
        <is>
          <t>Raio 15 m</t>
        </is>
      </c>
      <c r="AT10" s="114" t="inlineStr">
        <is>
          <t>Raio 15 m</t>
        </is>
      </c>
      <c r="AU10" s="114" t="inlineStr">
        <is>
          <t>Raio 15 m</t>
        </is>
      </c>
      <c r="AV10" s="114" t="inlineStr">
        <is>
          <t>, a 36 m</t>
        </is>
      </c>
      <c r="AW10" s="114" t="inlineStr">
        <is>
          <t>, a 90 m</t>
        </is>
      </c>
      <c r="AX10" s="114" t="inlineStr">
        <is>
          <t>, a o que você enxergar</t>
        </is>
      </c>
      <c r="AY10" s="114" t="inlineStr">
        <is>
          <t>, a o que você enxergar</t>
        </is>
      </c>
      <c r="AZ10" s="114" t="inlineStr">
        <is>
          <t>, a o que você enxergar</t>
        </is>
      </c>
      <c r="BA10" s="114" t="inlineStr">
        <is>
          <t>, a o que você enxergar</t>
        </is>
      </c>
      <c r="BC10" s="114" t="inlineStr">
        <is>
          <t>Muito Maior</t>
        </is>
      </c>
      <c r="BD10" s="114" t="inlineStr">
        <is>
          <t>Área</t>
        </is>
      </c>
      <c r="BE10" s="141" t="n">
        <v>3</v>
      </c>
      <c r="BF10" s="141">
        <f>$BE10+3*IFERROR(VLOOKUP($BD10,$I$2:$L$10,3,FALSE),0)</f>
        <v/>
      </c>
      <c r="BG10" s="141">
        <f>IFERROR(VLOOKUP($BD10,$I$2:$L$10,4,FALSE),0)</f>
        <v/>
      </c>
      <c r="BH10" s="141" t="n">
        <v>0</v>
      </c>
      <c r="BI10" s="141">
        <f>IF($BG10=1,"",$BC10)</f>
        <v/>
      </c>
      <c r="BJ10" s="141">
        <f>IF(AND($BE10=1,$BG10=0),$BC10,"")</f>
        <v/>
      </c>
      <c r="BL10" s="114" t="inlineStr">
        <is>
          <t>Tudo ou Nada</t>
        </is>
      </c>
      <c r="BM10" s="114" t="inlineStr">
        <is>
          <t>Tudo ou Nada</t>
        </is>
      </c>
      <c r="BN10" s="141" t="n">
        <v>1</v>
      </c>
      <c r="BO10" s="141" t="n">
        <v>0</v>
      </c>
      <c r="BP10" s="114" t="inlineStr">
        <is>
          <t>Tudo ou Nada</t>
        </is>
      </c>
      <c r="BR10" s="114" t="inlineStr">
        <is>
          <t>Segunda Natureza</t>
        </is>
      </c>
      <c r="BS10" s="141" t="n">
        <v>2</v>
      </c>
      <c r="BT10" s="114" t="inlineStr">
        <is>
          <t>Uma vez por dia, conjura um feitiço de Classe até metade da sua maior sem gastar PE.</t>
        </is>
      </c>
      <c r="BU10" s="141" t="n">
        <v>1</v>
      </c>
      <c r="BV10" s="141" t="n">
        <v>0</v>
      </c>
      <c r="BW10" s="141">
        <f>IF(OR(AND($A$2&lt;=2,$BU10=1),AND($A$2&gt;=2,$BV10=1)),$BR10,"")</f>
        <v/>
      </c>
      <c r="CB10" s="114" t="inlineStr">
        <is>
          <t>Cesta Oca de Vime</t>
        </is>
      </c>
      <c r="CC10" s="114" t="inlineStr">
        <is>
          <t>ser Reencarnado, ou treinado em História</t>
        </is>
      </c>
      <c r="CD10" s="141" t="n">
        <v>1</v>
      </c>
      <c r="CE10" s="114" t="inlineStr">
        <is>
          <t>—</t>
        </is>
      </c>
      <c r="CF10" s="114" t="inlineStr">
        <is>
          <t>Você faz o símbolo e uma esfera se fecha em volta de você. Enquanto você o segurar, o Acerto de uma Expansão não te alcança, e as suas duas mãos ficam presas nele: nada de arma, escudo, feitiço com Gesto ou Agarrar. Andar e chutar, pode. Ela levanta com uma Reação quando uma Expansão abre, ou com uma Ação Bônus no seu turno. Erguer custa a sua maior Classe em PE, toda vez que ela sobe; de pé, ela não custa nada. Ela cai pelos golpes em você, e não pela Expansão. Cada golpe que te acerta pede o teste do Carregar: um Teste de Resistência de Espírito contra a CD de quem te feriu. As falhas se acumulam, e com metade da sua Essência em falhas (no mínimo 1) a esfera se desfaz. Esse teste não ocupa a sua Concentração, e a Mão Firme não protege dele. Se você soltar o símbolo, ela fica de pé e você recupera as mãos, mas cada Acerto letal da Expansão conta uma falha, no máximo uma por rodada. Quando ela cai, a Expansão te alcança na hora, com um Acerto a mais: o do começo do turno do dono continua vindo. Você pode levantar de novo sem espera, com as falhas zeradas, gastando a Ação Bônus do seu turno.</t>
        </is>
      </c>
      <c r="CG10" s="141">
        <f>IF($CJ10=1,"",IF($A$2=4,IF($CH10=1,$CB10,""),IF(OR($CH10=1,AND($A$2=3,$CI10=1)),"",$CB10)))</f>
        <v/>
      </c>
      <c r="CH10" s="141" t="n">
        <v>0</v>
      </c>
      <c r="CI10" s="141" t="n">
        <v>0</v>
      </c>
      <c r="CJ10" s="141" t="n">
        <v>0</v>
      </c>
      <c r="CR10" s="114" t="inlineStr">
        <is>
          <t>Lâmina Curta</t>
        </is>
      </c>
      <c r="CS10" s="141" t="n">
        <v>0</v>
      </c>
      <c r="CT10" s="141" t="n">
        <v>1</v>
      </c>
      <c r="CU10" s="141">
        <f>IF(AND($A$2&gt;=3,'FICHA AMALDIÇOADA'!$J$16&amp;""="Três grupos de arma"),$CR10,"")</f>
        <v/>
      </c>
      <c r="DT10" s="114" t="inlineStr">
        <is>
          <t>Feitiço 9</t>
        </is>
      </c>
      <c r="DU10" s="141" t="n">
        <v>0</v>
      </c>
      <c r="DV10" s="141" t="n">
        <v>9</v>
      </c>
      <c r="DW10" s="141">
        <f>MAX(1,MIN(7,N('FICHA AMALDIÇOADA'!$P$93)))</f>
        <v/>
      </c>
      <c r="DX10" s="141">
        <f>'FICHA AMALDIÇOADA'!$Q$93&amp;""</f>
        <v/>
      </c>
      <c r="DY10" s="141">
        <f>'FICHA AMALDIÇOADA'!$P$100&amp;""</f>
        <v/>
      </c>
      <c r="DZ10" s="141">
        <f>'FICHA AMALDIÇOADA'!$Q$102&amp;""</f>
        <v/>
      </c>
      <c r="EA10" s="141">
        <f>'FICHA AMALDIÇOADA'!$Q$103&amp;""</f>
        <v/>
      </c>
      <c r="EB10" s="141">
        <f>'FICHA AMALDIÇOADA'!$Q$104&amp;""</f>
        <v/>
      </c>
      <c r="EC10" s="141">
        <f>'FICHA AMALDIÇOADA'!$Q$105&amp;""</f>
        <v/>
      </c>
      <c r="ED10" s="141">
        <f>'FICHA AMALDIÇOADA'!$Q$106&amp;""</f>
        <v/>
      </c>
      <c r="EE10" s="141">
        <f>'FICHA AMALDIÇOADA'!$Q$107&amp;""</f>
        <v/>
      </c>
      <c r="EF10" s="141">
        <f>IF($DX10&lt;&gt;"",1,0)</f>
        <v/>
      </c>
      <c r="EG10" s="141">
        <f>IFERROR(MATCH($DY10,$Y$2:$Y$11,0),0)</f>
        <v/>
      </c>
      <c r="EH10" s="141">
        <f>IF($EG10=0,0,INDEX($AB$2:$AB$11,$EG10))</f>
        <v/>
      </c>
      <c r="EI10" s="141">
        <f>IFERROR(VLOOKUP($DZ10,$BC$2:$BJ$84,4,FALSE),0)</f>
        <v/>
      </c>
      <c r="EJ10" s="141">
        <f>IFERROR(VLOOKUP($EA10,$BC$2:$BJ$84,4,FALSE),0)</f>
        <v/>
      </c>
      <c r="EK10" s="141">
        <f>IFERROR(VLOOKUP($EB10,$BC$2:$BJ$84,4,FALSE),0)</f>
        <v/>
      </c>
      <c r="EL10" s="141">
        <f>IFERROR(VLOOKUP($EC10,$BC$2:$BJ$84,4,FALSE),0)</f>
        <v/>
      </c>
      <c r="EM10" s="141">
        <f>IF($EG10=0,0,INDEX($AC$2:$AC$11,$EG10))</f>
        <v/>
      </c>
      <c r="EN10" s="141">
        <f>IFERROR(VLOOKUP($DZ10,$BC$2:$BJ$84,5,FALSE),0)</f>
        <v/>
      </c>
      <c r="EO10" s="141">
        <f>IFERROR(VLOOKUP($EA10,$BC$2:$BJ$84,5,FALSE),0)</f>
        <v/>
      </c>
      <c r="EP10" s="141">
        <f>IFERROR(VLOOKUP($EB10,$BC$2:$BJ$84,5,FALSE),0)</f>
        <v/>
      </c>
      <c r="EQ10" s="141">
        <f>IFERROR(VLOOKUP($EC10,$BC$2:$BJ$84,5,FALSE),0)</f>
        <v/>
      </c>
      <c r="ER10" s="141">
        <f>IFERROR(VLOOKUP($DZ10,$BC$2:$BJ$84,6,FALSE),0)+IFERROR(VLOOKUP($EA10,$BC$2:$BJ$84,6,FALSE),0)+IFERROR(VLOOKUP($EB10,$BC$2:$BJ$84,6,FALSE),0)+IFERROR(VLOOKUP($EC10,$BC$2:$BJ$84,6,FALSE),0)</f>
        <v/>
      </c>
      <c r="ES10" s="141">
        <f>IF($EG10=0,0,INDEX($AD$2:$AD$11,$EG10))</f>
        <v/>
      </c>
      <c r="ET10" s="141">
        <f>IF($EG10=0,0,INDEX($AE$2:$AE$11,$EG10))</f>
        <v/>
      </c>
      <c r="EU10" s="141">
        <f>IF($EG10=0,0,INDEX($AG$2:$AG$11,$EG10))</f>
        <v/>
      </c>
      <c r="EV10" s="141">
        <f>IFERROR(VLOOKUP($ED10,$BL$2:$BP$24,3,FALSE),0)</f>
        <v/>
      </c>
      <c r="EW10" s="141">
        <f>IFERROR(VLOOKUP($EE10,$BL$2:$BP$24,3,FALSE),0)</f>
        <v/>
      </c>
      <c r="EX10" s="141">
        <f>IFERROR(VLOOKUP($ED10,$BL$2:$BP$24,2,FALSE),"")</f>
        <v/>
      </c>
      <c r="EY10" s="141">
        <f>IFERROR(VLOOKUP($EE10,$BL$2:$BP$24,2,FALSE),"")</f>
        <v/>
      </c>
      <c r="EZ10" s="141">
        <f>COUNTIF($EH10:$EL10,1)</f>
        <v/>
      </c>
      <c r="FA10" s="141">
        <f>COUNTIF($EH10:$EL10,2)</f>
        <v/>
      </c>
      <c r="FB10" s="141">
        <f>COUNTIF($EH10:$EL10,3)</f>
        <v/>
      </c>
      <c r="FC10" s="141">
        <f>COUNTIF($EH10:$EL10,4)</f>
        <v/>
      </c>
      <c r="FD10" s="141">
        <f>COUNTIF($EH10:$EL10,5)</f>
        <v/>
      </c>
      <c r="FE10" s="141">
        <f>COUNTIF($EH10:$EL10,6)</f>
        <v/>
      </c>
      <c r="FF10" s="141">
        <f>COUNTIF($EV10:$EW10,1)</f>
        <v/>
      </c>
      <c r="FG10" s="141">
        <f>COUNTIF($EV10:$EW10,2)+$ES10</f>
        <v/>
      </c>
      <c r="FH10" s="141">
        <f>COUNTIF($DZ10:$EC10,"?*")</f>
        <v/>
      </c>
      <c r="FI10" s="141">
        <f>COUNTIF($ED10:$EE10,"?*")+$ES10</f>
        <v/>
      </c>
      <c r="FJ10" s="141">
        <f>SUMPRODUCT($EZ10:$FE10,INDEX($Q$2:$V$8,$DW10,0))</f>
        <v/>
      </c>
      <c r="FK10" s="141">
        <f>$FF10*CEILING($DW10/2,1)+$FG10*$DW10</f>
        <v/>
      </c>
      <c r="FL10" s="141">
        <f>MIN(2*$DW10,$FK10)</f>
        <v/>
      </c>
      <c r="FM10" s="141">
        <f>MIN($FL10,$FJ10)</f>
        <v/>
      </c>
      <c r="FN10" s="141">
        <f>$FL10-$FM10</f>
        <v/>
      </c>
      <c r="FO10" s="141">
        <f>3*$DW10-$FJ10+$FM10</f>
        <v/>
      </c>
      <c r="FP10" s="141">
        <f>MAX(0,$FO10)+$DU10*$DW10</f>
        <v/>
      </c>
      <c r="FQ10" s="141">
        <f>(IF(COUNTIF($DZ10:$EC10,"Salto")&gt;0,1,0)+IF(COUNTIF($DZ10:$EC10,"Queima")&gt;0,1,0))*FLOOR($FP10/2,1)</f>
        <v/>
      </c>
      <c r="FR10" s="141">
        <f>MAX(0,3-SUMPRODUCT($EZ10:$FE10,$Q$2:$V$2)+MIN(2,$FF10*1+$FG10*1,SUMPRODUCT($EZ10:$FE10,$Q$2:$V$2)))+$DU10*1</f>
        <v/>
      </c>
      <c r="FS10" s="141">
        <f>MAX(0,6-SUMPRODUCT($EZ10:$FE10,$Q$3:$V$3)+MIN(4,$FF10*1+$FG10*2,SUMPRODUCT($EZ10:$FE10,$Q$3:$V$3)))+$DU10*2</f>
        <v/>
      </c>
      <c r="FT10" s="141">
        <f>MAX(0,9-SUMPRODUCT($EZ10:$FE10,$Q$4:$V$4)+MIN(6,$FF10*2+$FG10*3,SUMPRODUCT($EZ10:$FE10,$Q$4:$V$4)))+$DU10*3</f>
        <v/>
      </c>
      <c r="FU10" s="141">
        <f>MAX(0,12-SUMPRODUCT($EZ10:$FE10,$Q$5:$V$5)+MIN(8,$FF10*2+$FG10*4,SUMPRODUCT($EZ10:$FE10,$Q$5:$V$5)))+$DU10*4</f>
        <v/>
      </c>
      <c r="FV10" s="141">
        <f>MAX(0,15-SUMPRODUCT($EZ10:$FE10,$Q$6:$V$6)+MIN(10,$FF10*3+$FG10*5,SUMPRODUCT($EZ10:$FE10,$Q$6:$V$6)))+$DU10*5</f>
        <v/>
      </c>
      <c r="FW10" s="141">
        <f>MAX(0,18-SUMPRODUCT($EZ10:$FE10,$Q$7:$V$7)+MIN(12,$FF10*3+$FG10*6,SUMPRODUCT($EZ10:$FE10,$Q$7:$V$7)))+$DU10*6</f>
        <v/>
      </c>
      <c r="FX10" s="141">
        <f>MAX(0,21-SUMPRODUCT($EZ10:$FE10,$Q$8:$V$8)+MIN(14,$FF10*4+$FG10*7,SUMPRODUCT($EZ10:$FE10,$Q$8:$V$8)))+$DU10*7</f>
        <v/>
      </c>
      <c r="FY10" s="141">
        <f>IF($ET10=2,3*$FR10&amp;" de vida temp.",IF($ET10=3,"sem dano",IF($FR10=0,IF($ET10=1,"sem cura","sem dano"),IF($ET10=1,"cura ","")&amp;$FR10&amp;"d8")))</f>
        <v/>
      </c>
      <c r="FZ10" s="141">
        <f>IF($ET10=2,3*$FS10&amp;" de vida temp.",IF($ET10=3,"sem dano",IF($FS10=0,IF($ET10=1,"sem cura","sem dano"),IF($ET10=1,"cura ","")&amp;$FS10&amp;"d8")))</f>
        <v/>
      </c>
      <c r="GA10" s="141">
        <f>IF($ET10=2,3*$FT10&amp;" de vida temp.",IF($ET10=3,"sem dano",IF($FT10=0,IF($ET10=1,"sem cura","sem dano"),IF($ET10=1,"cura ","")&amp;$FT10&amp;"d8")))</f>
        <v/>
      </c>
      <c r="GB10" s="141">
        <f>IF($ET10=2,3*$FU10&amp;" de vida temp.",IF($ET10=3,"sem dano",IF($FU10=0,IF($ET10=1,"sem cura","sem dano"),IF($ET10=1,"cura ","")&amp;$FU10&amp;"d8")))</f>
        <v/>
      </c>
      <c r="GC10" s="141">
        <f>IF($ET10=2,3*$FV10&amp;" de vida temp.",IF($ET10=3,"sem dano",IF($FV10=0,IF($ET10=1,"sem cura","sem dano"),IF($ET10=1,"cura ","")&amp;$FV10&amp;"d8")))</f>
        <v/>
      </c>
      <c r="GD10" s="141">
        <f>IF($ET10=2,3*$FW10&amp;" de vida temp.",IF($ET10=3,"sem dano",IF($FW10=0,IF($ET10=1,"sem cura","sem dano"),IF($ET10=1,"cura ","")&amp;$FW10&amp;"d8")))</f>
        <v/>
      </c>
      <c r="GE10" s="141">
        <f>IF($ET10=2,3*$FX10&amp;" de vida temp.",IF($ET10=3,"sem dano",IF($FX10=0,IF($ET10=1,"sem cura","sem dano"),IF($ET10=1,"cura ","")&amp;$FX10&amp;"d8")))</f>
        <v/>
      </c>
      <c r="GF10" s="141">
        <f>IF($EF10=0,"",TEXTJOIN(" · ",TRUE,IF(AND($DU10=1,$DV10&gt;$HE$9),"O nível "&amp;$HE$2&amp;" dá "&amp;$HE$9&amp;" Liberação Máxima",""),IF($DW10&gt;$HE$4,"Classe "&amp;$DW10&amp;": o nível "&amp;$HE$2&amp;" libera até a "&amp;$HE$4,""),IF($EM10=1,"Família Fechada: a Forma "&amp;$DY10,""),IF($EN10=1,"Família Fechada: "&amp;$DZ10,""),IF($EO10=1,"Família Fechada: "&amp;$EA10,""),IF($EP10=1,"Família Fechada: "&amp;$EB10,""),IF($EQ10=1,"Família Fechada: "&amp;$EC10,""),IF($FH10&gt;INDEX($W$2:$W$8,$DW10),$FH10&amp;" Melhorias: a Classe "&amp;$DW10&amp;" aceita "&amp;INDEX($W$2:$W$8,$DW10),""),IF($FI10&gt;2,$FI10&amp;" Restrições"&amp;IF($ES10=1,", contando a que a Forma "&amp;$DY10&amp;" já traz","")&amp;": o limite é 2",""),IF($FO10&lt;0,"Orçamento estourado: faltam "&amp;(-$FO10)&amp;IF($FO10&lt;-1," pontos"," ponto"),""),IF(IFERROR(VLOOKUP($ED10,$BL$2:$BP$24,4,FALSE),0)+IFERROR(VLOOKUP($EE10,$BL$2:$BP$24,4,FALSE),0)&gt;1,$EX10&amp;" e "&amp;$EY10&amp;" são as duas de frequência",""),IF(AND((COUNTIF($DZ10:$EC10,"Rápido")+COUNTIF($EX10:$EY10,"Rápido"))&gt;0,(COUNTIF($DZ10:$EC10,"Reação")+COUNTIF($EX10:$EY10,"Reação"))&gt;0),"Rápido não entra com Reação",""),IF(AND((COUNTIF($DZ10:$EC10,"Rápido")+COUNTIF($EX10:$EY10,"Rápido"))&gt;0,(COUNTIF($DZ10:$EC10,"Atrasar")+COUNTIF($EX10:$EY10,"Atrasar"))&gt;0),"Rápido não entra com Atrasar",""),IF(AND((COUNTIF($DZ10:$EC10,"Reação")+COUNTIF($EX10:$EY10,"Reação"))&gt;0,(COUNTIF($DZ10:$EC10,"Atrasar")+COUNTIF($EX10:$EY10,"Atrasar"))&gt;0),"Reação não entra com Atrasar",""),IF(AND((COUNTIF($DZ10:$EC10,"Reação")+COUNTIF($EX10:$EY10,"Reação"))&gt;0,(COUNTIF($DZ10:$EC10,"Parado")+COUNTIF($EX10:$EY10,"Parado"))&gt;0),"Reação não entra com Parado",""),IF(AND(COUNTIF($EX10:$EY10,"Corpo a Corpo")&gt;0,$ES10=0,OR($DY10="Cone",$DY10="Linha")),"Corpo a Corpo não entra em "&amp;$DY10,""),IF(AND(COUNTIF($EX10:$EY10,"Corpo a Corpo")&gt;0,$ES10=1),"A Forma "&amp;$DY10&amp;" já traz o Corpo a Corpo",""),IF(AND(COUNTIF($EX10:$EY10,"Tudo ou Nada")&gt;0,$EU10=0),"Tudo ou Nada só entra em feitiço de Teste de Resistência",""),IF(AND(COUNTIF($DZ10:$EC10,"Inescapável")&gt;0,OR($FH10&gt;1,$FI10&gt;0)),"Inescapável não aceita outra peça",""),IF(AND($DU10=1,$DW10&lt;3),"Liberação Máxima é de Classe 3 ou mais",""),IF(AND($DU10=1,OR($ET10=1,$ET10=2)),"Liberação Máxima não serve para cura",""),IF(AND($DU10=1,COUNTIF($DZ10:$EC10,"Inescapável")+COUNTIF($DZ10:$EC10,"Toca a Alma")&gt;0),"Esta peça não entra numa Liberação Máxima",""),IF($FP10+$FQ10&gt;4*$DW10,($FP10+$FQ10)&amp;" dados somando alvos e repetições: o teto da Classe "&amp;$DW10&amp;" é "&amp;4*$DW10,"")))</f>
        <v/>
      </c>
      <c r="GG10" s="141">
        <f>IF($GF10="",0,(LEN($GF10)-LEN(SUBSTITUTE($GF10," · ","")))/3+1)</f>
        <v/>
      </c>
      <c r="GH10" s="141">
        <f>IF($EF10=0,"",TEXTJOIN(" · ",TRUE,IF($FK10&gt;2*$DW10,"A devolução parou no teto de "&amp;2*$DW10,""),IF($FN10&gt;0,"Devolução perdida: "&amp;$FN10&amp;IF($FN10&gt;1," pontos"," ponto")&amp;" sem peça para pagar",""),IF(AND($ER10&gt;0,$FP10=0),"Controle sem dano: uma rodada a mais e CD +2",""),IF(AND($ER10&gt;0,$FP10&gt;0,$FP10&lt;=$DW10),"Controle com um quarto do teto: uma rodada a mais","")))</f>
        <v/>
      </c>
      <c r="GI10" s="141">
        <f>IF($GH10="",0,(LEN($GH10)-LEN(SUBSTITUTE($GH10," · ","")))/3+1)</f>
        <v/>
      </c>
      <c r="GJ10" s="141">
        <f>IF($EF10=0,IF($FH10+$FI10-$ES10&gt;0,"Dê um nome",""),IF($GG10&gt;0,"⚠ "&amp;$GG10&amp;IF($GG10&gt;1," erros"," erro"),IF($GI10&gt;0,"! "&amp;$GI10&amp;IF($GI10&gt;1," avisos"," aviso"),"Na regra")))</f>
        <v/>
      </c>
      <c r="GK10" s="141">
        <f>IF($EF10=0,"",IF($GG10+$GI10=0,"Dentro das regras que a ficha confere",$GF10&amp;IF(AND($GG10&gt;0,$GI10&gt;0)," · ","")&amp;$GH10))</f>
        <v/>
      </c>
      <c r="GL10" s="141">
        <f>IF($EF10=0,"",IF($DU10=1,CEILING(4.5*$DW10,1),3*$DW10)&amp;" PE")</f>
        <v/>
      </c>
      <c r="GM10" s="141">
        <f>IF($EF10=0,"",IF($DU10=1,"Rodada inteira",IF(COUNTIF($EX10:$EY10,"Atrasar")&gt;0,IF(COUNTIF($EX10:$EY10,"Carregar")&gt;0,"Rodada +1 turno","Rodada inteira"),IF(COUNTIF($DZ10:$EC10,"Rápido")&gt;0,"Bônus",IF(COUNTIF($DZ10:$EC10,"Reação")&gt;0,"Reação","Padrão"))&amp;IF(COUNTIF($EX10:$EY10,"Carregar")&gt;0," +1 turno",""))))</f>
        <v/>
      </c>
      <c r="GN10" s="141">
        <f>IF(OR($EF10=0,$EG10=0),"",IF(COUNTIF($DZ10:$EC10,"Inescapável")&gt;0,"Automático",IF(COUNTIF($DZ10:$EC10,"Certeiro")&gt;0,"TR para metade",INDEX($AF$2:$AF$11,$EG10))))</f>
        <v/>
      </c>
      <c r="GO10" s="141">
        <f>IF(OR($EF10=0,$EG10=0),"",IF(OR($ET10&gt;=2,$FP10=0),UPPER(LEFT(INDEX($FY10:$GE10,1,$DW10),1))&amp;MID(INDEX($FY10:$GE10,1,$DW10),2,99),UPPER(LEFT(INDEX($FY10:$GE10,1,$DW10),1))&amp;MID(INDEX($FY10:$GE10,1,$DW10),2,99)&amp;" = "&amp;FLOOR($FP10*4.5,1)&amp;IF($FQ10&gt;0," · +"&amp;$FQ10&amp;"d8","")))</f>
        <v/>
      </c>
      <c r="GP10" s="141">
        <f>COUNTIF($DZ10:$EC10,"Longe")+3*COUNTIF($DZ10:$EC10,"Muito Longe")</f>
        <v/>
      </c>
      <c r="GQ10" s="141">
        <f>COUNTIF($DZ10:$EC10,"Maior")+3*COUNTIF($DZ10:$EC10,"Muito Maior")</f>
        <v/>
      </c>
      <c r="GR10" s="141">
        <f>IF($EG10=0,0,CHOOSE(1+INDEX($AH$2:$AH$11,$EG10),0,$GP10,$GQ10,$GP10+$GQ10))</f>
        <v/>
      </c>
      <c r="GS10" s="141">
        <f>IF($EG10=0,0,CHOOSE(1+INDEX($AI$2:$AI$11,$EG10),0,$GP10,$GQ10,$GP10+$GQ10))</f>
        <v/>
      </c>
      <c r="GT10" s="141">
        <f>IF(OR($EF10=0,$EG10=0),"",INDEX($AP$2:$AU$31,($EG10-1)*3+IF($DW10&gt;=6,3,2),1+MIN(5,$GR10))&amp;INDEX($AV$2:$BA$31,($EG10-1)*3+IF($DW10&gt;=6,3,2),1+MIN(5,$GS10))&amp;IF(INDEX($AJ$2:$AJ$11,$EG10)=1,IF(COUNTIF($DZ10:$EC10,"Mais Um")&gt;0," · +"&amp;COUNTIF($DZ10:$EC10,"Mais Um")&amp;IF(COUNTIF($DZ10:$EC10,"Mais Um")&gt;1," alvos"," alvo"),"")&amp;IF(COUNTIF($DZ10:$EC10,"Rajada")&gt;0," · "&amp;($DW10+1)&amp;" tiros",""),""))</f>
        <v/>
      </c>
      <c r="GU10" s="141">
        <f>IF($EF10=0,"",3*$DW10&amp;" − "&amp;$FJ10&amp;" + "&amp;$FM10&amp;IF($DU10=1," + "&amp;$DW10,"")&amp;" = "&amp;$FP10&amp;"d8 · teto "&amp;4*$DW10&amp;IF($ES10=1," · a Forma devolve "&amp;$DW10,"")&amp;IF($FN10&gt;0," · perde "&amp;$FN10,""))</f>
        <v/>
      </c>
      <c r="GV10" s="141">
        <f>IF($EF10=0,"",IF($DW10&gt;=$HE$4,"Já está na maior Classe que o nível liberou",TEXTJOIN(" · ",TRUE,IF(AND(2&gt;$DW10,2&lt;=$HE$4),"2 → "&amp;$FZ10&amp;", "&amp;IF($DU10=1,9,6)&amp;" PE",""),IF(AND(3&gt;$DW10,3&lt;=$HE$4),"3 → "&amp;$GA10&amp;", "&amp;IF($DU10=1,14,9)&amp;" PE",""),IF(AND(4&gt;$DW10,4&lt;=$HE$4),"4 → "&amp;$GB10&amp;", "&amp;IF($DU10=1,18,12)&amp;" PE",""),IF(AND(5&gt;$DW10,5&lt;=$HE$4),"5 → "&amp;$GC10&amp;", "&amp;IF($DU10=1,23,15)&amp;" PE",""),IF(AND(6&gt;$DW10,6&lt;=$HE$4),"6 → "&amp;$GD10&amp;", "&amp;IF($DU10=1,27,18)&amp;" PE",""),IF(AND(7&gt;$DW10,7&lt;=$HE$4),"7 → "&amp;$GE10&amp;", "&amp;IF($DU10=1,32,21)&amp;" PE",""))))</f>
        <v/>
      </c>
      <c r="GW10" s="141">
        <f>IF(OR($EF10=0,$EI10=0),"","−"&amp;INDEX($Q$2:$V$8,$DW10,$EI10)&amp;" · "&amp;CHOOSE($EI10,"Leve","Média","Pesada","Leve · Livre","Média · Livre","Pesada · Livre"))</f>
        <v/>
      </c>
      <c r="GX10" s="141">
        <f>IF(OR($EF10=0,$EJ10=0),"","−"&amp;INDEX($Q$2:$V$8,$DW10,$EJ10)&amp;" · "&amp;CHOOSE($EJ10,"Leve","Média","Pesada","Leve · Livre","Média · Livre","Pesada · Livre"))</f>
        <v/>
      </c>
      <c r="GY10" s="141">
        <f>IF(OR($EF10=0,$EK10=0),"","−"&amp;INDEX($Q$2:$V$8,$DW10,$EK10)&amp;" · "&amp;CHOOSE($EK10,"Leve","Média","Pesada","Leve · Livre","Média · Livre","Pesada · Livre"))</f>
        <v/>
      </c>
      <c r="GZ10" s="141">
        <f>IF(OR($EF10=0,$EL10=0),"","−"&amp;INDEX($Q$2:$V$8,$DW10,$EL10)&amp;" · "&amp;CHOOSE($EL10,"Leve","Média","Pesada","Leve · Livre","Média · Livre","Pesada · Livre"))</f>
        <v/>
      </c>
      <c r="HA10" s="141">
        <f>IF(OR($EF10=0,$ED10=""),"","+"&amp;IF($EV10=1,CEILING($DW10/2,1),$DW10))</f>
        <v/>
      </c>
      <c r="HB10" s="141">
        <f>IF(OR($EF10=0,$EE10=""),"","+"&amp;IF($EW10=1,CEILING($DW10/2,1),$DW10))</f>
        <v/>
      </c>
      <c r="HD10" s="114" t="inlineStr">
        <is>
          <t>classe 0 quantos</t>
        </is>
      </c>
      <c r="HE10" s="141">
        <f>IFERROR(INDEX($CX$2:$CX$6,MATCH($HE$2,$CW$2:$CW$6,1)),0)</f>
        <v/>
      </c>
      <c r="HG10" s="114" t="inlineStr">
        <is>
          <t>Passiva 9 · Leque</t>
        </is>
      </c>
      <c r="HH10" s="141">
        <f>'FICHA AMALDIÇOADA'!$D$405&amp;""</f>
        <v/>
      </c>
      <c r="HI10" s="141">
        <f>IFERROR(VLOOKUP($HH10,$BR$2:$BW$24,2,FALSE),0)</f>
        <v/>
      </c>
      <c r="HJ10" s="141">
        <f>IFERROR(VLOOKUP($HI10,$BY$2:$BZ$4,2,FALSE),0)</f>
        <v/>
      </c>
      <c r="HK10" s="141">
        <f>IFERROR(VLOOKUP($HH10,$BR$2:$BW$24,3,FALSE),"")</f>
        <v/>
      </c>
      <c r="HL10" s="141">
        <f>IF($HI10=0,"",IF($HJ10&gt;$HE$2,"⚠ Nível "&amp;$HJ10,"CP "&amp;$HI10))</f>
        <v/>
      </c>
      <c r="HM10" s="141">
        <f>IF($HI10=0,"",IF(4&gt;$HE$8,"⚠ Vaga","Grátis"))</f>
        <v/>
      </c>
      <c r="HO10" s="114" t="inlineStr">
        <is>
          <t>Aptidão 9</t>
        </is>
      </c>
      <c r="HP10" s="141">
        <f>'FICHA AMALDIÇOADA'!$P$472&amp;""</f>
        <v/>
      </c>
      <c r="HQ10" s="141">
        <f>IF($HP10="","","Requisito: "&amp;IFERROR(VLOOKUP($HP10,$CB$2:$CJ$32,2,FALSE),""))</f>
        <v/>
      </c>
      <c r="HR10" s="141">
        <f>IF($HP10="","",IFERROR(IF(ISNUMBER(VLOOKUP($HP10,$CB$2:$CJ$32,3,FALSE)),"CP "&amp;VLOOKUP($HP10,$CB$2:$CJ$32,3,FALSE),VLOOKUP($HP10,$CB$2:$CJ$32,3,FALSE)),""))</f>
        <v/>
      </c>
      <c r="HS10" s="141">
        <f>IF($HP10="","",IFERROR(VLOOKUP($HP10,$CB$2:$CJ$32,4,FALSE),""))</f>
        <v/>
      </c>
      <c r="HT10" s="141">
        <f>IF($HP10="","",IFERROR(VLOOKUP($HP10,$CB$2:$CJ$32,5,FALSE),""))</f>
        <v/>
      </c>
      <c r="IE10" s="141">
        <f>INDEX($D$6:$G$6,1,$A$2)</f>
        <v/>
      </c>
      <c r="IF10" s="141">
        <f>ADDRESS(ROW('FICHA AMALDIÇOADA'!P7),COLUMN('FICHA AMALDIÇOADA'!P7),4)</f>
        <v/>
      </c>
      <c r="IG10" s="141">
        <f>ADDRESS(ROW('FICHA AMALDIÇOADA'!D421),COLUMN('FICHA AMALDIÇOADA'!D421),4)</f>
        <v/>
      </c>
      <c r="IH10" s="141">
        <f>ADDRESS(ROW(DADOS_AM!IE10),COLUMN(DADOS_AM!IE10),4)</f>
        <v/>
      </c>
      <c r="IJ10" s="114" t="inlineStr">
        <is>
          <t>D19</t>
        </is>
      </c>
      <c r="IK10" s="141">
        <f>IF(DADOS_AM!$HE$42="","",DADOS_AM!$HE$42&amp;" · "&amp;"d20 + "&amp;(DADOS_AM!$HE$3+DADOS_AM!$HE$45+IFERROR(VALUE(FICHA!$W$47&amp;""),0))&amp;" · CD "&amp;(8+DADOS_AM!$HE$3+DADOS_AM!$HE$45+IFERROR(VALUE(FICHA!$L$47&amp;""),0)))</f>
        <v/>
      </c>
    </row>
    <row r="11">
      <c r="C11" s="114" t="inlineStr">
        <is>
          <t>reação</t>
        </is>
      </c>
      <c r="D11" s="114" t="inlineStr">
        <is>
          <t>Reação de Cobrir-se</t>
        </is>
      </c>
      <c r="E11" s="114" t="inlineStr">
        <is>
          <t>Reação de Cobrir-se</t>
        </is>
      </c>
      <c r="F11" s="114" t="inlineStr">
        <is>
          <t>Reação de Cobrir-se</t>
        </is>
      </c>
      <c r="G11" s="114" t="inlineStr">
        <is>
          <t>Reação da Defesa</t>
        </is>
      </c>
      <c r="Y11" s="114" t="inlineStr">
        <is>
          <t>Efeito</t>
        </is>
      </c>
      <c r="Z11" s="114" t="inlineStr"/>
      <c r="AA11" s="141" t="n">
        <v>0</v>
      </c>
      <c r="AB11" s="141">
        <f>IF($AA11=0,0,$AA11+3*IFERROR(VLOOKUP($Z11,$I$2:$L$10,3,FALSE),0))</f>
        <v/>
      </c>
      <c r="AC11" s="141">
        <f>IFERROR(VLOOKUP($Z11,$I$2:$L$10,4,FALSE),0)</f>
        <v/>
      </c>
      <c r="AD11" s="141" t="n">
        <v>0</v>
      </c>
      <c r="AE11" s="141" t="n">
        <v>3</v>
      </c>
      <c r="AF11" s="114" t="inlineStr">
        <is>
          <t>Automático</t>
        </is>
      </c>
      <c r="AG11" s="141" t="n">
        <v>0</v>
      </c>
      <c r="AH11" s="141" t="n">
        <v>0</v>
      </c>
      <c r="AI11" s="141" t="n">
        <v>0</v>
      </c>
      <c r="AJ11" s="141" t="n">
        <v>0</v>
      </c>
      <c r="AK11" s="141" t="n">
        <v>1</v>
      </c>
      <c r="AL11" s="141">
        <f>IF($AC11=1,"",$Y11)</f>
        <v/>
      </c>
      <c r="AM11" s="141">
        <f>IF(AND($AK11=1,$AC11=0),$Y11,"")</f>
        <v/>
      </c>
      <c r="AO11" s="114" t="inlineStr">
        <is>
          <t>Aura · classe 0</t>
        </is>
      </c>
      <c r="AP11" s="114" t="inlineStr">
        <is>
          <t>Raio 3 m, em você</t>
        </is>
      </c>
      <c r="AQ11" s="114" t="inlineStr">
        <is>
          <t>Raio 4,5 m, em você</t>
        </is>
      </c>
      <c r="AR11" s="114" t="inlineStr">
        <is>
          <t>Raio 6 m, em você</t>
        </is>
      </c>
      <c r="AS11" s="114" t="inlineStr">
        <is>
          <t>Raio 9 m, em você</t>
        </is>
      </c>
      <c r="AT11" s="114" t="inlineStr">
        <is>
          <t>Raio 15 m, em você</t>
        </is>
      </c>
      <c r="AU11" s="114" t="inlineStr">
        <is>
          <t>Raio 15 m, em você</t>
        </is>
      </c>
      <c r="AV11" s="114" t="inlineStr"/>
      <c r="AW11" s="114" t="inlineStr"/>
      <c r="AX11" s="114" t="inlineStr"/>
      <c r="AY11" s="114" t="inlineStr"/>
      <c r="AZ11" s="114" t="inlineStr"/>
      <c r="BA11" s="114" t="inlineStr"/>
      <c r="BC11" s="114" t="inlineStr">
        <is>
          <t>Escolher</t>
        </is>
      </c>
      <c r="BD11" s="114" t="inlineStr">
        <is>
          <t>Área</t>
        </is>
      </c>
      <c r="BE11" s="141" t="n">
        <v>2</v>
      </c>
      <c r="BF11" s="141">
        <f>$BE11+3*IFERROR(VLOOKUP($BD11,$I$2:$L$10,3,FALSE),0)</f>
        <v/>
      </c>
      <c r="BG11" s="141">
        <f>IFERROR(VLOOKUP($BD11,$I$2:$L$10,4,FALSE),0)</f>
        <v/>
      </c>
      <c r="BH11" s="141" t="n">
        <v>0</v>
      </c>
      <c r="BI11" s="141">
        <f>IF($BG11=1,"",$BC11)</f>
        <v/>
      </c>
      <c r="BJ11" s="141">
        <f>IF(AND($BE11=1,$BG11=0),$BC11,"")</f>
        <v/>
      </c>
      <c r="BL11" s="114" t="inlineStr">
        <is>
          <t>Uma Vez</t>
        </is>
      </c>
      <c r="BM11" s="114" t="inlineStr">
        <is>
          <t>Uma Vez</t>
        </is>
      </c>
      <c r="BN11" s="141" t="n">
        <v>1</v>
      </c>
      <c r="BO11" s="141" t="n">
        <v>1</v>
      </c>
      <c r="BP11" s="114" t="inlineStr">
        <is>
          <t>Uma Vez</t>
        </is>
      </c>
      <c r="BR11" s="114" t="inlineStr">
        <is>
          <t>Eco</t>
        </is>
      </c>
      <c r="BS11" s="141" t="n">
        <v>2</v>
      </c>
      <c r="BT11" s="114" t="inlineStr">
        <is>
          <t>Quando você derruba um inimigo com feitiço, o próximo feitiço da cena custa metade.</t>
        </is>
      </c>
      <c r="BU11" s="141" t="n">
        <v>1</v>
      </c>
      <c r="BV11" s="141" t="n">
        <v>0</v>
      </c>
      <c r="BW11" s="141">
        <f>IF(OR(AND($A$2&lt;=2,$BU11=1),AND($A$2&gt;=2,$BV11=1)),$BR11,"")</f>
        <v/>
      </c>
      <c r="CB11" s="114" t="inlineStr">
        <is>
          <t>Domínio Simples</t>
        </is>
      </c>
      <c r="CC11" s="114" t="inlineStr">
        <is>
          <t>ter visto um sendo usado, ou ter aprendido com alguém; refino 5, ou 4 com o voto</t>
        </is>
      </c>
      <c r="CD11" s="141" t="n">
        <v>2</v>
      </c>
      <c r="CE11" s="114" t="inlineStr">
        <is>
          <t>O raio</t>
        </is>
      </c>
      <c r="CF11" s="114" t="inlineStr">
        <is>
          <t>Um domínio pequeno em volta de você, de raio 1,5 m + refino ÷ 2, que cobre quem estiver nele. Lá dentro a Expansão não alcança ninguém: nem o Acerto dela, nem o que ela faz com as pessoas ou com o lugar. Ele levanta com uma Reação quando uma Expansão abre, ou com uma Ação Bônus no seu turno, e custa 2 PE por rodada. Erguer custa a sua maior Classe em PE, toda vez que ele sobe. Ele aguenta a Expansão por 3 rodadas, 4 se a sua Essência for maior que a do dono dela e 2 se for menor. Cada Acerto que ele segura gasta uma rodada, a começar pelo de quando ela abre. Quando as rodadas acabam, o Acerto seguinte o derruba e alcança quem ele protegia. Golpe em você não o derruba. Cada Acerto que ele segura pede o teste do Carregar: um Teste de Resistência de Espírito contra a CD do dono da Expansão. Uma falha tira uma rodada, mas as falhas nunca levam a duração abaixo de metade da sua Essência (no mínimo 1). Esse teste não ocupa a sua Concentração, e a Mão Firme não protege dele. Se ele cair pelo voto, no meio da rodada, a Expansão alcança na hora, com um Acerto a mais: o do começo do turno do dono continua vindo. Você pode erguer de novo sem espera, mas da segunda vez em diante, na mesma Expansão, isso custa a Ação Padrão, e ele aguenta metade das rodadas (no mínimo 1).</t>
        </is>
      </c>
      <c r="CG11" s="141">
        <f>IF($CJ11=1,"",IF($A$2=4,IF($CH11=1,$CB11,""),IF(OR($CH11=1,AND($A$2=3,$CI11=1)),"",$CB11)))</f>
        <v/>
      </c>
      <c r="CH11" s="141" t="n">
        <v>0</v>
      </c>
      <c r="CI11" s="141" t="n">
        <v>0</v>
      </c>
      <c r="CJ11" s="141" t="n">
        <v>0</v>
      </c>
      <c r="CR11" s="114" t="inlineStr">
        <is>
          <t>Arremesso</t>
        </is>
      </c>
      <c r="CS11" s="141" t="n">
        <v>0</v>
      </c>
      <c r="CT11" s="141" t="n">
        <v>1</v>
      </c>
      <c r="CU11" s="141">
        <f>IF(AND($A$2&gt;=3,'FICHA AMALDIÇOADA'!$J$16&amp;""="Três grupos de arma"),$CR11,"")</f>
        <v/>
      </c>
      <c r="DT11" s="114" t="inlineStr">
        <is>
          <t>Feitiço 10</t>
        </is>
      </c>
      <c r="DU11" s="141" t="n">
        <v>0</v>
      </c>
      <c r="DV11" s="141" t="n">
        <v>10</v>
      </c>
      <c r="DW11" s="141">
        <f>MAX(1,MIN(7,N('FICHA AMALDIÇOADA'!$D$114)))</f>
        <v/>
      </c>
      <c r="DX11" s="141">
        <f>'FICHA AMALDIÇOADA'!$E$114&amp;""</f>
        <v/>
      </c>
      <c r="DY11" s="141">
        <f>'FICHA AMALDIÇOADA'!$D$121&amp;""</f>
        <v/>
      </c>
      <c r="DZ11" s="141">
        <f>'FICHA AMALDIÇOADA'!$E$123&amp;""</f>
        <v/>
      </c>
      <c r="EA11" s="141">
        <f>'FICHA AMALDIÇOADA'!$E$124&amp;""</f>
        <v/>
      </c>
      <c r="EB11" s="141">
        <f>'FICHA AMALDIÇOADA'!$E$125&amp;""</f>
        <v/>
      </c>
      <c r="EC11" s="141">
        <f>'FICHA AMALDIÇOADA'!$E$126&amp;""</f>
        <v/>
      </c>
      <c r="ED11" s="141">
        <f>'FICHA AMALDIÇOADA'!$E$127&amp;""</f>
        <v/>
      </c>
      <c r="EE11" s="141">
        <f>'FICHA AMALDIÇOADA'!$E$128&amp;""</f>
        <v/>
      </c>
      <c r="EF11" s="141">
        <f>IF($DX11&lt;&gt;"",1,0)</f>
        <v/>
      </c>
      <c r="EG11" s="141">
        <f>IFERROR(MATCH($DY11,$Y$2:$Y$11,0),0)</f>
        <v/>
      </c>
      <c r="EH11" s="141">
        <f>IF($EG11=0,0,INDEX($AB$2:$AB$11,$EG11))</f>
        <v/>
      </c>
      <c r="EI11" s="141">
        <f>IFERROR(VLOOKUP($DZ11,$BC$2:$BJ$84,4,FALSE),0)</f>
        <v/>
      </c>
      <c r="EJ11" s="141">
        <f>IFERROR(VLOOKUP($EA11,$BC$2:$BJ$84,4,FALSE),0)</f>
        <v/>
      </c>
      <c r="EK11" s="141">
        <f>IFERROR(VLOOKUP($EB11,$BC$2:$BJ$84,4,FALSE),0)</f>
        <v/>
      </c>
      <c r="EL11" s="141">
        <f>IFERROR(VLOOKUP($EC11,$BC$2:$BJ$84,4,FALSE),0)</f>
        <v/>
      </c>
      <c r="EM11" s="141">
        <f>IF($EG11=0,0,INDEX($AC$2:$AC$11,$EG11))</f>
        <v/>
      </c>
      <c r="EN11" s="141">
        <f>IFERROR(VLOOKUP($DZ11,$BC$2:$BJ$84,5,FALSE),0)</f>
        <v/>
      </c>
      <c r="EO11" s="141">
        <f>IFERROR(VLOOKUP($EA11,$BC$2:$BJ$84,5,FALSE),0)</f>
        <v/>
      </c>
      <c r="EP11" s="141">
        <f>IFERROR(VLOOKUP($EB11,$BC$2:$BJ$84,5,FALSE),0)</f>
        <v/>
      </c>
      <c r="EQ11" s="141">
        <f>IFERROR(VLOOKUP($EC11,$BC$2:$BJ$84,5,FALSE),0)</f>
        <v/>
      </c>
      <c r="ER11" s="141">
        <f>IFERROR(VLOOKUP($DZ11,$BC$2:$BJ$84,6,FALSE),0)+IFERROR(VLOOKUP($EA11,$BC$2:$BJ$84,6,FALSE),0)+IFERROR(VLOOKUP($EB11,$BC$2:$BJ$84,6,FALSE),0)+IFERROR(VLOOKUP($EC11,$BC$2:$BJ$84,6,FALSE),0)</f>
        <v/>
      </c>
      <c r="ES11" s="141">
        <f>IF($EG11=0,0,INDEX($AD$2:$AD$11,$EG11))</f>
        <v/>
      </c>
      <c r="ET11" s="141">
        <f>IF($EG11=0,0,INDEX($AE$2:$AE$11,$EG11))</f>
        <v/>
      </c>
      <c r="EU11" s="141">
        <f>IF($EG11=0,0,INDEX($AG$2:$AG$11,$EG11))</f>
        <v/>
      </c>
      <c r="EV11" s="141">
        <f>IFERROR(VLOOKUP($ED11,$BL$2:$BP$24,3,FALSE),0)</f>
        <v/>
      </c>
      <c r="EW11" s="141">
        <f>IFERROR(VLOOKUP($EE11,$BL$2:$BP$24,3,FALSE),0)</f>
        <v/>
      </c>
      <c r="EX11" s="141">
        <f>IFERROR(VLOOKUP($ED11,$BL$2:$BP$24,2,FALSE),"")</f>
        <v/>
      </c>
      <c r="EY11" s="141">
        <f>IFERROR(VLOOKUP($EE11,$BL$2:$BP$24,2,FALSE),"")</f>
        <v/>
      </c>
      <c r="EZ11" s="141">
        <f>COUNTIF($EH11:$EL11,1)</f>
        <v/>
      </c>
      <c r="FA11" s="141">
        <f>COUNTIF($EH11:$EL11,2)</f>
        <v/>
      </c>
      <c r="FB11" s="141">
        <f>COUNTIF($EH11:$EL11,3)</f>
        <v/>
      </c>
      <c r="FC11" s="141">
        <f>COUNTIF($EH11:$EL11,4)</f>
        <v/>
      </c>
      <c r="FD11" s="141">
        <f>COUNTIF($EH11:$EL11,5)</f>
        <v/>
      </c>
      <c r="FE11" s="141">
        <f>COUNTIF($EH11:$EL11,6)</f>
        <v/>
      </c>
      <c r="FF11" s="141">
        <f>COUNTIF($EV11:$EW11,1)</f>
        <v/>
      </c>
      <c r="FG11" s="141">
        <f>COUNTIF($EV11:$EW11,2)+$ES11</f>
        <v/>
      </c>
      <c r="FH11" s="141">
        <f>COUNTIF($DZ11:$EC11,"?*")</f>
        <v/>
      </c>
      <c r="FI11" s="141">
        <f>COUNTIF($ED11:$EE11,"?*")+$ES11</f>
        <v/>
      </c>
      <c r="FJ11" s="141">
        <f>SUMPRODUCT($EZ11:$FE11,INDEX($Q$2:$V$8,$DW11,0))</f>
        <v/>
      </c>
      <c r="FK11" s="141">
        <f>$FF11*CEILING($DW11/2,1)+$FG11*$DW11</f>
        <v/>
      </c>
      <c r="FL11" s="141">
        <f>MIN(2*$DW11,$FK11)</f>
        <v/>
      </c>
      <c r="FM11" s="141">
        <f>MIN($FL11,$FJ11)</f>
        <v/>
      </c>
      <c r="FN11" s="141">
        <f>$FL11-$FM11</f>
        <v/>
      </c>
      <c r="FO11" s="141">
        <f>3*$DW11-$FJ11+$FM11</f>
        <v/>
      </c>
      <c r="FP11" s="141">
        <f>MAX(0,$FO11)+$DU11*$DW11</f>
        <v/>
      </c>
      <c r="FQ11" s="141">
        <f>(IF(COUNTIF($DZ11:$EC11,"Salto")&gt;0,1,0)+IF(COUNTIF($DZ11:$EC11,"Queima")&gt;0,1,0))*FLOOR($FP11/2,1)</f>
        <v/>
      </c>
      <c r="FR11" s="141">
        <f>MAX(0,3-SUMPRODUCT($EZ11:$FE11,$Q$2:$V$2)+MIN(2,$FF11*1+$FG11*1,SUMPRODUCT($EZ11:$FE11,$Q$2:$V$2)))+$DU11*1</f>
        <v/>
      </c>
      <c r="FS11" s="141">
        <f>MAX(0,6-SUMPRODUCT($EZ11:$FE11,$Q$3:$V$3)+MIN(4,$FF11*1+$FG11*2,SUMPRODUCT($EZ11:$FE11,$Q$3:$V$3)))+$DU11*2</f>
        <v/>
      </c>
      <c r="FT11" s="141">
        <f>MAX(0,9-SUMPRODUCT($EZ11:$FE11,$Q$4:$V$4)+MIN(6,$FF11*2+$FG11*3,SUMPRODUCT($EZ11:$FE11,$Q$4:$V$4)))+$DU11*3</f>
        <v/>
      </c>
      <c r="FU11" s="141">
        <f>MAX(0,12-SUMPRODUCT($EZ11:$FE11,$Q$5:$V$5)+MIN(8,$FF11*2+$FG11*4,SUMPRODUCT($EZ11:$FE11,$Q$5:$V$5)))+$DU11*4</f>
        <v/>
      </c>
      <c r="FV11" s="141">
        <f>MAX(0,15-SUMPRODUCT($EZ11:$FE11,$Q$6:$V$6)+MIN(10,$FF11*3+$FG11*5,SUMPRODUCT($EZ11:$FE11,$Q$6:$V$6)))+$DU11*5</f>
        <v/>
      </c>
      <c r="FW11" s="141">
        <f>MAX(0,18-SUMPRODUCT($EZ11:$FE11,$Q$7:$V$7)+MIN(12,$FF11*3+$FG11*6,SUMPRODUCT($EZ11:$FE11,$Q$7:$V$7)))+$DU11*6</f>
        <v/>
      </c>
      <c r="FX11" s="141">
        <f>MAX(0,21-SUMPRODUCT($EZ11:$FE11,$Q$8:$V$8)+MIN(14,$FF11*4+$FG11*7,SUMPRODUCT($EZ11:$FE11,$Q$8:$V$8)))+$DU11*7</f>
        <v/>
      </c>
      <c r="FY11" s="141">
        <f>IF($ET11=2,3*$FR11&amp;" de vida temp.",IF($ET11=3,"sem dano",IF($FR11=0,IF($ET11=1,"sem cura","sem dano"),IF($ET11=1,"cura ","")&amp;$FR11&amp;"d8")))</f>
        <v/>
      </c>
      <c r="FZ11" s="141">
        <f>IF($ET11=2,3*$FS11&amp;" de vida temp.",IF($ET11=3,"sem dano",IF($FS11=0,IF($ET11=1,"sem cura","sem dano"),IF($ET11=1,"cura ","")&amp;$FS11&amp;"d8")))</f>
        <v/>
      </c>
      <c r="GA11" s="141">
        <f>IF($ET11=2,3*$FT11&amp;" de vida temp.",IF($ET11=3,"sem dano",IF($FT11=0,IF($ET11=1,"sem cura","sem dano"),IF($ET11=1,"cura ","")&amp;$FT11&amp;"d8")))</f>
        <v/>
      </c>
      <c r="GB11" s="141">
        <f>IF($ET11=2,3*$FU11&amp;" de vida temp.",IF($ET11=3,"sem dano",IF($FU11=0,IF($ET11=1,"sem cura","sem dano"),IF($ET11=1,"cura ","")&amp;$FU11&amp;"d8")))</f>
        <v/>
      </c>
      <c r="GC11" s="141">
        <f>IF($ET11=2,3*$FV11&amp;" de vida temp.",IF($ET11=3,"sem dano",IF($FV11=0,IF($ET11=1,"sem cura","sem dano"),IF($ET11=1,"cura ","")&amp;$FV11&amp;"d8")))</f>
        <v/>
      </c>
      <c r="GD11" s="141">
        <f>IF($ET11=2,3*$FW11&amp;" de vida temp.",IF($ET11=3,"sem dano",IF($FW11=0,IF($ET11=1,"sem cura","sem dano"),IF($ET11=1,"cura ","")&amp;$FW11&amp;"d8")))</f>
        <v/>
      </c>
      <c r="GE11" s="141">
        <f>IF($ET11=2,3*$FX11&amp;" de vida temp.",IF($ET11=3,"sem dano",IF($FX11=0,IF($ET11=1,"sem cura","sem dano"),IF($ET11=1,"cura ","")&amp;$FX11&amp;"d8")))</f>
        <v/>
      </c>
      <c r="GF11" s="141">
        <f>IF($EF11=0,"",TEXTJOIN(" · ",TRUE,IF(AND($DU11=1,$DV11&gt;$HE$9),"O nível "&amp;$HE$2&amp;" dá "&amp;$HE$9&amp;" Liberação Máxima",""),IF($DW11&gt;$HE$4,"Classe "&amp;$DW11&amp;": o nível "&amp;$HE$2&amp;" libera até a "&amp;$HE$4,""),IF($EM11=1,"Família Fechada: a Forma "&amp;$DY11,""),IF($EN11=1,"Família Fechada: "&amp;$DZ11,""),IF($EO11=1,"Família Fechada: "&amp;$EA11,""),IF($EP11=1,"Família Fechada: "&amp;$EB11,""),IF($EQ11=1,"Família Fechada: "&amp;$EC11,""),IF($FH11&gt;INDEX($W$2:$W$8,$DW11),$FH11&amp;" Melhorias: a Classe "&amp;$DW11&amp;" aceita "&amp;INDEX($W$2:$W$8,$DW11),""),IF($FI11&gt;2,$FI11&amp;" Restrições"&amp;IF($ES11=1,", contando a que a Forma "&amp;$DY11&amp;" já traz","")&amp;": o limite é 2",""),IF($FO11&lt;0,"Orçamento estourado: faltam "&amp;(-$FO11)&amp;IF($FO11&lt;-1," pontos"," ponto"),""),IF(IFERROR(VLOOKUP($ED11,$BL$2:$BP$24,4,FALSE),0)+IFERROR(VLOOKUP($EE11,$BL$2:$BP$24,4,FALSE),0)&gt;1,$EX11&amp;" e "&amp;$EY11&amp;" são as duas de frequência",""),IF(AND((COUNTIF($DZ11:$EC11,"Rápido")+COUNTIF($EX11:$EY11,"Rápido"))&gt;0,(COUNTIF($DZ11:$EC11,"Reação")+COUNTIF($EX11:$EY11,"Reação"))&gt;0),"Rápido não entra com Reação",""),IF(AND((COUNTIF($DZ11:$EC11,"Rápido")+COUNTIF($EX11:$EY11,"Rápido"))&gt;0,(COUNTIF($DZ11:$EC11,"Atrasar")+COUNTIF($EX11:$EY11,"Atrasar"))&gt;0),"Rápido não entra com Atrasar",""),IF(AND((COUNTIF($DZ11:$EC11,"Reação")+COUNTIF($EX11:$EY11,"Reação"))&gt;0,(COUNTIF($DZ11:$EC11,"Atrasar")+COUNTIF($EX11:$EY11,"Atrasar"))&gt;0),"Reação não entra com Atrasar",""),IF(AND((COUNTIF($DZ11:$EC11,"Reação")+COUNTIF($EX11:$EY11,"Reação"))&gt;0,(COUNTIF($DZ11:$EC11,"Parado")+COUNTIF($EX11:$EY11,"Parado"))&gt;0),"Reação não entra com Parado",""),IF(AND(COUNTIF($EX11:$EY11,"Corpo a Corpo")&gt;0,$ES11=0,OR($DY11="Cone",$DY11="Linha")),"Corpo a Corpo não entra em "&amp;$DY11,""),IF(AND(COUNTIF($EX11:$EY11,"Corpo a Corpo")&gt;0,$ES11=1),"A Forma "&amp;$DY11&amp;" já traz o Corpo a Corpo",""),IF(AND(COUNTIF($EX11:$EY11,"Tudo ou Nada")&gt;0,$EU11=0),"Tudo ou Nada só entra em feitiço de Teste de Resistência",""),IF(AND(COUNTIF($DZ11:$EC11,"Inescapável")&gt;0,OR($FH11&gt;1,$FI11&gt;0)),"Inescapável não aceita outra peça",""),IF(AND($DU11=1,$DW11&lt;3),"Liberação Máxima é de Classe 3 ou mais",""),IF(AND($DU11=1,OR($ET11=1,$ET11=2)),"Liberação Máxima não serve para cura",""),IF(AND($DU11=1,COUNTIF($DZ11:$EC11,"Inescapável")+COUNTIF($DZ11:$EC11,"Toca a Alma")&gt;0),"Esta peça não entra numa Liberação Máxima",""),IF($FP11+$FQ11&gt;4*$DW11,($FP11+$FQ11)&amp;" dados somando alvos e repetições: o teto da Classe "&amp;$DW11&amp;" é "&amp;4*$DW11,"")))</f>
        <v/>
      </c>
      <c r="GG11" s="141">
        <f>IF($GF11="",0,(LEN($GF11)-LEN(SUBSTITUTE($GF11," · ","")))/3+1)</f>
        <v/>
      </c>
      <c r="GH11" s="141">
        <f>IF($EF11=0,"",TEXTJOIN(" · ",TRUE,IF($FK11&gt;2*$DW11,"A devolução parou no teto de "&amp;2*$DW11,""),IF($FN11&gt;0,"Devolução perdida: "&amp;$FN11&amp;IF($FN11&gt;1," pontos"," ponto")&amp;" sem peça para pagar",""),IF(AND($ER11&gt;0,$FP11=0),"Controle sem dano: uma rodada a mais e CD +2",""),IF(AND($ER11&gt;0,$FP11&gt;0,$FP11&lt;=$DW11),"Controle com um quarto do teto: uma rodada a mais","")))</f>
        <v/>
      </c>
      <c r="GI11" s="141">
        <f>IF($GH11="",0,(LEN($GH11)-LEN(SUBSTITUTE($GH11," · ","")))/3+1)</f>
        <v/>
      </c>
      <c r="GJ11" s="141">
        <f>IF($EF11=0,IF($FH11+$FI11-$ES11&gt;0,"Dê um nome",""),IF($GG11&gt;0,"⚠ "&amp;$GG11&amp;IF($GG11&gt;1," erros"," erro"),IF($GI11&gt;0,"! "&amp;$GI11&amp;IF($GI11&gt;1," avisos"," aviso"),"Na regra")))</f>
        <v/>
      </c>
      <c r="GK11" s="141">
        <f>IF($EF11=0,"",IF($GG11+$GI11=0,"Dentro das regras que a ficha confere",$GF11&amp;IF(AND($GG11&gt;0,$GI11&gt;0)," · ","")&amp;$GH11))</f>
        <v/>
      </c>
      <c r="GL11" s="141">
        <f>IF($EF11=0,"",IF($DU11=1,CEILING(4.5*$DW11,1),3*$DW11)&amp;" PE")</f>
        <v/>
      </c>
      <c r="GM11" s="141">
        <f>IF($EF11=0,"",IF($DU11=1,"Rodada inteira",IF(COUNTIF($EX11:$EY11,"Atrasar")&gt;0,IF(COUNTIF($EX11:$EY11,"Carregar")&gt;0,"Rodada +1 turno","Rodada inteira"),IF(COUNTIF($DZ11:$EC11,"Rápido")&gt;0,"Bônus",IF(COUNTIF($DZ11:$EC11,"Reação")&gt;0,"Reação","Padrão"))&amp;IF(COUNTIF($EX11:$EY11,"Carregar")&gt;0," +1 turno",""))))</f>
        <v/>
      </c>
      <c r="GN11" s="141">
        <f>IF(OR($EF11=0,$EG11=0),"",IF(COUNTIF($DZ11:$EC11,"Inescapável")&gt;0,"Automático",IF(COUNTIF($DZ11:$EC11,"Certeiro")&gt;0,"TR para metade",INDEX($AF$2:$AF$11,$EG11))))</f>
        <v/>
      </c>
      <c r="GO11" s="141">
        <f>IF(OR($EF11=0,$EG11=0),"",IF(OR($ET11&gt;=2,$FP11=0),UPPER(LEFT(INDEX($FY11:$GE11,1,$DW11),1))&amp;MID(INDEX($FY11:$GE11,1,$DW11),2,99),UPPER(LEFT(INDEX($FY11:$GE11,1,$DW11),1))&amp;MID(INDEX($FY11:$GE11,1,$DW11),2,99)&amp;" = "&amp;FLOOR($FP11*4.5,1)&amp;IF($FQ11&gt;0," · +"&amp;$FQ11&amp;"d8","")))</f>
        <v/>
      </c>
      <c r="GP11" s="141">
        <f>COUNTIF($DZ11:$EC11,"Longe")+3*COUNTIF($DZ11:$EC11,"Muito Longe")</f>
        <v/>
      </c>
      <c r="GQ11" s="141">
        <f>COUNTIF($DZ11:$EC11,"Maior")+3*COUNTIF($DZ11:$EC11,"Muito Maior")</f>
        <v/>
      </c>
      <c r="GR11" s="141">
        <f>IF($EG11=0,0,CHOOSE(1+INDEX($AH$2:$AH$11,$EG11),0,$GP11,$GQ11,$GP11+$GQ11))</f>
        <v/>
      </c>
      <c r="GS11" s="141">
        <f>IF($EG11=0,0,CHOOSE(1+INDEX($AI$2:$AI$11,$EG11),0,$GP11,$GQ11,$GP11+$GQ11))</f>
        <v/>
      </c>
      <c r="GT11" s="141">
        <f>IF(OR($EF11=0,$EG11=0),"",INDEX($AP$2:$AU$31,($EG11-1)*3+IF($DW11&gt;=6,3,2),1+MIN(5,$GR11))&amp;INDEX($AV$2:$BA$31,($EG11-1)*3+IF($DW11&gt;=6,3,2),1+MIN(5,$GS11))&amp;IF(INDEX($AJ$2:$AJ$11,$EG11)=1,IF(COUNTIF($DZ11:$EC11,"Mais Um")&gt;0," · +"&amp;COUNTIF($DZ11:$EC11,"Mais Um")&amp;IF(COUNTIF($DZ11:$EC11,"Mais Um")&gt;1," alvos"," alvo"),"")&amp;IF(COUNTIF($DZ11:$EC11,"Rajada")&gt;0," · "&amp;($DW11+1)&amp;" tiros",""),""))</f>
        <v/>
      </c>
      <c r="GU11" s="141">
        <f>IF($EF11=0,"",3*$DW11&amp;" − "&amp;$FJ11&amp;" + "&amp;$FM11&amp;IF($DU11=1," + "&amp;$DW11,"")&amp;" = "&amp;$FP11&amp;"d8 · teto "&amp;4*$DW11&amp;IF($ES11=1," · a Forma devolve "&amp;$DW11,"")&amp;IF($FN11&gt;0," · perde "&amp;$FN11,""))</f>
        <v/>
      </c>
      <c r="GV11" s="141">
        <f>IF($EF11=0,"",IF($DW11&gt;=$HE$4,"Já está na maior Classe que o nível liberou",TEXTJOIN(" · ",TRUE,IF(AND(2&gt;$DW11,2&lt;=$HE$4),"2 → "&amp;$FZ11&amp;", "&amp;IF($DU11=1,9,6)&amp;" PE",""),IF(AND(3&gt;$DW11,3&lt;=$HE$4),"3 → "&amp;$GA11&amp;", "&amp;IF($DU11=1,14,9)&amp;" PE",""),IF(AND(4&gt;$DW11,4&lt;=$HE$4),"4 → "&amp;$GB11&amp;", "&amp;IF($DU11=1,18,12)&amp;" PE",""),IF(AND(5&gt;$DW11,5&lt;=$HE$4),"5 → "&amp;$GC11&amp;", "&amp;IF($DU11=1,23,15)&amp;" PE",""),IF(AND(6&gt;$DW11,6&lt;=$HE$4),"6 → "&amp;$GD11&amp;", "&amp;IF($DU11=1,27,18)&amp;" PE",""),IF(AND(7&gt;$DW11,7&lt;=$HE$4),"7 → "&amp;$GE11&amp;", "&amp;IF($DU11=1,32,21)&amp;" PE",""))))</f>
        <v/>
      </c>
      <c r="GW11" s="141">
        <f>IF(OR($EF11=0,$EI11=0),"","−"&amp;INDEX($Q$2:$V$8,$DW11,$EI11)&amp;" · "&amp;CHOOSE($EI11,"Leve","Média","Pesada","Leve · Livre","Média · Livre","Pesada · Livre"))</f>
        <v/>
      </c>
      <c r="GX11" s="141">
        <f>IF(OR($EF11=0,$EJ11=0),"","−"&amp;INDEX($Q$2:$V$8,$DW11,$EJ11)&amp;" · "&amp;CHOOSE($EJ11,"Leve","Média","Pesada","Leve · Livre","Média · Livre","Pesada · Livre"))</f>
        <v/>
      </c>
      <c r="GY11" s="141">
        <f>IF(OR($EF11=0,$EK11=0),"","−"&amp;INDEX($Q$2:$V$8,$DW11,$EK11)&amp;" · "&amp;CHOOSE($EK11,"Leve","Média","Pesada","Leve · Livre","Média · Livre","Pesada · Livre"))</f>
        <v/>
      </c>
      <c r="GZ11" s="141">
        <f>IF(OR($EF11=0,$EL11=0),"","−"&amp;INDEX($Q$2:$V$8,$DW11,$EL11)&amp;" · "&amp;CHOOSE($EL11,"Leve","Média","Pesada","Leve · Livre","Média · Livre","Pesada · Livre"))</f>
        <v/>
      </c>
      <c r="HA11" s="141">
        <f>IF(OR($EF11=0,$ED11=""),"","+"&amp;IF($EV11=1,CEILING($DW11/2,1),$DW11))</f>
        <v/>
      </c>
      <c r="HB11" s="141">
        <f>IF(OR($EF11=0,$EE11=""),"","+"&amp;IF($EW11=1,CEILING($DW11/2,1),$DW11))</f>
        <v/>
      </c>
      <c r="HD11" s="114" t="inlineStr">
        <is>
          <t>classe 0 dados</t>
        </is>
      </c>
      <c r="HE11" s="141">
        <f>IFERROR(INDEX($CY$2:$CY$6,MATCH($HE$2,$CW$2:$CW$6,1)),0)</f>
        <v/>
      </c>
      <c r="HG11" s="114" t="inlineStr">
        <is>
          <t>Passiva 10 · Leque</t>
        </is>
      </c>
      <c r="HH11" s="141">
        <f>'FICHA AMALDIÇOADA'!$J$405&amp;""</f>
        <v/>
      </c>
      <c r="HI11" s="141">
        <f>IFERROR(VLOOKUP($HH11,$BR$2:$BW$24,2,FALSE),0)</f>
        <v/>
      </c>
      <c r="HJ11" s="141">
        <f>IFERROR(VLOOKUP($HI11,$BY$2:$BZ$4,2,FALSE),0)</f>
        <v/>
      </c>
      <c r="HK11" s="141">
        <f>IFERROR(VLOOKUP($HH11,$BR$2:$BW$24,3,FALSE),"")</f>
        <v/>
      </c>
      <c r="HL11" s="141">
        <f>IF($HI11=0,"",IF($HJ11&gt;$HE$2,"⚠ Nível "&amp;$HJ11,"CP "&amp;$HI11))</f>
        <v/>
      </c>
      <c r="HM11" s="141">
        <f>IF($HI11=0,"",IF(5&gt;$HE$8,"⚠ Vaga","Grátis"))</f>
        <v/>
      </c>
      <c r="HO11" s="114" t="inlineStr">
        <is>
          <t>Aptidão 10</t>
        </is>
      </c>
      <c r="HP11" s="141">
        <f>'FICHA AMALDIÇOADA'!$D$492&amp;""</f>
        <v/>
      </c>
      <c r="HQ11" s="141">
        <f>IF($HP11="","","Requisito: "&amp;IFERROR(VLOOKUP($HP11,$CB$2:$CJ$32,2,FALSE),""))</f>
        <v/>
      </c>
      <c r="HR11" s="141">
        <f>IF($HP11="","",IFERROR(IF(ISNUMBER(VLOOKUP($HP11,$CB$2:$CJ$32,3,FALSE)),"CP "&amp;VLOOKUP($HP11,$CB$2:$CJ$32,3,FALSE),VLOOKUP($HP11,$CB$2:$CJ$32,3,FALSE)),""))</f>
        <v/>
      </c>
      <c r="HS11" s="141">
        <f>IF($HP11="","",IFERROR(VLOOKUP($HP11,$CB$2:$CJ$32,4,FALSE),""))</f>
        <v/>
      </c>
      <c r="HT11" s="141">
        <f>IF($HP11="","",IFERROR(VLOOKUP($HP11,$CB$2:$CJ$32,5,FALSE),""))</f>
        <v/>
      </c>
      <c r="IE11" s="114" t="inlineStr">
        <is>
          <t>Pactos</t>
        </is>
      </c>
      <c r="IF11" s="141">
        <f>ADDRESS(ROW('FICHA AMALDIÇOADA'!Q7),COLUMN('FICHA AMALDIÇOADA'!Q7),4)</f>
        <v/>
      </c>
      <c r="IG11" s="141">
        <f>ADDRESS(ROW('FICHA AMALDIÇOADA'!D512),COLUMN('FICHA AMALDIÇOADA'!D512),4)</f>
        <v/>
      </c>
      <c r="IH11" s="141">
        <f>ADDRESS(ROW(DADOS_AM!IE11),COLUMN(DADOS_AM!IE11),4)</f>
        <v/>
      </c>
      <c r="IJ11" s="114" t="inlineStr">
        <is>
          <t>J17</t>
        </is>
      </c>
      <c r="IK11" s="141">
        <f>IF(DADOS_AM!$HE$41=1,"GRUPO 2","—")</f>
        <v/>
      </c>
    </row>
    <row r="12">
      <c r="C12" s="114" t="inlineStr">
        <is>
          <t>selo</t>
        </is>
      </c>
      <c r="D12" s="114" t="inlineStr">
        <is>
          <t>Selo</t>
        </is>
      </c>
      <c r="E12" s="114" t="inlineStr">
        <is>
          <t>Selo</t>
        </is>
      </c>
      <c r="F12" s="114" t="inlineStr">
        <is>
          <t>Selo · ter o equipamento em uso</t>
        </is>
      </c>
      <c r="G12" s="114" t="inlineStr">
        <is>
          <t>Selo · ter o equipamento em uso</t>
        </is>
      </c>
      <c r="AO12" s="114" t="inlineStr">
        <is>
          <t>Aura · classes 1 a 5</t>
        </is>
      </c>
      <c r="AP12" s="114" t="inlineStr">
        <is>
          <t>Raio 3 m, em você</t>
        </is>
      </c>
      <c r="AQ12" s="114" t="inlineStr">
        <is>
          <t>Raio 4,5 m, em você</t>
        </is>
      </c>
      <c r="AR12" s="114" t="inlineStr">
        <is>
          <t>Raio 6 m, em você</t>
        </is>
      </c>
      <c r="AS12" s="114" t="inlineStr">
        <is>
          <t>Raio 9 m, em você</t>
        </is>
      </c>
      <c r="AT12" s="114" t="inlineStr">
        <is>
          <t>Raio 15 m, em você</t>
        </is>
      </c>
      <c r="AU12" s="114" t="inlineStr">
        <is>
          <t>Raio 15 m, em você</t>
        </is>
      </c>
      <c r="AV12" s="114" t="inlineStr"/>
      <c r="AW12" s="114" t="inlineStr"/>
      <c r="AX12" s="114" t="inlineStr"/>
      <c r="AY12" s="114" t="inlineStr"/>
      <c r="AZ12" s="114" t="inlineStr"/>
      <c r="BA12" s="114" t="inlineStr"/>
      <c r="BC12" s="114" t="inlineStr">
        <is>
          <t>Fica</t>
        </is>
      </c>
      <c r="BD12" s="114" t="inlineStr">
        <is>
          <t>Área</t>
        </is>
      </c>
      <c r="BE12" s="141" t="n">
        <v>2</v>
      </c>
      <c r="BF12" s="141">
        <f>$BE12+3*IFERROR(VLOOKUP($BD12,$I$2:$L$10,3,FALSE),0)</f>
        <v/>
      </c>
      <c r="BG12" s="141">
        <f>IFERROR(VLOOKUP($BD12,$I$2:$L$10,4,FALSE),0)</f>
        <v/>
      </c>
      <c r="BH12" s="141" t="n">
        <v>0</v>
      </c>
      <c r="BI12" s="141">
        <f>IF($BG12=1,"",$BC12)</f>
        <v/>
      </c>
      <c r="BJ12" s="141">
        <f>IF(AND($BE12=1,$BG12=0),$BC12,"")</f>
        <v/>
      </c>
      <c r="BL12" s="114" t="inlineStr">
        <is>
          <t>Condicional (Leve)</t>
        </is>
      </c>
      <c r="BM12" s="114" t="inlineStr">
        <is>
          <t>Condicional</t>
        </is>
      </c>
      <c r="BN12" s="141" t="n">
        <v>1</v>
      </c>
      <c r="BO12" s="141" t="n">
        <v>1</v>
      </c>
      <c r="BP12" s="114" t="inlineStr">
        <is>
          <t>Condicional (Leve)</t>
        </is>
      </c>
      <c r="BR12" s="114" t="inlineStr">
        <is>
          <t>Costura</t>
        </is>
      </c>
      <c r="BS12" s="141" t="n">
        <v>2</v>
      </c>
      <c r="BT12" s="114" t="inlineStr">
        <is>
          <t>Uma vez por cena, um aliado a até 9 m que cairia a 0 fica com 1.</t>
        </is>
      </c>
      <c r="BU12" s="141" t="n">
        <v>1</v>
      </c>
      <c r="BV12" s="141" t="n">
        <v>0</v>
      </c>
      <c r="BW12" s="141">
        <f>IF(OR(AND($A$2&lt;=2,$BU12=1),AND($A$2&gt;=2,$BV12=1)),$BR12,"")</f>
        <v/>
      </c>
      <c r="CB12" s="114" t="inlineStr">
        <is>
          <t>Pétala</t>
        </is>
      </c>
      <c r="CC12" s="114" t="inlineStr">
        <is>
          <t>ser Descendente, ou ter aprendido com alguém de um clã; refino 4 e nível 10</t>
        </is>
      </c>
      <c r="CD12" s="141" t="n">
        <v>2</v>
      </c>
      <c r="CE12" s="114" t="inlineStr">
        <is>
          <t>—</t>
        </is>
      </c>
      <c r="CF12" s="114" t="inlineStr">
        <is>
          <t>A energia cobre o seu corpo e rebate o que encosta nela, energia contra energia. Quando o Acerto de uma Expansão toca você, o dano dele depende da sua Essência contra a do dono da Expansão: maior, ele não te fere; igual, você leva um quarto; menor, você leva metade. O que a Expansão traz por contato e não é dano, como agarrar, condição ou marca, ela anula de qualquer jeito. Ela levanta com uma Reação quando uma Expansão abre, ou com uma Ação Bônus no seu turno. Erguer custa a sua maior Classe em PE, toda vez que ela sobe, e de pé ela custa 1 PE por rodada. Ela cai pelos golpes em você. Cada golpe que te acerta, de qualquer um, pede o teste do Carregar: um Teste de Resistência de Espírito contra a CD de quem te feriu. Com metade da sua Essência em falhas (no mínimo 1), ela se desfaz. Esse teste não ocupa a sua Concentração, e a Mão Firme não protege dele. Quando ela cai, a Expansão não te alcança na hora: o próximo Acerto te pega inteiro se ela ainda estiver caída. Erguer de novo custa a Ação Bônus, com as falhas zeradas. Com uma arma corpo a corpo empunhada, ela contra-ataca. Quando um golpe corpo a corpo te acerta, você pode gastar a Reação num ataque de oportunidade com vantagem contra quem te acertou, se ele estiver ao seu alcance. Cada contra-ataque custa 3 PE. O soco não conta.</t>
        </is>
      </c>
      <c r="CG12" s="141">
        <f>IF($CJ12=1,"",IF($A$2=4,IF($CH12=1,$CB12,""),IF(OR($CH12=1,AND($A$2=3,$CI12=1)),"",$CB12)))</f>
        <v/>
      </c>
      <c r="CH12" s="141" t="n">
        <v>0</v>
      </c>
      <c r="CI12" s="141" t="n">
        <v>0</v>
      </c>
      <c r="CJ12" s="141" t="n">
        <v>0</v>
      </c>
      <c r="CR12" s="114" t="inlineStr">
        <is>
          <t>Yumi</t>
        </is>
      </c>
      <c r="CS12" s="141" t="n">
        <v>0</v>
      </c>
      <c r="CT12" s="141" t="n">
        <v>1</v>
      </c>
      <c r="CU12" s="141">
        <f>IF(AND($A$2&gt;=3,'FICHA AMALDIÇOADA'!$J$16&amp;""="Três grupos de arma"),$CR12,"")</f>
        <v/>
      </c>
      <c r="DT12" s="114" t="inlineStr">
        <is>
          <t>Feitiço 11</t>
        </is>
      </c>
      <c r="DU12" s="141" t="n">
        <v>0</v>
      </c>
      <c r="DV12" s="141" t="n">
        <v>11</v>
      </c>
      <c r="DW12" s="141">
        <f>MAX(1,MIN(7,N('FICHA AMALDIÇOADA'!$J$114)))</f>
        <v/>
      </c>
      <c r="DX12" s="141">
        <f>'FICHA AMALDIÇOADA'!$K$114&amp;""</f>
        <v/>
      </c>
      <c r="DY12" s="141">
        <f>'FICHA AMALDIÇOADA'!$J$121&amp;""</f>
        <v/>
      </c>
      <c r="DZ12" s="141">
        <f>'FICHA AMALDIÇOADA'!$K$123&amp;""</f>
        <v/>
      </c>
      <c r="EA12" s="141">
        <f>'FICHA AMALDIÇOADA'!$K$124&amp;""</f>
        <v/>
      </c>
      <c r="EB12" s="141">
        <f>'FICHA AMALDIÇOADA'!$K$125&amp;""</f>
        <v/>
      </c>
      <c r="EC12" s="141">
        <f>'FICHA AMALDIÇOADA'!$K$126&amp;""</f>
        <v/>
      </c>
      <c r="ED12" s="141">
        <f>'FICHA AMALDIÇOADA'!$K$127&amp;""</f>
        <v/>
      </c>
      <c r="EE12" s="141">
        <f>'FICHA AMALDIÇOADA'!$K$128&amp;""</f>
        <v/>
      </c>
      <c r="EF12" s="141">
        <f>IF($DX12&lt;&gt;"",1,0)</f>
        <v/>
      </c>
      <c r="EG12" s="141">
        <f>IFERROR(MATCH($DY12,$Y$2:$Y$11,0),0)</f>
        <v/>
      </c>
      <c r="EH12" s="141">
        <f>IF($EG12=0,0,INDEX($AB$2:$AB$11,$EG12))</f>
        <v/>
      </c>
      <c r="EI12" s="141">
        <f>IFERROR(VLOOKUP($DZ12,$BC$2:$BJ$84,4,FALSE),0)</f>
        <v/>
      </c>
      <c r="EJ12" s="141">
        <f>IFERROR(VLOOKUP($EA12,$BC$2:$BJ$84,4,FALSE),0)</f>
        <v/>
      </c>
      <c r="EK12" s="141">
        <f>IFERROR(VLOOKUP($EB12,$BC$2:$BJ$84,4,FALSE),0)</f>
        <v/>
      </c>
      <c r="EL12" s="141">
        <f>IFERROR(VLOOKUP($EC12,$BC$2:$BJ$84,4,FALSE),0)</f>
        <v/>
      </c>
      <c r="EM12" s="141">
        <f>IF($EG12=0,0,INDEX($AC$2:$AC$11,$EG12))</f>
        <v/>
      </c>
      <c r="EN12" s="141">
        <f>IFERROR(VLOOKUP($DZ12,$BC$2:$BJ$84,5,FALSE),0)</f>
        <v/>
      </c>
      <c r="EO12" s="141">
        <f>IFERROR(VLOOKUP($EA12,$BC$2:$BJ$84,5,FALSE),0)</f>
        <v/>
      </c>
      <c r="EP12" s="141">
        <f>IFERROR(VLOOKUP($EB12,$BC$2:$BJ$84,5,FALSE),0)</f>
        <v/>
      </c>
      <c r="EQ12" s="141">
        <f>IFERROR(VLOOKUP($EC12,$BC$2:$BJ$84,5,FALSE),0)</f>
        <v/>
      </c>
      <c r="ER12" s="141">
        <f>IFERROR(VLOOKUP($DZ12,$BC$2:$BJ$84,6,FALSE),0)+IFERROR(VLOOKUP($EA12,$BC$2:$BJ$84,6,FALSE),0)+IFERROR(VLOOKUP($EB12,$BC$2:$BJ$84,6,FALSE),0)+IFERROR(VLOOKUP($EC12,$BC$2:$BJ$84,6,FALSE),0)</f>
        <v/>
      </c>
      <c r="ES12" s="141">
        <f>IF($EG12=0,0,INDEX($AD$2:$AD$11,$EG12))</f>
        <v/>
      </c>
      <c r="ET12" s="141">
        <f>IF($EG12=0,0,INDEX($AE$2:$AE$11,$EG12))</f>
        <v/>
      </c>
      <c r="EU12" s="141">
        <f>IF($EG12=0,0,INDEX($AG$2:$AG$11,$EG12))</f>
        <v/>
      </c>
      <c r="EV12" s="141">
        <f>IFERROR(VLOOKUP($ED12,$BL$2:$BP$24,3,FALSE),0)</f>
        <v/>
      </c>
      <c r="EW12" s="141">
        <f>IFERROR(VLOOKUP($EE12,$BL$2:$BP$24,3,FALSE),0)</f>
        <v/>
      </c>
      <c r="EX12" s="141">
        <f>IFERROR(VLOOKUP($ED12,$BL$2:$BP$24,2,FALSE),"")</f>
        <v/>
      </c>
      <c r="EY12" s="141">
        <f>IFERROR(VLOOKUP($EE12,$BL$2:$BP$24,2,FALSE),"")</f>
        <v/>
      </c>
      <c r="EZ12" s="141">
        <f>COUNTIF($EH12:$EL12,1)</f>
        <v/>
      </c>
      <c r="FA12" s="141">
        <f>COUNTIF($EH12:$EL12,2)</f>
        <v/>
      </c>
      <c r="FB12" s="141">
        <f>COUNTIF($EH12:$EL12,3)</f>
        <v/>
      </c>
      <c r="FC12" s="141">
        <f>COUNTIF($EH12:$EL12,4)</f>
        <v/>
      </c>
      <c r="FD12" s="141">
        <f>COUNTIF($EH12:$EL12,5)</f>
        <v/>
      </c>
      <c r="FE12" s="141">
        <f>COUNTIF($EH12:$EL12,6)</f>
        <v/>
      </c>
      <c r="FF12" s="141">
        <f>COUNTIF($EV12:$EW12,1)</f>
        <v/>
      </c>
      <c r="FG12" s="141">
        <f>COUNTIF($EV12:$EW12,2)+$ES12</f>
        <v/>
      </c>
      <c r="FH12" s="141">
        <f>COUNTIF($DZ12:$EC12,"?*")</f>
        <v/>
      </c>
      <c r="FI12" s="141">
        <f>COUNTIF($ED12:$EE12,"?*")+$ES12</f>
        <v/>
      </c>
      <c r="FJ12" s="141">
        <f>SUMPRODUCT($EZ12:$FE12,INDEX($Q$2:$V$8,$DW12,0))</f>
        <v/>
      </c>
      <c r="FK12" s="141">
        <f>$FF12*CEILING($DW12/2,1)+$FG12*$DW12</f>
        <v/>
      </c>
      <c r="FL12" s="141">
        <f>MIN(2*$DW12,$FK12)</f>
        <v/>
      </c>
      <c r="FM12" s="141">
        <f>MIN($FL12,$FJ12)</f>
        <v/>
      </c>
      <c r="FN12" s="141">
        <f>$FL12-$FM12</f>
        <v/>
      </c>
      <c r="FO12" s="141">
        <f>3*$DW12-$FJ12+$FM12</f>
        <v/>
      </c>
      <c r="FP12" s="141">
        <f>MAX(0,$FO12)+$DU12*$DW12</f>
        <v/>
      </c>
      <c r="FQ12" s="141">
        <f>(IF(COUNTIF($DZ12:$EC12,"Salto")&gt;0,1,0)+IF(COUNTIF($DZ12:$EC12,"Queima")&gt;0,1,0))*FLOOR($FP12/2,1)</f>
        <v/>
      </c>
      <c r="FR12" s="141">
        <f>MAX(0,3-SUMPRODUCT($EZ12:$FE12,$Q$2:$V$2)+MIN(2,$FF12*1+$FG12*1,SUMPRODUCT($EZ12:$FE12,$Q$2:$V$2)))+$DU12*1</f>
        <v/>
      </c>
      <c r="FS12" s="141">
        <f>MAX(0,6-SUMPRODUCT($EZ12:$FE12,$Q$3:$V$3)+MIN(4,$FF12*1+$FG12*2,SUMPRODUCT($EZ12:$FE12,$Q$3:$V$3)))+$DU12*2</f>
        <v/>
      </c>
      <c r="FT12" s="141">
        <f>MAX(0,9-SUMPRODUCT($EZ12:$FE12,$Q$4:$V$4)+MIN(6,$FF12*2+$FG12*3,SUMPRODUCT($EZ12:$FE12,$Q$4:$V$4)))+$DU12*3</f>
        <v/>
      </c>
      <c r="FU12" s="141">
        <f>MAX(0,12-SUMPRODUCT($EZ12:$FE12,$Q$5:$V$5)+MIN(8,$FF12*2+$FG12*4,SUMPRODUCT($EZ12:$FE12,$Q$5:$V$5)))+$DU12*4</f>
        <v/>
      </c>
      <c r="FV12" s="141">
        <f>MAX(0,15-SUMPRODUCT($EZ12:$FE12,$Q$6:$V$6)+MIN(10,$FF12*3+$FG12*5,SUMPRODUCT($EZ12:$FE12,$Q$6:$V$6)))+$DU12*5</f>
        <v/>
      </c>
      <c r="FW12" s="141">
        <f>MAX(0,18-SUMPRODUCT($EZ12:$FE12,$Q$7:$V$7)+MIN(12,$FF12*3+$FG12*6,SUMPRODUCT($EZ12:$FE12,$Q$7:$V$7)))+$DU12*6</f>
        <v/>
      </c>
      <c r="FX12" s="141">
        <f>MAX(0,21-SUMPRODUCT($EZ12:$FE12,$Q$8:$V$8)+MIN(14,$FF12*4+$FG12*7,SUMPRODUCT($EZ12:$FE12,$Q$8:$V$8)))+$DU12*7</f>
        <v/>
      </c>
      <c r="FY12" s="141">
        <f>IF($ET12=2,3*$FR12&amp;" de vida temp.",IF($ET12=3,"sem dano",IF($FR12=0,IF($ET12=1,"sem cura","sem dano"),IF($ET12=1,"cura ","")&amp;$FR12&amp;"d8")))</f>
        <v/>
      </c>
      <c r="FZ12" s="141">
        <f>IF($ET12=2,3*$FS12&amp;" de vida temp.",IF($ET12=3,"sem dano",IF($FS12=0,IF($ET12=1,"sem cura","sem dano"),IF($ET12=1,"cura ","")&amp;$FS12&amp;"d8")))</f>
        <v/>
      </c>
      <c r="GA12" s="141">
        <f>IF($ET12=2,3*$FT12&amp;" de vida temp.",IF($ET12=3,"sem dano",IF($FT12=0,IF($ET12=1,"sem cura","sem dano"),IF($ET12=1,"cura ","")&amp;$FT12&amp;"d8")))</f>
        <v/>
      </c>
      <c r="GB12" s="141">
        <f>IF($ET12=2,3*$FU12&amp;" de vida temp.",IF($ET12=3,"sem dano",IF($FU12=0,IF($ET12=1,"sem cura","sem dano"),IF($ET12=1,"cura ","")&amp;$FU12&amp;"d8")))</f>
        <v/>
      </c>
      <c r="GC12" s="141">
        <f>IF($ET12=2,3*$FV12&amp;" de vida temp.",IF($ET12=3,"sem dano",IF($FV12=0,IF($ET12=1,"sem cura","sem dano"),IF($ET12=1,"cura ","")&amp;$FV12&amp;"d8")))</f>
        <v/>
      </c>
      <c r="GD12" s="141">
        <f>IF($ET12=2,3*$FW12&amp;" de vida temp.",IF($ET12=3,"sem dano",IF($FW12=0,IF($ET12=1,"sem cura","sem dano"),IF($ET12=1,"cura ","")&amp;$FW12&amp;"d8")))</f>
        <v/>
      </c>
      <c r="GE12" s="141">
        <f>IF($ET12=2,3*$FX12&amp;" de vida temp.",IF($ET12=3,"sem dano",IF($FX12=0,IF($ET12=1,"sem cura","sem dano"),IF($ET12=1,"cura ","")&amp;$FX12&amp;"d8")))</f>
        <v/>
      </c>
      <c r="GF12" s="141">
        <f>IF($EF12=0,"",TEXTJOIN(" · ",TRUE,IF(AND($DU12=1,$DV12&gt;$HE$9),"O nível "&amp;$HE$2&amp;" dá "&amp;$HE$9&amp;" Liberação Máxima",""),IF($DW12&gt;$HE$4,"Classe "&amp;$DW12&amp;": o nível "&amp;$HE$2&amp;" libera até a "&amp;$HE$4,""),IF($EM12=1,"Família Fechada: a Forma "&amp;$DY12,""),IF($EN12=1,"Família Fechada: "&amp;$DZ12,""),IF($EO12=1,"Família Fechada: "&amp;$EA12,""),IF($EP12=1,"Família Fechada: "&amp;$EB12,""),IF($EQ12=1,"Família Fechada: "&amp;$EC12,""),IF($FH12&gt;INDEX($W$2:$W$8,$DW12),$FH12&amp;" Melhorias: a Classe "&amp;$DW12&amp;" aceita "&amp;INDEX($W$2:$W$8,$DW12),""),IF($FI12&gt;2,$FI12&amp;" Restrições"&amp;IF($ES12=1,", contando a que a Forma "&amp;$DY12&amp;" já traz","")&amp;": o limite é 2",""),IF($FO12&lt;0,"Orçamento estourado: faltam "&amp;(-$FO12)&amp;IF($FO12&lt;-1," pontos"," ponto"),""),IF(IFERROR(VLOOKUP($ED12,$BL$2:$BP$24,4,FALSE),0)+IFERROR(VLOOKUP($EE12,$BL$2:$BP$24,4,FALSE),0)&gt;1,$EX12&amp;" e "&amp;$EY12&amp;" são as duas de frequência",""),IF(AND((COUNTIF($DZ12:$EC12,"Rápido")+COUNTIF($EX12:$EY12,"Rápido"))&gt;0,(COUNTIF($DZ12:$EC12,"Reação")+COUNTIF($EX12:$EY12,"Reação"))&gt;0),"Rápido não entra com Reação",""),IF(AND((COUNTIF($DZ12:$EC12,"Rápido")+COUNTIF($EX12:$EY12,"Rápido"))&gt;0,(COUNTIF($DZ12:$EC12,"Atrasar")+COUNTIF($EX12:$EY12,"Atrasar"))&gt;0),"Rápido não entra com Atrasar",""),IF(AND((COUNTIF($DZ12:$EC12,"Reação")+COUNTIF($EX12:$EY12,"Reação"))&gt;0,(COUNTIF($DZ12:$EC12,"Atrasar")+COUNTIF($EX12:$EY12,"Atrasar"))&gt;0),"Reação não entra com Atrasar",""),IF(AND((COUNTIF($DZ12:$EC12,"Reação")+COUNTIF($EX12:$EY12,"Reação"))&gt;0,(COUNTIF($DZ12:$EC12,"Parado")+COUNTIF($EX12:$EY12,"Parado"))&gt;0),"Reação não entra com Parado",""),IF(AND(COUNTIF($EX12:$EY12,"Corpo a Corpo")&gt;0,$ES12=0,OR($DY12="Cone",$DY12="Linha")),"Corpo a Corpo não entra em "&amp;$DY12,""),IF(AND(COUNTIF($EX12:$EY12,"Corpo a Corpo")&gt;0,$ES12=1),"A Forma "&amp;$DY12&amp;" já traz o Corpo a Corpo",""),IF(AND(COUNTIF($EX12:$EY12,"Tudo ou Nada")&gt;0,$EU12=0),"Tudo ou Nada só entra em feitiço de Teste de Resistência",""),IF(AND(COUNTIF($DZ12:$EC12,"Inescapável")&gt;0,OR($FH12&gt;1,$FI12&gt;0)),"Inescapável não aceita outra peça",""),IF(AND($DU12=1,$DW12&lt;3),"Liberação Máxima é de Classe 3 ou mais",""),IF(AND($DU12=1,OR($ET12=1,$ET12=2)),"Liberação Máxima não serve para cura",""),IF(AND($DU12=1,COUNTIF($DZ12:$EC12,"Inescapável")+COUNTIF($DZ12:$EC12,"Toca a Alma")&gt;0),"Esta peça não entra numa Liberação Máxima",""),IF($FP12+$FQ12&gt;4*$DW12,($FP12+$FQ12)&amp;" dados somando alvos e repetições: o teto da Classe "&amp;$DW12&amp;" é "&amp;4*$DW12,"")))</f>
        <v/>
      </c>
      <c r="GG12" s="141">
        <f>IF($GF12="",0,(LEN($GF12)-LEN(SUBSTITUTE($GF12," · ","")))/3+1)</f>
        <v/>
      </c>
      <c r="GH12" s="141">
        <f>IF($EF12=0,"",TEXTJOIN(" · ",TRUE,IF($FK12&gt;2*$DW12,"A devolução parou no teto de "&amp;2*$DW12,""),IF($FN12&gt;0,"Devolução perdida: "&amp;$FN12&amp;IF($FN12&gt;1," pontos"," ponto")&amp;" sem peça para pagar",""),IF(AND($ER12&gt;0,$FP12=0),"Controle sem dano: uma rodada a mais e CD +2",""),IF(AND($ER12&gt;0,$FP12&gt;0,$FP12&lt;=$DW12),"Controle com um quarto do teto: uma rodada a mais","")))</f>
        <v/>
      </c>
      <c r="GI12" s="141">
        <f>IF($GH12="",0,(LEN($GH12)-LEN(SUBSTITUTE($GH12," · ","")))/3+1)</f>
        <v/>
      </c>
      <c r="GJ12" s="141">
        <f>IF($EF12=0,IF($FH12+$FI12-$ES12&gt;0,"Dê um nome",""),IF($GG12&gt;0,"⚠ "&amp;$GG12&amp;IF($GG12&gt;1," erros"," erro"),IF($GI12&gt;0,"! "&amp;$GI12&amp;IF($GI12&gt;1," avisos"," aviso"),"Na regra")))</f>
        <v/>
      </c>
      <c r="GK12" s="141">
        <f>IF($EF12=0,"",IF($GG12+$GI12=0,"Dentro das regras que a ficha confere",$GF12&amp;IF(AND($GG12&gt;0,$GI12&gt;0)," · ","")&amp;$GH12))</f>
        <v/>
      </c>
      <c r="GL12" s="141">
        <f>IF($EF12=0,"",IF($DU12=1,CEILING(4.5*$DW12,1),3*$DW12)&amp;" PE")</f>
        <v/>
      </c>
      <c r="GM12" s="141">
        <f>IF($EF12=0,"",IF($DU12=1,"Rodada inteira",IF(COUNTIF($EX12:$EY12,"Atrasar")&gt;0,IF(COUNTIF($EX12:$EY12,"Carregar")&gt;0,"Rodada +1 turno","Rodada inteira"),IF(COUNTIF($DZ12:$EC12,"Rápido")&gt;0,"Bônus",IF(COUNTIF($DZ12:$EC12,"Reação")&gt;0,"Reação","Padrão"))&amp;IF(COUNTIF($EX12:$EY12,"Carregar")&gt;0," +1 turno",""))))</f>
        <v/>
      </c>
      <c r="GN12" s="141">
        <f>IF(OR($EF12=0,$EG12=0),"",IF(COUNTIF($DZ12:$EC12,"Inescapável")&gt;0,"Automático",IF(COUNTIF($DZ12:$EC12,"Certeiro")&gt;0,"TR para metade",INDEX($AF$2:$AF$11,$EG12))))</f>
        <v/>
      </c>
      <c r="GO12" s="141">
        <f>IF(OR($EF12=0,$EG12=0),"",IF(OR($ET12&gt;=2,$FP12=0),UPPER(LEFT(INDEX($FY12:$GE12,1,$DW12),1))&amp;MID(INDEX($FY12:$GE12,1,$DW12),2,99),UPPER(LEFT(INDEX($FY12:$GE12,1,$DW12),1))&amp;MID(INDEX($FY12:$GE12,1,$DW12),2,99)&amp;" = "&amp;FLOOR($FP12*4.5,1)&amp;IF($FQ12&gt;0," · +"&amp;$FQ12&amp;"d8","")))</f>
        <v/>
      </c>
      <c r="GP12" s="141">
        <f>COUNTIF($DZ12:$EC12,"Longe")+3*COUNTIF($DZ12:$EC12,"Muito Longe")</f>
        <v/>
      </c>
      <c r="GQ12" s="141">
        <f>COUNTIF($DZ12:$EC12,"Maior")+3*COUNTIF($DZ12:$EC12,"Muito Maior")</f>
        <v/>
      </c>
      <c r="GR12" s="141">
        <f>IF($EG12=0,0,CHOOSE(1+INDEX($AH$2:$AH$11,$EG12),0,$GP12,$GQ12,$GP12+$GQ12))</f>
        <v/>
      </c>
      <c r="GS12" s="141">
        <f>IF($EG12=0,0,CHOOSE(1+INDEX($AI$2:$AI$11,$EG12),0,$GP12,$GQ12,$GP12+$GQ12))</f>
        <v/>
      </c>
      <c r="GT12" s="141">
        <f>IF(OR($EF12=0,$EG12=0),"",INDEX($AP$2:$AU$31,($EG12-1)*3+IF($DW12&gt;=6,3,2),1+MIN(5,$GR12))&amp;INDEX($AV$2:$BA$31,($EG12-1)*3+IF($DW12&gt;=6,3,2),1+MIN(5,$GS12))&amp;IF(INDEX($AJ$2:$AJ$11,$EG12)=1,IF(COUNTIF($DZ12:$EC12,"Mais Um")&gt;0," · +"&amp;COUNTIF($DZ12:$EC12,"Mais Um")&amp;IF(COUNTIF($DZ12:$EC12,"Mais Um")&gt;1," alvos"," alvo"),"")&amp;IF(COUNTIF($DZ12:$EC12,"Rajada")&gt;0," · "&amp;($DW12+1)&amp;" tiros",""),""))</f>
        <v/>
      </c>
      <c r="GU12" s="141">
        <f>IF($EF12=0,"",3*$DW12&amp;" − "&amp;$FJ12&amp;" + "&amp;$FM12&amp;IF($DU12=1," + "&amp;$DW12,"")&amp;" = "&amp;$FP12&amp;"d8 · teto "&amp;4*$DW12&amp;IF($ES12=1," · a Forma devolve "&amp;$DW12,"")&amp;IF($FN12&gt;0," · perde "&amp;$FN12,""))</f>
        <v/>
      </c>
      <c r="GV12" s="141">
        <f>IF($EF12=0,"",IF($DW12&gt;=$HE$4,"Já está na maior Classe que o nível liberou",TEXTJOIN(" · ",TRUE,IF(AND(2&gt;$DW12,2&lt;=$HE$4),"2 → "&amp;$FZ12&amp;", "&amp;IF($DU12=1,9,6)&amp;" PE",""),IF(AND(3&gt;$DW12,3&lt;=$HE$4),"3 → "&amp;$GA12&amp;", "&amp;IF($DU12=1,14,9)&amp;" PE",""),IF(AND(4&gt;$DW12,4&lt;=$HE$4),"4 → "&amp;$GB12&amp;", "&amp;IF($DU12=1,18,12)&amp;" PE",""),IF(AND(5&gt;$DW12,5&lt;=$HE$4),"5 → "&amp;$GC12&amp;", "&amp;IF($DU12=1,23,15)&amp;" PE",""),IF(AND(6&gt;$DW12,6&lt;=$HE$4),"6 → "&amp;$GD12&amp;", "&amp;IF($DU12=1,27,18)&amp;" PE",""),IF(AND(7&gt;$DW12,7&lt;=$HE$4),"7 → "&amp;$GE12&amp;", "&amp;IF($DU12=1,32,21)&amp;" PE",""))))</f>
        <v/>
      </c>
      <c r="GW12" s="141">
        <f>IF(OR($EF12=0,$EI12=0),"","−"&amp;INDEX($Q$2:$V$8,$DW12,$EI12)&amp;" · "&amp;CHOOSE($EI12,"Leve","Média","Pesada","Leve · Livre","Média · Livre","Pesada · Livre"))</f>
        <v/>
      </c>
      <c r="GX12" s="141">
        <f>IF(OR($EF12=0,$EJ12=0),"","−"&amp;INDEX($Q$2:$V$8,$DW12,$EJ12)&amp;" · "&amp;CHOOSE($EJ12,"Leve","Média","Pesada","Leve · Livre","Média · Livre","Pesada · Livre"))</f>
        <v/>
      </c>
      <c r="GY12" s="141">
        <f>IF(OR($EF12=0,$EK12=0),"","−"&amp;INDEX($Q$2:$V$8,$DW12,$EK12)&amp;" · "&amp;CHOOSE($EK12,"Leve","Média","Pesada","Leve · Livre","Média · Livre","Pesada · Livre"))</f>
        <v/>
      </c>
      <c r="GZ12" s="141">
        <f>IF(OR($EF12=0,$EL12=0),"","−"&amp;INDEX($Q$2:$V$8,$DW12,$EL12)&amp;" · "&amp;CHOOSE($EL12,"Leve","Média","Pesada","Leve · Livre","Média · Livre","Pesada · Livre"))</f>
        <v/>
      </c>
      <c r="HA12" s="141">
        <f>IF(OR($EF12=0,$ED12=""),"","+"&amp;IF($EV12=1,CEILING($DW12/2,1),$DW12))</f>
        <v/>
      </c>
      <c r="HB12" s="141">
        <f>IF(OR($EF12=0,$EE12=""),"","+"&amp;IF($EW12=1,CEILING($DW12/2,1),$DW12))</f>
        <v/>
      </c>
      <c r="HD12" s="114" t="inlineStr">
        <is>
          <t>espaços do nível</t>
        </is>
      </c>
      <c r="HE12" s="141">
        <f>2+INT($HE$2/2)+$HE$5</f>
        <v/>
      </c>
      <c r="HG12" s="114" t="inlineStr">
        <is>
          <t>Passiva 11 · Leque</t>
        </is>
      </c>
      <c r="HH12" s="141">
        <f>'FICHA AMALDIÇOADA'!$P$405&amp;""</f>
        <v/>
      </c>
      <c r="HI12" s="141">
        <f>IFERROR(VLOOKUP($HH12,$BR$2:$BW$24,2,FALSE),0)</f>
        <v/>
      </c>
      <c r="HJ12" s="141">
        <f>IFERROR(VLOOKUP($HI12,$BY$2:$BZ$4,2,FALSE),0)</f>
        <v/>
      </c>
      <c r="HK12" s="141">
        <f>IFERROR(VLOOKUP($HH12,$BR$2:$BW$24,3,FALSE),"")</f>
        <v/>
      </c>
      <c r="HL12" s="141">
        <f>IF($HI12=0,"",IF($HJ12&gt;$HE$2,"⚠ Nível "&amp;$HJ12,"CP "&amp;$HI12))</f>
        <v/>
      </c>
      <c r="HM12" s="141">
        <f>IF($HI12=0,"",IF(6&gt;$HE$8,"⚠ Vaga","Grátis"))</f>
        <v/>
      </c>
      <c r="HO12" s="114" t="inlineStr">
        <is>
          <t>Aptidão 11</t>
        </is>
      </c>
      <c r="HP12" s="141">
        <f>'FICHA AMALDIÇOADA'!$J$492&amp;""</f>
        <v/>
      </c>
      <c r="HQ12" s="141">
        <f>IF($HP12="","","Requisito: "&amp;IFERROR(VLOOKUP($HP12,$CB$2:$CJ$32,2,FALSE),""))</f>
        <v/>
      </c>
      <c r="HR12" s="141">
        <f>IF($HP12="","",IFERROR(IF(ISNUMBER(VLOOKUP($HP12,$CB$2:$CJ$32,3,FALSE)),"CP "&amp;VLOOKUP($HP12,$CB$2:$CJ$32,3,FALSE),VLOOKUP($HP12,$CB$2:$CJ$32,3,FALSE)),""))</f>
        <v/>
      </c>
      <c r="HS12" s="141">
        <f>IF($HP12="","",IFERROR(VLOOKUP($HP12,$CB$2:$CJ$32,4,FALSE),""))</f>
        <v/>
      </c>
      <c r="HT12" s="141">
        <f>IF($HP12="","",IFERROR(VLOOKUP($HP12,$CB$2:$CJ$32,5,FALSE),""))</f>
        <v/>
      </c>
      <c r="IJ12" s="114" t="inlineStr">
        <is>
          <t>J19</t>
        </is>
      </c>
      <c r="IK12" s="141">
        <f>IF(DADOS_AM!$HE$43="","",DADOS_AM!$HE$43&amp;" · "&amp;"d20 + "&amp;(DADOS_AM!$HE$3+DADOS_AM!$HE$46+IFERROR(VALUE(FICHA!$W$47&amp;""),0))&amp;" · CD "&amp;(8+DADOS_AM!$HE$3+DADOS_AM!$HE$46+IFERROR(VALUE(FICHA!$L$47&amp;""),0)))</f>
        <v/>
      </c>
    </row>
    <row r="13">
      <c r="C13" s="114" t="inlineStr">
        <is>
          <t>peça da rota</t>
        </is>
      </c>
      <c r="D13" s="114" t="inlineStr">
        <is>
          <t>—</t>
        </is>
      </c>
      <c r="E13" s="114" t="inlineStr">
        <is>
          <t>Semente</t>
        </is>
      </c>
      <c r="F13" s="114" t="inlineStr">
        <is>
          <t>Equipamento</t>
        </is>
      </c>
      <c r="G13" s="114" t="inlineStr">
        <is>
          <t>Equipamento</t>
        </is>
      </c>
      <c r="AO13" s="114" t="inlineStr">
        <is>
          <t>Aura · classes 6 e 7</t>
        </is>
      </c>
      <c r="AP13" s="114" t="inlineStr">
        <is>
          <t>Raio 4,5 m, em você</t>
        </is>
      </c>
      <c r="AQ13" s="114" t="inlineStr">
        <is>
          <t>Raio 6 m, em você</t>
        </is>
      </c>
      <c r="AR13" s="114" t="inlineStr">
        <is>
          <t>Raio 9 m, em você</t>
        </is>
      </c>
      <c r="AS13" s="114" t="inlineStr">
        <is>
          <t>Raio 15 m, em você</t>
        </is>
      </c>
      <c r="AT13" s="114" t="inlineStr">
        <is>
          <t>Raio 15 m, em você</t>
        </is>
      </c>
      <c r="AU13" s="114" t="inlineStr">
        <is>
          <t>Raio 15 m, em você</t>
        </is>
      </c>
      <c r="AV13" s="114" t="inlineStr"/>
      <c r="AW13" s="114" t="inlineStr"/>
      <c r="AX13" s="114" t="inlineStr"/>
      <c r="AY13" s="114" t="inlineStr"/>
      <c r="AZ13" s="114" t="inlineStr"/>
      <c r="BA13" s="114" t="inlineStr"/>
      <c r="BC13" s="114" t="inlineStr">
        <is>
          <t>Mais Um</t>
        </is>
      </c>
      <c r="BD13" s="114" t="inlineStr">
        <is>
          <t>Área</t>
        </is>
      </c>
      <c r="BE13" s="141" t="n">
        <v>1</v>
      </c>
      <c r="BF13" s="141">
        <f>$BE13+3*IFERROR(VLOOKUP($BD13,$I$2:$L$10,3,FALSE),0)</f>
        <v/>
      </c>
      <c r="BG13" s="141">
        <f>IFERROR(VLOOKUP($BD13,$I$2:$L$10,4,FALSE),0)</f>
        <v/>
      </c>
      <c r="BH13" s="141" t="n">
        <v>0</v>
      </c>
      <c r="BI13" s="141">
        <f>IF($BG13=1,"",$BC13)</f>
        <v/>
      </c>
      <c r="BJ13" s="141">
        <f>IF(AND($BE13=1,$BG13=0),$BC13,"")</f>
        <v/>
      </c>
      <c r="BL13" s="114" t="inlineStr">
        <is>
          <t>Condicional (Média)</t>
        </is>
      </c>
      <c r="BM13" s="114" t="inlineStr">
        <is>
          <t>Condicional</t>
        </is>
      </c>
      <c r="BN13" s="141" t="n">
        <v>2</v>
      </c>
      <c r="BO13" s="141" t="n">
        <v>1</v>
      </c>
      <c r="BP13" s="114" t="inlineStr"/>
      <c r="BR13" s="114" t="inlineStr">
        <is>
          <t>Contramedida</t>
        </is>
      </c>
      <c r="BS13" s="141" t="n">
        <v>2</v>
      </c>
      <c r="BT13" s="114" t="inlineStr">
        <is>
          <t>Como Reação, quando alguém conjura a até 9 m, gasta PE e sobe em 2 a CD daquele feitiço.</t>
        </is>
      </c>
      <c r="BU13" s="141" t="n">
        <v>1</v>
      </c>
      <c r="BV13" s="141" t="n">
        <v>0</v>
      </c>
      <c r="BW13" s="141">
        <f>IF(OR(AND($A$2&lt;=2,$BU13=1),AND($A$2&gt;=2,$BV13=1)),$BR13,"")</f>
        <v/>
      </c>
      <c r="CB13" s="114" t="inlineStr">
        <is>
          <t>Extensão de Domínio</t>
        </is>
      </c>
      <c r="CC13" s="114" t="inlineStr">
        <is>
          <t>ter visto uma sendo usada, ou ter estudado, ou aprendido com alguém; refino 7 e nível 18; o Corpo Amaldiçoado não compra</t>
        </is>
      </c>
      <c r="CD13" s="141" t="n">
        <v>3</v>
      </c>
      <c r="CE13" s="114" t="inlineStr">
        <is>
          <t>A duração</t>
        </is>
      </c>
      <c r="CF13" s="114" t="inlineStr">
        <is>
          <t>Você se envolve numa camada fina de domínio sem técnica dentro. Enquanto ela estiver de pé, nada do que uma Expansão faz te alcança: nem o Acerto dela, nem o que ela faz com as pessoas ou com o lugar, seja ela completa, incompleta ou sem barreiras. A barreira continua te prendendo, e o que a Expansão dá ao dono dela continua com ele. Ela levanta com uma Reação quando uma Expansão abre, ou com uma Ação Bônus no seu turno. Erguer custa a sua maior Classe em PE, toda vez que ela sobe; de pé, ela custa 1,5 × a sua maior Classe de PE por rodada, e dura refino rodadas. Ela não cai por golpe. A técnica que encostar nela é anulada até 1/3 do refino + 1: uma Classe Passiva, uma Regra Própria ou um feitiço de Classe até esse número. Acima dele, ela reduz o dano em um quarto, e você leva 3/4. Enquanto ela estiver de pé, você não usa feitiço nem Manejo. Se a sua Expansão já estava aberta, ela continua; abrir uma nova derruba a Extensão.</t>
        </is>
      </c>
      <c r="CG13" s="141">
        <f>IF($CJ13=1,"",IF($A$2=4,IF($CH13=1,$CB13,""),IF(OR($CH13=1,AND($A$2=3,$CI13=1)),"",$CB13)))</f>
        <v/>
      </c>
      <c r="CH13" s="141" t="n">
        <v>0</v>
      </c>
      <c r="CI13" s="141" t="n">
        <v>1</v>
      </c>
      <c r="CJ13" s="141" t="n">
        <v>0</v>
      </c>
      <c r="CR13" s="114" t="inlineStr">
        <is>
          <t>Balestra</t>
        </is>
      </c>
      <c r="CS13" s="141" t="n">
        <v>0</v>
      </c>
      <c r="CT13" s="141" t="n">
        <v>1</v>
      </c>
      <c r="CU13" s="141">
        <f>IF(AND($A$2&gt;=3,'FICHA AMALDIÇOADA'!$J$16&amp;""="Três grupos de arma"),$CR13,"")</f>
        <v/>
      </c>
      <c r="DT13" s="114" t="inlineStr">
        <is>
          <t>Feitiço 12</t>
        </is>
      </c>
      <c r="DU13" s="141" t="n">
        <v>0</v>
      </c>
      <c r="DV13" s="141" t="n">
        <v>12</v>
      </c>
      <c r="DW13" s="141">
        <f>MAX(1,MIN(7,N('FICHA AMALDIÇOADA'!$P$114)))</f>
        <v/>
      </c>
      <c r="DX13" s="141">
        <f>'FICHA AMALDIÇOADA'!$Q$114&amp;""</f>
        <v/>
      </c>
      <c r="DY13" s="141">
        <f>'FICHA AMALDIÇOADA'!$P$121&amp;""</f>
        <v/>
      </c>
      <c r="DZ13" s="141">
        <f>'FICHA AMALDIÇOADA'!$Q$123&amp;""</f>
        <v/>
      </c>
      <c r="EA13" s="141">
        <f>'FICHA AMALDIÇOADA'!$Q$124&amp;""</f>
        <v/>
      </c>
      <c r="EB13" s="141">
        <f>'FICHA AMALDIÇOADA'!$Q$125&amp;""</f>
        <v/>
      </c>
      <c r="EC13" s="141">
        <f>'FICHA AMALDIÇOADA'!$Q$126&amp;""</f>
        <v/>
      </c>
      <c r="ED13" s="141">
        <f>'FICHA AMALDIÇOADA'!$Q$127&amp;""</f>
        <v/>
      </c>
      <c r="EE13" s="141">
        <f>'FICHA AMALDIÇOADA'!$Q$128&amp;""</f>
        <v/>
      </c>
      <c r="EF13" s="141">
        <f>IF($DX13&lt;&gt;"",1,0)</f>
        <v/>
      </c>
      <c r="EG13" s="141">
        <f>IFERROR(MATCH($DY13,$Y$2:$Y$11,0),0)</f>
        <v/>
      </c>
      <c r="EH13" s="141">
        <f>IF($EG13=0,0,INDEX($AB$2:$AB$11,$EG13))</f>
        <v/>
      </c>
      <c r="EI13" s="141">
        <f>IFERROR(VLOOKUP($DZ13,$BC$2:$BJ$84,4,FALSE),0)</f>
        <v/>
      </c>
      <c r="EJ13" s="141">
        <f>IFERROR(VLOOKUP($EA13,$BC$2:$BJ$84,4,FALSE),0)</f>
        <v/>
      </c>
      <c r="EK13" s="141">
        <f>IFERROR(VLOOKUP($EB13,$BC$2:$BJ$84,4,FALSE),0)</f>
        <v/>
      </c>
      <c r="EL13" s="141">
        <f>IFERROR(VLOOKUP($EC13,$BC$2:$BJ$84,4,FALSE),0)</f>
        <v/>
      </c>
      <c r="EM13" s="141">
        <f>IF($EG13=0,0,INDEX($AC$2:$AC$11,$EG13))</f>
        <v/>
      </c>
      <c r="EN13" s="141">
        <f>IFERROR(VLOOKUP($DZ13,$BC$2:$BJ$84,5,FALSE),0)</f>
        <v/>
      </c>
      <c r="EO13" s="141">
        <f>IFERROR(VLOOKUP($EA13,$BC$2:$BJ$84,5,FALSE),0)</f>
        <v/>
      </c>
      <c r="EP13" s="141">
        <f>IFERROR(VLOOKUP($EB13,$BC$2:$BJ$84,5,FALSE),0)</f>
        <v/>
      </c>
      <c r="EQ13" s="141">
        <f>IFERROR(VLOOKUP($EC13,$BC$2:$BJ$84,5,FALSE),0)</f>
        <v/>
      </c>
      <c r="ER13" s="141">
        <f>IFERROR(VLOOKUP($DZ13,$BC$2:$BJ$84,6,FALSE),0)+IFERROR(VLOOKUP($EA13,$BC$2:$BJ$84,6,FALSE),0)+IFERROR(VLOOKUP($EB13,$BC$2:$BJ$84,6,FALSE),0)+IFERROR(VLOOKUP($EC13,$BC$2:$BJ$84,6,FALSE),0)</f>
        <v/>
      </c>
      <c r="ES13" s="141">
        <f>IF($EG13=0,0,INDEX($AD$2:$AD$11,$EG13))</f>
        <v/>
      </c>
      <c r="ET13" s="141">
        <f>IF($EG13=0,0,INDEX($AE$2:$AE$11,$EG13))</f>
        <v/>
      </c>
      <c r="EU13" s="141">
        <f>IF($EG13=0,0,INDEX($AG$2:$AG$11,$EG13))</f>
        <v/>
      </c>
      <c r="EV13" s="141">
        <f>IFERROR(VLOOKUP($ED13,$BL$2:$BP$24,3,FALSE),0)</f>
        <v/>
      </c>
      <c r="EW13" s="141">
        <f>IFERROR(VLOOKUP($EE13,$BL$2:$BP$24,3,FALSE),0)</f>
        <v/>
      </c>
      <c r="EX13" s="141">
        <f>IFERROR(VLOOKUP($ED13,$BL$2:$BP$24,2,FALSE),"")</f>
        <v/>
      </c>
      <c r="EY13" s="141">
        <f>IFERROR(VLOOKUP($EE13,$BL$2:$BP$24,2,FALSE),"")</f>
        <v/>
      </c>
      <c r="EZ13" s="141">
        <f>COUNTIF($EH13:$EL13,1)</f>
        <v/>
      </c>
      <c r="FA13" s="141">
        <f>COUNTIF($EH13:$EL13,2)</f>
        <v/>
      </c>
      <c r="FB13" s="141">
        <f>COUNTIF($EH13:$EL13,3)</f>
        <v/>
      </c>
      <c r="FC13" s="141">
        <f>COUNTIF($EH13:$EL13,4)</f>
        <v/>
      </c>
      <c r="FD13" s="141">
        <f>COUNTIF($EH13:$EL13,5)</f>
        <v/>
      </c>
      <c r="FE13" s="141">
        <f>COUNTIF($EH13:$EL13,6)</f>
        <v/>
      </c>
      <c r="FF13" s="141">
        <f>COUNTIF($EV13:$EW13,1)</f>
        <v/>
      </c>
      <c r="FG13" s="141">
        <f>COUNTIF($EV13:$EW13,2)+$ES13</f>
        <v/>
      </c>
      <c r="FH13" s="141">
        <f>COUNTIF($DZ13:$EC13,"?*")</f>
        <v/>
      </c>
      <c r="FI13" s="141">
        <f>COUNTIF($ED13:$EE13,"?*")+$ES13</f>
        <v/>
      </c>
      <c r="FJ13" s="141">
        <f>SUMPRODUCT($EZ13:$FE13,INDEX($Q$2:$V$8,$DW13,0))</f>
        <v/>
      </c>
      <c r="FK13" s="141">
        <f>$FF13*CEILING($DW13/2,1)+$FG13*$DW13</f>
        <v/>
      </c>
      <c r="FL13" s="141">
        <f>MIN(2*$DW13,$FK13)</f>
        <v/>
      </c>
      <c r="FM13" s="141">
        <f>MIN($FL13,$FJ13)</f>
        <v/>
      </c>
      <c r="FN13" s="141">
        <f>$FL13-$FM13</f>
        <v/>
      </c>
      <c r="FO13" s="141">
        <f>3*$DW13-$FJ13+$FM13</f>
        <v/>
      </c>
      <c r="FP13" s="141">
        <f>MAX(0,$FO13)+$DU13*$DW13</f>
        <v/>
      </c>
      <c r="FQ13" s="141">
        <f>(IF(COUNTIF($DZ13:$EC13,"Salto")&gt;0,1,0)+IF(COUNTIF($DZ13:$EC13,"Queima")&gt;0,1,0))*FLOOR($FP13/2,1)</f>
        <v/>
      </c>
      <c r="FR13" s="141">
        <f>MAX(0,3-SUMPRODUCT($EZ13:$FE13,$Q$2:$V$2)+MIN(2,$FF13*1+$FG13*1,SUMPRODUCT($EZ13:$FE13,$Q$2:$V$2)))+$DU13*1</f>
        <v/>
      </c>
      <c r="FS13" s="141">
        <f>MAX(0,6-SUMPRODUCT($EZ13:$FE13,$Q$3:$V$3)+MIN(4,$FF13*1+$FG13*2,SUMPRODUCT($EZ13:$FE13,$Q$3:$V$3)))+$DU13*2</f>
        <v/>
      </c>
      <c r="FT13" s="141">
        <f>MAX(0,9-SUMPRODUCT($EZ13:$FE13,$Q$4:$V$4)+MIN(6,$FF13*2+$FG13*3,SUMPRODUCT($EZ13:$FE13,$Q$4:$V$4)))+$DU13*3</f>
        <v/>
      </c>
      <c r="FU13" s="141">
        <f>MAX(0,12-SUMPRODUCT($EZ13:$FE13,$Q$5:$V$5)+MIN(8,$FF13*2+$FG13*4,SUMPRODUCT($EZ13:$FE13,$Q$5:$V$5)))+$DU13*4</f>
        <v/>
      </c>
      <c r="FV13" s="141">
        <f>MAX(0,15-SUMPRODUCT($EZ13:$FE13,$Q$6:$V$6)+MIN(10,$FF13*3+$FG13*5,SUMPRODUCT($EZ13:$FE13,$Q$6:$V$6)))+$DU13*5</f>
        <v/>
      </c>
      <c r="FW13" s="141">
        <f>MAX(0,18-SUMPRODUCT($EZ13:$FE13,$Q$7:$V$7)+MIN(12,$FF13*3+$FG13*6,SUMPRODUCT($EZ13:$FE13,$Q$7:$V$7)))+$DU13*6</f>
        <v/>
      </c>
      <c r="FX13" s="141">
        <f>MAX(0,21-SUMPRODUCT($EZ13:$FE13,$Q$8:$V$8)+MIN(14,$FF13*4+$FG13*7,SUMPRODUCT($EZ13:$FE13,$Q$8:$V$8)))+$DU13*7</f>
        <v/>
      </c>
      <c r="FY13" s="141">
        <f>IF($ET13=2,3*$FR13&amp;" de vida temp.",IF($ET13=3,"sem dano",IF($FR13=0,IF($ET13=1,"sem cura","sem dano"),IF($ET13=1,"cura ","")&amp;$FR13&amp;"d8")))</f>
        <v/>
      </c>
      <c r="FZ13" s="141">
        <f>IF($ET13=2,3*$FS13&amp;" de vida temp.",IF($ET13=3,"sem dano",IF($FS13=0,IF($ET13=1,"sem cura","sem dano"),IF($ET13=1,"cura ","")&amp;$FS13&amp;"d8")))</f>
        <v/>
      </c>
      <c r="GA13" s="141">
        <f>IF($ET13=2,3*$FT13&amp;" de vida temp.",IF($ET13=3,"sem dano",IF($FT13=0,IF($ET13=1,"sem cura","sem dano"),IF($ET13=1,"cura ","")&amp;$FT13&amp;"d8")))</f>
        <v/>
      </c>
      <c r="GB13" s="141">
        <f>IF($ET13=2,3*$FU13&amp;" de vida temp.",IF($ET13=3,"sem dano",IF($FU13=0,IF($ET13=1,"sem cura","sem dano"),IF($ET13=1,"cura ","")&amp;$FU13&amp;"d8")))</f>
        <v/>
      </c>
      <c r="GC13" s="141">
        <f>IF($ET13=2,3*$FV13&amp;" de vida temp.",IF($ET13=3,"sem dano",IF($FV13=0,IF($ET13=1,"sem cura","sem dano"),IF($ET13=1,"cura ","")&amp;$FV13&amp;"d8")))</f>
        <v/>
      </c>
      <c r="GD13" s="141">
        <f>IF($ET13=2,3*$FW13&amp;" de vida temp.",IF($ET13=3,"sem dano",IF($FW13=0,IF($ET13=1,"sem cura","sem dano"),IF($ET13=1,"cura ","")&amp;$FW13&amp;"d8")))</f>
        <v/>
      </c>
      <c r="GE13" s="141">
        <f>IF($ET13=2,3*$FX13&amp;" de vida temp.",IF($ET13=3,"sem dano",IF($FX13=0,IF($ET13=1,"sem cura","sem dano"),IF($ET13=1,"cura ","")&amp;$FX13&amp;"d8")))</f>
        <v/>
      </c>
      <c r="GF13" s="141">
        <f>IF($EF13=0,"",TEXTJOIN(" · ",TRUE,IF(AND($DU13=1,$DV13&gt;$HE$9),"O nível "&amp;$HE$2&amp;" dá "&amp;$HE$9&amp;" Liberação Máxima",""),IF($DW13&gt;$HE$4,"Classe "&amp;$DW13&amp;": o nível "&amp;$HE$2&amp;" libera até a "&amp;$HE$4,""),IF($EM13=1,"Família Fechada: a Forma "&amp;$DY13,""),IF($EN13=1,"Família Fechada: "&amp;$DZ13,""),IF($EO13=1,"Família Fechada: "&amp;$EA13,""),IF($EP13=1,"Família Fechada: "&amp;$EB13,""),IF($EQ13=1,"Família Fechada: "&amp;$EC13,""),IF($FH13&gt;INDEX($W$2:$W$8,$DW13),$FH13&amp;" Melhorias: a Classe "&amp;$DW13&amp;" aceita "&amp;INDEX($W$2:$W$8,$DW13),""),IF($FI13&gt;2,$FI13&amp;" Restrições"&amp;IF($ES13=1,", contando a que a Forma "&amp;$DY13&amp;" já traz","")&amp;": o limite é 2",""),IF($FO13&lt;0,"Orçamento estourado: faltam "&amp;(-$FO13)&amp;IF($FO13&lt;-1," pontos"," ponto"),""),IF(IFERROR(VLOOKUP($ED13,$BL$2:$BP$24,4,FALSE),0)+IFERROR(VLOOKUP($EE13,$BL$2:$BP$24,4,FALSE),0)&gt;1,$EX13&amp;" e "&amp;$EY13&amp;" são as duas de frequência",""),IF(AND((COUNTIF($DZ13:$EC13,"Rápido")+COUNTIF($EX13:$EY13,"Rápido"))&gt;0,(COUNTIF($DZ13:$EC13,"Reação")+COUNTIF($EX13:$EY13,"Reação"))&gt;0),"Rápido não entra com Reação",""),IF(AND((COUNTIF($DZ13:$EC13,"Rápido")+COUNTIF($EX13:$EY13,"Rápido"))&gt;0,(COUNTIF($DZ13:$EC13,"Atrasar")+COUNTIF($EX13:$EY13,"Atrasar"))&gt;0),"Rápido não entra com Atrasar",""),IF(AND((COUNTIF($DZ13:$EC13,"Reação")+COUNTIF($EX13:$EY13,"Reação"))&gt;0,(COUNTIF($DZ13:$EC13,"Atrasar")+COUNTIF($EX13:$EY13,"Atrasar"))&gt;0),"Reação não entra com Atrasar",""),IF(AND((COUNTIF($DZ13:$EC13,"Reação")+COUNTIF($EX13:$EY13,"Reação"))&gt;0,(COUNTIF($DZ13:$EC13,"Parado")+COUNTIF($EX13:$EY13,"Parado"))&gt;0),"Reação não entra com Parado",""),IF(AND(COUNTIF($EX13:$EY13,"Corpo a Corpo")&gt;0,$ES13=0,OR($DY13="Cone",$DY13="Linha")),"Corpo a Corpo não entra em "&amp;$DY13,""),IF(AND(COUNTIF($EX13:$EY13,"Corpo a Corpo")&gt;0,$ES13=1),"A Forma "&amp;$DY13&amp;" já traz o Corpo a Corpo",""),IF(AND(COUNTIF($EX13:$EY13,"Tudo ou Nada")&gt;0,$EU13=0),"Tudo ou Nada só entra em feitiço de Teste de Resistência",""),IF(AND(COUNTIF($DZ13:$EC13,"Inescapável")&gt;0,OR($FH13&gt;1,$FI13&gt;0)),"Inescapável não aceita outra peça",""),IF(AND($DU13=1,$DW13&lt;3),"Liberação Máxima é de Classe 3 ou mais",""),IF(AND($DU13=1,OR($ET13=1,$ET13=2)),"Liberação Máxima não serve para cura",""),IF(AND($DU13=1,COUNTIF($DZ13:$EC13,"Inescapável")+COUNTIF($DZ13:$EC13,"Toca a Alma")&gt;0),"Esta peça não entra numa Liberação Máxima",""),IF($FP13+$FQ13&gt;4*$DW13,($FP13+$FQ13)&amp;" dados somando alvos e repetições: o teto da Classe "&amp;$DW13&amp;" é "&amp;4*$DW13,"")))</f>
        <v/>
      </c>
      <c r="GG13" s="141">
        <f>IF($GF13="",0,(LEN($GF13)-LEN(SUBSTITUTE($GF13," · ","")))/3+1)</f>
        <v/>
      </c>
      <c r="GH13" s="141">
        <f>IF($EF13=0,"",TEXTJOIN(" · ",TRUE,IF($FK13&gt;2*$DW13,"A devolução parou no teto de "&amp;2*$DW13,""),IF($FN13&gt;0,"Devolução perdida: "&amp;$FN13&amp;IF($FN13&gt;1," pontos"," ponto")&amp;" sem peça para pagar",""),IF(AND($ER13&gt;0,$FP13=0),"Controle sem dano: uma rodada a mais e CD +2",""),IF(AND($ER13&gt;0,$FP13&gt;0,$FP13&lt;=$DW13),"Controle com um quarto do teto: uma rodada a mais","")))</f>
        <v/>
      </c>
      <c r="GI13" s="141">
        <f>IF($GH13="",0,(LEN($GH13)-LEN(SUBSTITUTE($GH13," · ","")))/3+1)</f>
        <v/>
      </c>
      <c r="GJ13" s="141">
        <f>IF($EF13=0,IF($FH13+$FI13-$ES13&gt;0,"Dê um nome",""),IF($GG13&gt;0,"⚠ "&amp;$GG13&amp;IF($GG13&gt;1," erros"," erro"),IF($GI13&gt;0,"! "&amp;$GI13&amp;IF($GI13&gt;1," avisos"," aviso"),"Na regra")))</f>
        <v/>
      </c>
      <c r="GK13" s="141">
        <f>IF($EF13=0,"",IF($GG13+$GI13=0,"Dentro das regras que a ficha confere",$GF13&amp;IF(AND($GG13&gt;0,$GI13&gt;0)," · ","")&amp;$GH13))</f>
        <v/>
      </c>
      <c r="GL13" s="141">
        <f>IF($EF13=0,"",IF($DU13=1,CEILING(4.5*$DW13,1),3*$DW13)&amp;" PE")</f>
        <v/>
      </c>
      <c r="GM13" s="141">
        <f>IF($EF13=0,"",IF($DU13=1,"Rodada inteira",IF(COUNTIF($EX13:$EY13,"Atrasar")&gt;0,IF(COUNTIF($EX13:$EY13,"Carregar")&gt;0,"Rodada +1 turno","Rodada inteira"),IF(COUNTIF($DZ13:$EC13,"Rápido")&gt;0,"Bônus",IF(COUNTIF($DZ13:$EC13,"Reação")&gt;0,"Reação","Padrão"))&amp;IF(COUNTIF($EX13:$EY13,"Carregar")&gt;0," +1 turno",""))))</f>
        <v/>
      </c>
      <c r="GN13" s="141">
        <f>IF(OR($EF13=0,$EG13=0),"",IF(COUNTIF($DZ13:$EC13,"Inescapável")&gt;0,"Automático",IF(COUNTIF($DZ13:$EC13,"Certeiro")&gt;0,"TR para metade",INDEX($AF$2:$AF$11,$EG13))))</f>
        <v/>
      </c>
      <c r="GO13" s="141">
        <f>IF(OR($EF13=0,$EG13=0),"",IF(OR($ET13&gt;=2,$FP13=0),UPPER(LEFT(INDEX($FY13:$GE13,1,$DW13),1))&amp;MID(INDEX($FY13:$GE13,1,$DW13),2,99),UPPER(LEFT(INDEX($FY13:$GE13,1,$DW13),1))&amp;MID(INDEX($FY13:$GE13,1,$DW13),2,99)&amp;" = "&amp;FLOOR($FP13*4.5,1)&amp;IF($FQ13&gt;0," · +"&amp;$FQ13&amp;"d8","")))</f>
        <v/>
      </c>
      <c r="GP13" s="141">
        <f>COUNTIF($DZ13:$EC13,"Longe")+3*COUNTIF($DZ13:$EC13,"Muito Longe")</f>
        <v/>
      </c>
      <c r="GQ13" s="141">
        <f>COUNTIF($DZ13:$EC13,"Maior")+3*COUNTIF($DZ13:$EC13,"Muito Maior")</f>
        <v/>
      </c>
      <c r="GR13" s="141">
        <f>IF($EG13=0,0,CHOOSE(1+INDEX($AH$2:$AH$11,$EG13),0,$GP13,$GQ13,$GP13+$GQ13))</f>
        <v/>
      </c>
      <c r="GS13" s="141">
        <f>IF($EG13=0,0,CHOOSE(1+INDEX($AI$2:$AI$11,$EG13),0,$GP13,$GQ13,$GP13+$GQ13))</f>
        <v/>
      </c>
      <c r="GT13" s="141">
        <f>IF(OR($EF13=0,$EG13=0),"",INDEX($AP$2:$AU$31,($EG13-1)*3+IF($DW13&gt;=6,3,2),1+MIN(5,$GR13))&amp;INDEX($AV$2:$BA$31,($EG13-1)*3+IF($DW13&gt;=6,3,2),1+MIN(5,$GS13))&amp;IF(INDEX($AJ$2:$AJ$11,$EG13)=1,IF(COUNTIF($DZ13:$EC13,"Mais Um")&gt;0," · +"&amp;COUNTIF($DZ13:$EC13,"Mais Um")&amp;IF(COUNTIF($DZ13:$EC13,"Mais Um")&gt;1," alvos"," alvo"),"")&amp;IF(COUNTIF($DZ13:$EC13,"Rajada")&gt;0," · "&amp;($DW13+1)&amp;" tiros",""),""))</f>
        <v/>
      </c>
      <c r="GU13" s="141">
        <f>IF($EF13=0,"",3*$DW13&amp;" − "&amp;$FJ13&amp;" + "&amp;$FM13&amp;IF($DU13=1," + "&amp;$DW13,"")&amp;" = "&amp;$FP13&amp;"d8 · teto "&amp;4*$DW13&amp;IF($ES13=1," · a Forma devolve "&amp;$DW13,"")&amp;IF($FN13&gt;0," · perde "&amp;$FN13,""))</f>
        <v/>
      </c>
      <c r="GV13" s="141">
        <f>IF($EF13=0,"",IF($DW13&gt;=$HE$4,"Já está na maior Classe que o nível liberou",TEXTJOIN(" · ",TRUE,IF(AND(2&gt;$DW13,2&lt;=$HE$4),"2 → "&amp;$FZ13&amp;", "&amp;IF($DU13=1,9,6)&amp;" PE",""),IF(AND(3&gt;$DW13,3&lt;=$HE$4),"3 → "&amp;$GA13&amp;", "&amp;IF($DU13=1,14,9)&amp;" PE",""),IF(AND(4&gt;$DW13,4&lt;=$HE$4),"4 → "&amp;$GB13&amp;", "&amp;IF($DU13=1,18,12)&amp;" PE",""),IF(AND(5&gt;$DW13,5&lt;=$HE$4),"5 → "&amp;$GC13&amp;", "&amp;IF($DU13=1,23,15)&amp;" PE",""),IF(AND(6&gt;$DW13,6&lt;=$HE$4),"6 → "&amp;$GD13&amp;", "&amp;IF($DU13=1,27,18)&amp;" PE",""),IF(AND(7&gt;$DW13,7&lt;=$HE$4),"7 → "&amp;$GE13&amp;", "&amp;IF($DU13=1,32,21)&amp;" PE",""))))</f>
        <v/>
      </c>
      <c r="GW13" s="141">
        <f>IF(OR($EF13=0,$EI13=0),"","−"&amp;INDEX($Q$2:$V$8,$DW13,$EI13)&amp;" · "&amp;CHOOSE($EI13,"Leve","Média","Pesada","Leve · Livre","Média · Livre","Pesada · Livre"))</f>
        <v/>
      </c>
      <c r="GX13" s="141">
        <f>IF(OR($EF13=0,$EJ13=0),"","−"&amp;INDEX($Q$2:$V$8,$DW13,$EJ13)&amp;" · "&amp;CHOOSE($EJ13,"Leve","Média","Pesada","Leve · Livre","Média · Livre","Pesada · Livre"))</f>
        <v/>
      </c>
      <c r="GY13" s="141">
        <f>IF(OR($EF13=0,$EK13=0),"","−"&amp;INDEX($Q$2:$V$8,$DW13,$EK13)&amp;" · "&amp;CHOOSE($EK13,"Leve","Média","Pesada","Leve · Livre","Média · Livre","Pesada · Livre"))</f>
        <v/>
      </c>
      <c r="GZ13" s="141">
        <f>IF(OR($EF13=0,$EL13=0),"","−"&amp;INDEX($Q$2:$V$8,$DW13,$EL13)&amp;" · "&amp;CHOOSE($EL13,"Leve","Média","Pesada","Leve · Livre","Média · Livre","Pesada · Livre"))</f>
        <v/>
      </c>
      <c r="HA13" s="141">
        <f>IF(OR($EF13=0,$ED13=""),"","+"&amp;IF($EV13=1,CEILING($DW13/2,1),$DW13))</f>
        <v/>
      </c>
      <c r="HB13" s="141">
        <f>IF(OR($EF13=0,$EE13=""),"","+"&amp;IF($EW13=1,CEILING($DW13/2,1),$DW13))</f>
        <v/>
      </c>
      <c r="HD13" s="114" t="inlineStr">
        <is>
          <t>espaços de pacto</t>
        </is>
      </c>
      <c r="HE13" s="141">
        <f>IF(AND('FICHA AMALDIÇOADA'!$L$518="Permanente",'FICHA AMALDIÇOADA'!$P$518="Um espaço de feitiço"),1,0)+IF(AND('FICHA AMALDIÇOADA'!$L$528="Permanente",'FICHA AMALDIÇOADA'!$P$528="Um espaço de feitiço"),1,0)+IF(AND('FICHA AMALDIÇOADA'!$L$538="Permanente",'FICHA AMALDIÇOADA'!$P$538="Um espaço de feitiço"),1,0)</f>
        <v/>
      </c>
      <c r="HG13" s="114" t="inlineStr">
        <is>
          <t>Passiva 12 · Leque</t>
        </is>
      </c>
      <c r="HH13" s="141">
        <f>'FICHA AMALDIÇOADA'!$D$413&amp;""</f>
        <v/>
      </c>
      <c r="HI13" s="141">
        <f>IFERROR(VLOOKUP($HH13,$BR$2:$BW$24,2,FALSE),0)</f>
        <v/>
      </c>
      <c r="HJ13" s="141">
        <f>IFERROR(VLOOKUP($HI13,$BY$2:$BZ$4,2,FALSE),0)</f>
        <v/>
      </c>
      <c r="HK13" s="141">
        <f>IFERROR(VLOOKUP($HH13,$BR$2:$BW$24,3,FALSE),"")</f>
        <v/>
      </c>
      <c r="HL13" s="141">
        <f>IF($HI13=0,"",IF($HJ13&gt;$HE$2,"⚠ Nível "&amp;$HJ13,"CP "&amp;$HI13))</f>
        <v/>
      </c>
      <c r="HM13" s="141">
        <f>IF($HI13=0,"",IF(7&gt;$HE$8,"⚠ Vaga","Grátis"))</f>
        <v/>
      </c>
      <c r="HO13" s="114" t="inlineStr">
        <is>
          <t>Aptidão 12</t>
        </is>
      </c>
      <c r="HP13" s="141">
        <f>'FICHA AMALDIÇOADA'!$P$492&amp;""</f>
        <v/>
      </c>
      <c r="HQ13" s="141">
        <f>IF($HP13="","","Requisito: "&amp;IFERROR(VLOOKUP($HP13,$CB$2:$CJ$32,2,FALSE),""))</f>
        <v/>
      </c>
      <c r="HR13" s="141">
        <f>IF($HP13="","",IFERROR(IF(ISNUMBER(VLOOKUP($HP13,$CB$2:$CJ$32,3,FALSE)),"CP "&amp;VLOOKUP($HP13,$CB$2:$CJ$32,3,FALSE),VLOOKUP($HP13,$CB$2:$CJ$32,3,FALSE)),""))</f>
        <v/>
      </c>
      <c r="HS13" s="141">
        <f>IF($HP13="","",IFERROR(VLOOKUP($HP13,$CB$2:$CJ$32,4,FALSE),""))</f>
        <v/>
      </c>
      <c r="HT13" s="141">
        <f>IF($HP13="","",IFERROR(VLOOKUP($HP13,$CB$2:$CJ$32,5,FALSE),""))</f>
        <v/>
      </c>
      <c r="IJ13" s="114" t="inlineStr">
        <is>
          <t>P17</t>
        </is>
      </c>
      <c r="IK13" s="141">
        <f>IF(DADOS_AM!$HE$41=1,"GRUPO 3","—")</f>
        <v/>
      </c>
    </row>
    <row r="14">
      <c r="C14" s="114" t="inlineStr">
        <is>
          <t>o que ela dá</t>
        </is>
      </c>
      <c r="D14" s="114" t="inlineStr">
        <is>
          <t>—</t>
        </is>
      </c>
      <c r="E14" s="114" t="inlineStr">
        <is>
          <t>O que a semente dá</t>
        </is>
      </c>
      <c r="F14" s="114" t="inlineStr">
        <is>
          <t>Golpe simples</t>
        </is>
      </c>
      <c r="G14" s="114" t="inlineStr">
        <is>
          <t>Golpe simples</t>
        </is>
      </c>
      <c r="AO14" s="114" t="inlineStr">
        <is>
          <t>Cone · classe 0</t>
        </is>
      </c>
      <c r="AP14" s="114" t="inlineStr">
        <is>
          <t>Cone de 3 m</t>
        </is>
      </c>
      <c r="AQ14" s="114" t="inlineStr">
        <is>
          <t>Cone de 4,5 m</t>
        </is>
      </c>
      <c r="AR14" s="114" t="inlineStr">
        <is>
          <t>Cone de 9 m</t>
        </is>
      </c>
      <c r="AS14" s="114" t="inlineStr">
        <is>
          <t>Cone de 18 m</t>
        </is>
      </c>
      <c r="AT14" s="114" t="inlineStr">
        <is>
          <t>Cone de 30 m</t>
        </is>
      </c>
      <c r="AU14" s="114" t="inlineStr">
        <is>
          <t>Cone de 60 m</t>
        </is>
      </c>
      <c r="AV14" s="114" t="inlineStr"/>
      <c r="AW14" s="114" t="inlineStr"/>
      <c r="AX14" s="114" t="inlineStr"/>
      <c r="AY14" s="114" t="inlineStr"/>
      <c r="AZ14" s="114" t="inlineStr"/>
      <c r="BA14" s="114" t="inlineStr"/>
      <c r="BC14" s="114" t="inlineStr">
        <is>
          <t>Rajada</t>
        </is>
      </c>
      <c r="BD14" s="114" t="inlineStr">
        <is>
          <t>Área</t>
        </is>
      </c>
      <c r="BE14" s="141" t="n">
        <v>1</v>
      </c>
      <c r="BF14" s="141">
        <f>$BE14+3*IFERROR(VLOOKUP($BD14,$I$2:$L$10,3,FALSE),0)</f>
        <v/>
      </c>
      <c r="BG14" s="141">
        <f>IFERROR(VLOOKUP($BD14,$I$2:$L$10,4,FALSE),0)</f>
        <v/>
      </c>
      <c r="BH14" s="141" t="n">
        <v>0</v>
      </c>
      <c r="BI14" s="141">
        <f>IF($BG14=1,"",$BC14)</f>
        <v/>
      </c>
      <c r="BJ14" s="141">
        <f>IF(AND($BE14=1,$BG14=0),$BC14,"")</f>
        <v/>
      </c>
      <c r="BL14" s="114" t="inlineStr">
        <is>
          <t>Fraqueza (Leve)</t>
        </is>
      </c>
      <c r="BM14" s="114" t="inlineStr">
        <is>
          <t>Fraqueza</t>
        </is>
      </c>
      <c r="BN14" s="141" t="n">
        <v>1</v>
      </c>
      <c r="BO14" s="141" t="n">
        <v>0</v>
      </c>
      <c r="BP14" s="114" t="inlineStr">
        <is>
          <t>Fraqueza (Leve)</t>
        </is>
      </c>
      <c r="BR14" s="114" t="inlineStr">
        <is>
          <t>Peso da Presença</t>
        </is>
      </c>
      <c r="BS14" s="141" t="n">
        <v>2</v>
      </c>
      <c r="BT14" s="114" t="inlineStr">
        <is>
          <t>Inimigos fracos que começam o turno a até 6 m fazem Teste de Resistência ou ficam Amedrontados por uma rodada.</t>
        </is>
      </c>
      <c r="BU14" s="141" t="n">
        <v>1</v>
      </c>
      <c r="BV14" s="141" t="n">
        <v>0</v>
      </c>
      <c r="BW14" s="141">
        <f>IF(OR(AND($A$2&lt;=2,$BU14=1),AND($A$2&gt;=2,$BV14=1)),$BR14,"")</f>
        <v/>
      </c>
      <c r="CB14" s="114" t="inlineStr">
        <is>
          <t>Barreira Simples</t>
        </is>
      </c>
      <c r="CC14" s="114" t="inlineStr">
        <is>
          <t>sem requisito</t>
        </is>
      </c>
      <c r="CD14" s="114" t="inlineStr">
        <is>
          <t>—</t>
        </is>
      </c>
      <c r="CE14" s="114" t="inlineStr">
        <is>
          <t>A vida do domo</t>
        </is>
      </c>
      <c r="CF14" s="114" t="inlineStr">
        <is>
          <t>Um domo de raio 6 m, ancorado no lugar onde você o ergueu, que bloqueia passagem e linha de efeito nos dois sentidos. Ele tem 5 × refino de pontos de vida, e cai quando você fica Inconsciente.</t>
        </is>
      </c>
      <c r="CG14" s="141">
        <f>IF($CJ14=1,"",IF($A$2=4,IF($CH14=1,$CB14,""),IF(OR($CH14=1,AND($A$2=3,$CI14=1)),"",$CB14)))</f>
        <v/>
      </c>
      <c r="CH14" s="141" t="n">
        <v>0</v>
      </c>
      <c r="CI14" s="141" t="n">
        <v>0</v>
      </c>
      <c r="CJ14" s="141" t="n">
        <v>0</v>
      </c>
      <c r="CR14" s="114" t="inlineStr">
        <is>
          <t>Arma de Fogo</t>
        </is>
      </c>
      <c r="CS14" s="141" t="n">
        <v>0</v>
      </c>
      <c r="CT14" s="141" t="n">
        <v>1</v>
      </c>
      <c r="CU14" s="141">
        <f>IF(AND($A$2&gt;=3,'FICHA AMALDIÇOADA'!$J$16&amp;""="Três grupos de arma"),$CR14,"")</f>
        <v/>
      </c>
      <c r="DT14" s="114" t="inlineStr">
        <is>
          <t>Feitiço 13</t>
        </is>
      </c>
      <c r="DU14" s="141" t="n">
        <v>0</v>
      </c>
      <c r="DV14" s="141" t="n">
        <v>13</v>
      </c>
      <c r="DW14" s="141">
        <f>MAX(1,MIN(7,N('FICHA AMALDIÇOADA'!$D$137)))</f>
        <v/>
      </c>
      <c r="DX14" s="141">
        <f>'FICHA AMALDIÇOADA'!$E$137&amp;""</f>
        <v/>
      </c>
      <c r="DY14" s="141">
        <f>'FICHA AMALDIÇOADA'!$D$144&amp;""</f>
        <v/>
      </c>
      <c r="DZ14" s="141">
        <f>'FICHA AMALDIÇOADA'!$E$146&amp;""</f>
        <v/>
      </c>
      <c r="EA14" s="141">
        <f>'FICHA AMALDIÇOADA'!$E$147&amp;""</f>
        <v/>
      </c>
      <c r="EB14" s="141">
        <f>'FICHA AMALDIÇOADA'!$E$148&amp;""</f>
        <v/>
      </c>
      <c r="EC14" s="141">
        <f>'FICHA AMALDIÇOADA'!$E$149&amp;""</f>
        <v/>
      </c>
      <c r="ED14" s="141">
        <f>'FICHA AMALDIÇOADA'!$E$150&amp;""</f>
        <v/>
      </c>
      <c r="EE14" s="141">
        <f>'FICHA AMALDIÇOADA'!$E$151&amp;""</f>
        <v/>
      </c>
      <c r="EF14" s="141">
        <f>IF($DX14&lt;&gt;"",1,0)</f>
        <v/>
      </c>
      <c r="EG14" s="141">
        <f>IFERROR(MATCH($DY14,$Y$2:$Y$11,0),0)</f>
        <v/>
      </c>
      <c r="EH14" s="141">
        <f>IF($EG14=0,0,INDEX($AB$2:$AB$11,$EG14))</f>
        <v/>
      </c>
      <c r="EI14" s="141">
        <f>IFERROR(VLOOKUP($DZ14,$BC$2:$BJ$84,4,FALSE),0)</f>
        <v/>
      </c>
      <c r="EJ14" s="141">
        <f>IFERROR(VLOOKUP($EA14,$BC$2:$BJ$84,4,FALSE),0)</f>
        <v/>
      </c>
      <c r="EK14" s="141">
        <f>IFERROR(VLOOKUP($EB14,$BC$2:$BJ$84,4,FALSE),0)</f>
        <v/>
      </c>
      <c r="EL14" s="141">
        <f>IFERROR(VLOOKUP($EC14,$BC$2:$BJ$84,4,FALSE),0)</f>
        <v/>
      </c>
      <c r="EM14" s="141">
        <f>IF($EG14=0,0,INDEX($AC$2:$AC$11,$EG14))</f>
        <v/>
      </c>
      <c r="EN14" s="141">
        <f>IFERROR(VLOOKUP($DZ14,$BC$2:$BJ$84,5,FALSE),0)</f>
        <v/>
      </c>
      <c r="EO14" s="141">
        <f>IFERROR(VLOOKUP($EA14,$BC$2:$BJ$84,5,FALSE),0)</f>
        <v/>
      </c>
      <c r="EP14" s="141">
        <f>IFERROR(VLOOKUP($EB14,$BC$2:$BJ$84,5,FALSE),0)</f>
        <v/>
      </c>
      <c r="EQ14" s="141">
        <f>IFERROR(VLOOKUP($EC14,$BC$2:$BJ$84,5,FALSE),0)</f>
        <v/>
      </c>
      <c r="ER14" s="141">
        <f>IFERROR(VLOOKUP($DZ14,$BC$2:$BJ$84,6,FALSE),0)+IFERROR(VLOOKUP($EA14,$BC$2:$BJ$84,6,FALSE),0)+IFERROR(VLOOKUP($EB14,$BC$2:$BJ$84,6,FALSE),0)+IFERROR(VLOOKUP($EC14,$BC$2:$BJ$84,6,FALSE),0)</f>
        <v/>
      </c>
      <c r="ES14" s="141">
        <f>IF($EG14=0,0,INDEX($AD$2:$AD$11,$EG14))</f>
        <v/>
      </c>
      <c r="ET14" s="141">
        <f>IF($EG14=0,0,INDEX($AE$2:$AE$11,$EG14))</f>
        <v/>
      </c>
      <c r="EU14" s="141">
        <f>IF($EG14=0,0,INDEX($AG$2:$AG$11,$EG14))</f>
        <v/>
      </c>
      <c r="EV14" s="141">
        <f>IFERROR(VLOOKUP($ED14,$BL$2:$BP$24,3,FALSE),0)</f>
        <v/>
      </c>
      <c r="EW14" s="141">
        <f>IFERROR(VLOOKUP($EE14,$BL$2:$BP$24,3,FALSE),0)</f>
        <v/>
      </c>
      <c r="EX14" s="141">
        <f>IFERROR(VLOOKUP($ED14,$BL$2:$BP$24,2,FALSE),"")</f>
        <v/>
      </c>
      <c r="EY14" s="141">
        <f>IFERROR(VLOOKUP($EE14,$BL$2:$BP$24,2,FALSE),"")</f>
        <v/>
      </c>
      <c r="EZ14" s="141">
        <f>COUNTIF($EH14:$EL14,1)</f>
        <v/>
      </c>
      <c r="FA14" s="141">
        <f>COUNTIF($EH14:$EL14,2)</f>
        <v/>
      </c>
      <c r="FB14" s="141">
        <f>COUNTIF($EH14:$EL14,3)</f>
        <v/>
      </c>
      <c r="FC14" s="141">
        <f>COUNTIF($EH14:$EL14,4)</f>
        <v/>
      </c>
      <c r="FD14" s="141">
        <f>COUNTIF($EH14:$EL14,5)</f>
        <v/>
      </c>
      <c r="FE14" s="141">
        <f>COUNTIF($EH14:$EL14,6)</f>
        <v/>
      </c>
      <c r="FF14" s="141">
        <f>COUNTIF($EV14:$EW14,1)</f>
        <v/>
      </c>
      <c r="FG14" s="141">
        <f>COUNTIF($EV14:$EW14,2)+$ES14</f>
        <v/>
      </c>
      <c r="FH14" s="141">
        <f>COUNTIF($DZ14:$EC14,"?*")</f>
        <v/>
      </c>
      <c r="FI14" s="141">
        <f>COUNTIF($ED14:$EE14,"?*")+$ES14</f>
        <v/>
      </c>
      <c r="FJ14" s="141">
        <f>SUMPRODUCT($EZ14:$FE14,INDEX($Q$2:$V$8,$DW14,0))</f>
        <v/>
      </c>
      <c r="FK14" s="141">
        <f>$FF14*CEILING($DW14/2,1)+$FG14*$DW14</f>
        <v/>
      </c>
      <c r="FL14" s="141">
        <f>MIN(2*$DW14,$FK14)</f>
        <v/>
      </c>
      <c r="FM14" s="141">
        <f>MIN($FL14,$FJ14)</f>
        <v/>
      </c>
      <c r="FN14" s="141">
        <f>$FL14-$FM14</f>
        <v/>
      </c>
      <c r="FO14" s="141">
        <f>3*$DW14-$FJ14+$FM14</f>
        <v/>
      </c>
      <c r="FP14" s="141">
        <f>MAX(0,$FO14)+$DU14*$DW14</f>
        <v/>
      </c>
      <c r="FQ14" s="141">
        <f>(IF(COUNTIF($DZ14:$EC14,"Salto")&gt;0,1,0)+IF(COUNTIF($DZ14:$EC14,"Queima")&gt;0,1,0))*FLOOR($FP14/2,1)</f>
        <v/>
      </c>
      <c r="FR14" s="141">
        <f>MAX(0,3-SUMPRODUCT($EZ14:$FE14,$Q$2:$V$2)+MIN(2,$FF14*1+$FG14*1,SUMPRODUCT($EZ14:$FE14,$Q$2:$V$2)))+$DU14*1</f>
        <v/>
      </c>
      <c r="FS14" s="141">
        <f>MAX(0,6-SUMPRODUCT($EZ14:$FE14,$Q$3:$V$3)+MIN(4,$FF14*1+$FG14*2,SUMPRODUCT($EZ14:$FE14,$Q$3:$V$3)))+$DU14*2</f>
        <v/>
      </c>
      <c r="FT14" s="141">
        <f>MAX(0,9-SUMPRODUCT($EZ14:$FE14,$Q$4:$V$4)+MIN(6,$FF14*2+$FG14*3,SUMPRODUCT($EZ14:$FE14,$Q$4:$V$4)))+$DU14*3</f>
        <v/>
      </c>
      <c r="FU14" s="141">
        <f>MAX(0,12-SUMPRODUCT($EZ14:$FE14,$Q$5:$V$5)+MIN(8,$FF14*2+$FG14*4,SUMPRODUCT($EZ14:$FE14,$Q$5:$V$5)))+$DU14*4</f>
        <v/>
      </c>
      <c r="FV14" s="141">
        <f>MAX(0,15-SUMPRODUCT($EZ14:$FE14,$Q$6:$V$6)+MIN(10,$FF14*3+$FG14*5,SUMPRODUCT($EZ14:$FE14,$Q$6:$V$6)))+$DU14*5</f>
        <v/>
      </c>
      <c r="FW14" s="141">
        <f>MAX(0,18-SUMPRODUCT($EZ14:$FE14,$Q$7:$V$7)+MIN(12,$FF14*3+$FG14*6,SUMPRODUCT($EZ14:$FE14,$Q$7:$V$7)))+$DU14*6</f>
        <v/>
      </c>
      <c r="FX14" s="141">
        <f>MAX(0,21-SUMPRODUCT($EZ14:$FE14,$Q$8:$V$8)+MIN(14,$FF14*4+$FG14*7,SUMPRODUCT($EZ14:$FE14,$Q$8:$V$8)))+$DU14*7</f>
        <v/>
      </c>
      <c r="FY14" s="141">
        <f>IF($ET14=2,3*$FR14&amp;" de vida temp.",IF($ET14=3,"sem dano",IF($FR14=0,IF($ET14=1,"sem cura","sem dano"),IF($ET14=1,"cura ","")&amp;$FR14&amp;"d8")))</f>
        <v/>
      </c>
      <c r="FZ14" s="141">
        <f>IF($ET14=2,3*$FS14&amp;" de vida temp.",IF($ET14=3,"sem dano",IF($FS14=0,IF($ET14=1,"sem cura","sem dano"),IF($ET14=1,"cura ","")&amp;$FS14&amp;"d8")))</f>
        <v/>
      </c>
      <c r="GA14" s="141">
        <f>IF($ET14=2,3*$FT14&amp;" de vida temp.",IF($ET14=3,"sem dano",IF($FT14=0,IF($ET14=1,"sem cura","sem dano"),IF($ET14=1,"cura ","")&amp;$FT14&amp;"d8")))</f>
        <v/>
      </c>
      <c r="GB14" s="141">
        <f>IF($ET14=2,3*$FU14&amp;" de vida temp.",IF($ET14=3,"sem dano",IF($FU14=0,IF($ET14=1,"sem cura","sem dano"),IF($ET14=1,"cura ","")&amp;$FU14&amp;"d8")))</f>
        <v/>
      </c>
      <c r="GC14" s="141">
        <f>IF($ET14=2,3*$FV14&amp;" de vida temp.",IF($ET14=3,"sem dano",IF($FV14=0,IF($ET14=1,"sem cura","sem dano"),IF($ET14=1,"cura ","")&amp;$FV14&amp;"d8")))</f>
        <v/>
      </c>
      <c r="GD14" s="141">
        <f>IF($ET14=2,3*$FW14&amp;" de vida temp.",IF($ET14=3,"sem dano",IF($FW14=0,IF($ET14=1,"sem cura","sem dano"),IF($ET14=1,"cura ","")&amp;$FW14&amp;"d8")))</f>
        <v/>
      </c>
      <c r="GE14" s="141">
        <f>IF($ET14=2,3*$FX14&amp;" de vida temp.",IF($ET14=3,"sem dano",IF($FX14=0,IF($ET14=1,"sem cura","sem dano"),IF($ET14=1,"cura ","")&amp;$FX14&amp;"d8")))</f>
        <v/>
      </c>
      <c r="GF14" s="141">
        <f>IF($EF14=0,"",TEXTJOIN(" · ",TRUE,IF(AND($DU14=1,$DV14&gt;$HE$9),"O nível "&amp;$HE$2&amp;" dá "&amp;$HE$9&amp;" Liberação Máxima",""),IF($DW14&gt;$HE$4,"Classe "&amp;$DW14&amp;": o nível "&amp;$HE$2&amp;" libera até a "&amp;$HE$4,""),IF($EM14=1,"Família Fechada: a Forma "&amp;$DY14,""),IF($EN14=1,"Família Fechada: "&amp;$DZ14,""),IF($EO14=1,"Família Fechada: "&amp;$EA14,""),IF($EP14=1,"Família Fechada: "&amp;$EB14,""),IF($EQ14=1,"Família Fechada: "&amp;$EC14,""),IF($FH14&gt;INDEX($W$2:$W$8,$DW14),$FH14&amp;" Melhorias: a Classe "&amp;$DW14&amp;" aceita "&amp;INDEX($W$2:$W$8,$DW14),""),IF($FI14&gt;2,$FI14&amp;" Restrições"&amp;IF($ES14=1,", contando a que a Forma "&amp;$DY14&amp;" já traz","")&amp;": o limite é 2",""),IF($FO14&lt;0,"Orçamento estourado: faltam "&amp;(-$FO14)&amp;IF($FO14&lt;-1," pontos"," ponto"),""),IF(IFERROR(VLOOKUP($ED14,$BL$2:$BP$24,4,FALSE),0)+IFERROR(VLOOKUP($EE14,$BL$2:$BP$24,4,FALSE),0)&gt;1,$EX14&amp;" e "&amp;$EY14&amp;" são as duas de frequência",""),IF(AND((COUNTIF($DZ14:$EC14,"Rápido")+COUNTIF($EX14:$EY14,"Rápido"))&gt;0,(COUNTIF($DZ14:$EC14,"Reação")+COUNTIF($EX14:$EY14,"Reação"))&gt;0),"Rápido não entra com Reação",""),IF(AND((COUNTIF($DZ14:$EC14,"Rápido")+COUNTIF($EX14:$EY14,"Rápido"))&gt;0,(COUNTIF($DZ14:$EC14,"Atrasar")+COUNTIF($EX14:$EY14,"Atrasar"))&gt;0),"Rápido não entra com Atrasar",""),IF(AND((COUNTIF($DZ14:$EC14,"Reação")+COUNTIF($EX14:$EY14,"Reação"))&gt;0,(COUNTIF($DZ14:$EC14,"Atrasar")+COUNTIF($EX14:$EY14,"Atrasar"))&gt;0),"Reação não entra com Atrasar",""),IF(AND((COUNTIF($DZ14:$EC14,"Reação")+COUNTIF($EX14:$EY14,"Reação"))&gt;0,(COUNTIF($DZ14:$EC14,"Parado")+COUNTIF($EX14:$EY14,"Parado"))&gt;0),"Reação não entra com Parado",""),IF(AND(COUNTIF($EX14:$EY14,"Corpo a Corpo")&gt;0,$ES14=0,OR($DY14="Cone",$DY14="Linha")),"Corpo a Corpo não entra em "&amp;$DY14,""),IF(AND(COUNTIF($EX14:$EY14,"Corpo a Corpo")&gt;0,$ES14=1),"A Forma "&amp;$DY14&amp;" já traz o Corpo a Corpo",""),IF(AND(COUNTIF($EX14:$EY14,"Tudo ou Nada")&gt;0,$EU14=0),"Tudo ou Nada só entra em feitiço de Teste de Resistência",""),IF(AND(COUNTIF($DZ14:$EC14,"Inescapável")&gt;0,OR($FH14&gt;1,$FI14&gt;0)),"Inescapável não aceita outra peça",""),IF(AND($DU14=1,$DW14&lt;3),"Liberação Máxima é de Classe 3 ou mais",""),IF(AND($DU14=1,OR($ET14=1,$ET14=2)),"Liberação Máxima não serve para cura",""),IF(AND($DU14=1,COUNTIF($DZ14:$EC14,"Inescapável")+COUNTIF($DZ14:$EC14,"Toca a Alma")&gt;0),"Esta peça não entra numa Liberação Máxima",""),IF($FP14+$FQ14&gt;4*$DW14,($FP14+$FQ14)&amp;" dados somando alvos e repetições: o teto da Classe "&amp;$DW14&amp;" é "&amp;4*$DW14,"")))</f>
        <v/>
      </c>
      <c r="GG14" s="141">
        <f>IF($GF14="",0,(LEN($GF14)-LEN(SUBSTITUTE($GF14," · ","")))/3+1)</f>
        <v/>
      </c>
      <c r="GH14" s="141">
        <f>IF($EF14=0,"",TEXTJOIN(" · ",TRUE,IF($FK14&gt;2*$DW14,"A devolução parou no teto de "&amp;2*$DW14,""),IF($FN14&gt;0,"Devolução perdida: "&amp;$FN14&amp;IF($FN14&gt;1," pontos"," ponto")&amp;" sem peça para pagar",""),IF(AND($ER14&gt;0,$FP14=0),"Controle sem dano: uma rodada a mais e CD +2",""),IF(AND($ER14&gt;0,$FP14&gt;0,$FP14&lt;=$DW14),"Controle com um quarto do teto: uma rodada a mais","")))</f>
        <v/>
      </c>
      <c r="GI14" s="141">
        <f>IF($GH14="",0,(LEN($GH14)-LEN(SUBSTITUTE($GH14," · ","")))/3+1)</f>
        <v/>
      </c>
      <c r="GJ14" s="141">
        <f>IF($EF14=0,IF($FH14+$FI14-$ES14&gt;0,"Dê um nome",""),IF($GG14&gt;0,"⚠ "&amp;$GG14&amp;IF($GG14&gt;1," erros"," erro"),IF($GI14&gt;0,"! "&amp;$GI14&amp;IF($GI14&gt;1," avisos"," aviso"),"Na regra")))</f>
        <v/>
      </c>
      <c r="GK14" s="141">
        <f>IF($EF14=0,"",IF($GG14+$GI14=0,"Dentro das regras que a ficha confere",$GF14&amp;IF(AND($GG14&gt;0,$GI14&gt;0)," · ","")&amp;$GH14))</f>
        <v/>
      </c>
      <c r="GL14" s="141">
        <f>IF($EF14=0,"",IF($DU14=1,CEILING(4.5*$DW14,1),3*$DW14)&amp;" PE")</f>
        <v/>
      </c>
      <c r="GM14" s="141">
        <f>IF($EF14=0,"",IF($DU14=1,"Rodada inteira",IF(COUNTIF($EX14:$EY14,"Atrasar")&gt;0,IF(COUNTIF($EX14:$EY14,"Carregar")&gt;0,"Rodada +1 turno","Rodada inteira"),IF(COUNTIF($DZ14:$EC14,"Rápido")&gt;0,"Bônus",IF(COUNTIF($DZ14:$EC14,"Reação")&gt;0,"Reação","Padrão"))&amp;IF(COUNTIF($EX14:$EY14,"Carregar")&gt;0," +1 turno",""))))</f>
        <v/>
      </c>
      <c r="GN14" s="141">
        <f>IF(OR($EF14=0,$EG14=0),"",IF(COUNTIF($DZ14:$EC14,"Inescapável")&gt;0,"Automático",IF(COUNTIF($DZ14:$EC14,"Certeiro")&gt;0,"TR para metade",INDEX($AF$2:$AF$11,$EG14))))</f>
        <v/>
      </c>
      <c r="GO14" s="141">
        <f>IF(OR($EF14=0,$EG14=0),"",IF(OR($ET14&gt;=2,$FP14=0),UPPER(LEFT(INDEX($FY14:$GE14,1,$DW14),1))&amp;MID(INDEX($FY14:$GE14,1,$DW14),2,99),UPPER(LEFT(INDEX($FY14:$GE14,1,$DW14),1))&amp;MID(INDEX($FY14:$GE14,1,$DW14),2,99)&amp;" = "&amp;FLOOR($FP14*4.5,1)&amp;IF($FQ14&gt;0," · +"&amp;$FQ14&amp;"d8","")))</f>
        <v/>
      </c>
      <c r="GP14" s="141">
        <f>COUNTIF($DZ14:$EC14,"Longe")+3*COUNTIF($DZ14:$EC14,"Muito Longe")</f>
        <v/>
      </c>
      <c r="GQ14" s="141">
        <f>COUNTIF($DZ14:$EC14,"Maior")+3*COUNTIF($DZ14:$EC14,"Muito Maior")</f>
        <v/>
      </c>
      <c r="GR14" s="141">
        <f>IF($EG14=0,0,CHOOSE(1+INDEX($AH$2:$AH$11,$EG14),0,$GP14,$GQ14,$GP14+$GQ14))</f>
        <v/>
      </c>
      <c r="GS14" s="141">
        <f>IF($EG14=0,0,CHOOSE(1+INDEX($AI$2:$AI$11,$EG14),0,$GP14,$GQ14,$GP14+$GQ14))</f>
        <v/>
      </c>
      <c r="GT14" s="141">
        <f>IF(OR($EF14=0,$EG14=0),"",INDEX($AP$2:$AU$31,($EG14-1)*3+IF($DW14&gt;=6,3,2),1+MIN(5,$GR14))&amp;INDEX($AV$2:$BA$31,($EG14-1)*3+IF($DW14&gt;=6,3,2),1+MIN(5,$GS14))&amp;IF(INDEX($AJ$2:$AJ$11,$EG14)=1,IF(COUNTIF($DZ14:$EC14,"Mais Um")&gt;0," · +"&amp;COUNTIF($DZ14:$EC14,"Mais Um")&amp;IF(COUNTIF($DZ14:$EC14,"Mais Um")&gt;1," alvos"," alvo"),"")&amp;IF(COUNTIF($DZ14:$EC14,"Rajada")&gt;0," · "&amp;($DW14+1)&amp;" tiros",""),""))</f>
        <v/>
      </c>
      <c r="GU14" s="141">
        <f>IF($EF14=0,"",3*$DW14&amp;" − "&amp;$FJ14&amp;" + "&amp;$FM14&amp;IF($DU14=1," + "&amp;$DW14,"")&amp;" = "&amp;$FP14&amp;"d8 · teto "&amp;4*$DW14&amp;IF($ES14=1," · a Forma devolve "&amp;$DW14,"")&amp;IF($FN14&gt;0," · perde "&amp;$FN14,""))</f>
        <v/>
      </c>
      <c r="GV14" s="141">
        <f>IF($EF14=0,"",IF($DW14&gt;=$HE$4,"Já está na maior Classe que o nível liberou",TEXTJOIN(" · ",TRUE,IF(AND(2&gt;$DW14,2&lt;=$HE$4),"2 → "&amp;$FZ14&amp;", "&amp;IF($DU14=1,9,6)&amp;" PE",""),IF(AND(3&gt;$DW14,3&lt;=$HE$4),"3 → "&amp;$GA14&amp;", "&amp;IF($DU14=1,14,9)&amp;" PE",""),IF(AND(4&gt;$DW14,4&lt;=$HE$4),"4 → "&amp;$GB14&amp;", "&amp;IF($DU14=1,18,12)&amp;" PE",""),IF(AND(5&gt;$DW14,5&lt;=$HE$4),"5 → "&amp;$GC14&amp;", "&amp;IF($DU14=1,23,15)&amp;" PE",""),IF(AND(6&gt;$DW14,6&lt;=$HE$4),"6 → "&amp;$GD14&amp;", "&amp;IF($DU14=1,27,18)&amp;" PE",""),IF(AND(7&gt;$DW14,7&lt;=$HE$4),"7 → "&amp;$GE14&amp;", "&amp;IF($DU14=1,32,21)&amp;" PE",""))))</f>
        <v/>
      </c>
      <c r="GW14" s="141">
        <f>IF(OR($EF14=0,$EI14=0),"","−"&amp;INDEX($Q$2:$V$8,$DW14,$EI14)&amp;" · "&amp;CHOOSE($EI14,"Leve","Média","Pesada","Leve · Livre","Média · Livre","Pesada · Livre"))</f>
        <v/>
      </c>
      <c r="GX14" s="141">
        <f>IF(OR($EF14=0,$EJ14=0),"","−"&amp;INDEX($Q$2:$V$8,$DW14,$EJ14)&amp;" · "&amp;CHOOSE($EJ14,"Leve","Média","Pesada","Leve · Livre","Média · Livre","Pesada · Livre"))</f>
        <v/>
      </c>
      <c r="GY14" s="141">
        <f>IF(OR($EF14=0,$EK14=0),"","−"&amp;INDEX($Q$2:$V$8,$DW14,$EK14)&amp;" · "&amp;CHOOSE($EK14,"Leve","Média","Pesada","Leve · Livre","Média · Livre","Pesada · Livre"))</f>
        <v/>
      </c>
      <c r="GZ14" s="141">
        <f>IF(OR($EF14=0,$EL14=0),"","−"&amp;INDEX($Q$2:$V$8,$DW14,$EL14)&amp;" · "&amp;CHOOSE($EL14,"Leve","Média","Pesada","Leve · Livre","Média · Livre","Pesada · Livre"))</f>
        <v/>
      </c>
      <c r="HA14" s="141">
        <f>IF(OR($EF14=0,$ED14=""),"","+"&amp;IF($EV14=1,CEILING($DW14/2,1),$DW14))</f>
        <v/>
      </c>
      <c r="HB14" s="141">
        <f>IF(OR($EF14=0,$EE14=""),"","+"&amp;IF($EW14=1,CEILING($DW14/2,1),$DW14))</f>
        <v/>
      </c>
      <c r="HD14" s="114" t="inlineStr">
        <is>
          <t>espaços</t>
        </is>
      </c>
      <c r="HE14" s="141">
        <f>$HE$12+$HE$13</f>
        <v/>
      </c>
      <c r="IJ14" s="114" t="inlineStr">
        <is>
          <t>P19</t>
        </is>
      </c>
      <c r="IK14" s="141">
        <f>IF(DADOS_AM!$HE$44="","",DADOS_AM!$HE$44&amp;" · "&amp;"d20 + "&amp;(DADOS_AM!$HE$3+DADOS_AM!$HE$47+IFERROR(VALUE(FICHA!$W$47&amp;""),0))&amp;" · CD "&amp;(8+DADOS_AM!$HE$3+DADOS_AM!$HE$47+IFERROR(VALUE(FICHA!$L$47&amp;""),0)))</f>
        <v/>
      </c>
    </row>
    <row r="15">
      <c r="C15" s="114" t="inlineStr">
        <is>
          <t>grupo</t>
        </is>
      </c>
      <c r="D15" s="114" t="inlineStr">
        <is>
          <t>—</t>
        </is>
      </c>
      <c r="E15" s="114" t="inlineStr">
        <is>
          <t>—</t>
        </is>
      </c>
      <c r="F15" s="114" t="inlineStr">
        <is>
          <t>Grupo</t>
        </is>
      </c>
      <c r="G15" s="114" t="inlineStr">
        <is>
          <t>Grupo</t>
        </is>
      </c>
      <c r="AO15" s="114" t="inlineStr">
        <is>
          <t>Cone · classes 1 a 5</t>
        </is>
      </c>
      <c r="AP15" s="114" t="inlineStr">
        <is>
          <t>Cone de 4,5 m</t>
        </is>
      </c>
      <c r="AQ15" s="114" t="inlineStr">
        <is>
          <t>Cone de 9 m</t>
        </is>
      </c>
      <c r="AR15" s="114" t="inlineStr">
        <is>
          <t>Cone de 18 m</t>
        </is>
      </c>
      <c r="AS15" s="114" t="inlineStr">
        <is>
          <t>Cone de 30 m</t>
        </is>
      </c>
      <c r="AT15" s="114" t="inlineStr">
        <is>
          <t>Cone de 60 m</t>
        </is>
      </c>
      <c r="AU15" s="114" t="inlineStr">
        <is>
          <t>Cone de 60 m</t>
        </is>
      </c>
      <c r="AV15" s="114" t="inlineStr"/>
      <c r="AW15" s="114" t="inlineStr"/>
      <c r="AX15" s="114" t="inlineStr"/>
      <c r="AY15" s="114" t="inlineStr"/>
      <c r="AZ15" s="114" t="inlineStr"/>
      <c r="BA15" s="114" t="inlineStr"/>
      <c r="BC15" s="114" t="inlineStr">
        <is>
          <t>Salto</t>
        </is>
      </c>
      <c r="BD15" s="114" t="inlineStr">
        <is>
          <t>Área</t>
        </is>
      </c>
      <c r="BE15" s="141" t="n">
        <v>2</v>
      </c>
      <c r="BF15" s="141">
        <f>$BE15+3*IFERROR(VLOOKUP($BD15,$I$2:$L$10,3,FALSE),0)</f>
        <v/>
      </c>
      <c r="BG15" s="141">
        <f>IFERROR(VLOOKUP($BD15,$I$2:$L$10,4,FALSE),0)</f>
        <v/>
      </c>
      <c r="BH15" s="141" t="n">
        <v>0</v>
      </c>
      <c r="BI15" s="141">
        <f>IF($BG15=1,"",$BC15)</f>
        <v/>
      </c>
      <c r="BJ15" s="141">
        <f>IF(AND($BE15=1,$BG15=0),$BC15,"")</f>
        <v/>
      </c>
      <c r="BL15" s="114" t="inlineStr">
        <is>
          <t>Fraqueza (Média)</t>
        </is>
      </c>
      <c r="BM15" s="114" t="inlineStr">
        <is>
          <t>Fraqueza</t>
        </is>
      </c>
      <c r="BN15" s="141" t="n">
        <v>2</v>
      </c>
      <c r="BO15" s="141" t="n">
        <v>0</v>
      </c>
      <c r="BP15" s="114" t="inlineStr"/>
      <c r="BR15" s="114" t="inlineStr">
        <is>
          <t>Escama</t>
        </is>
      </c>
      <c r="BS15" s="141" t="n">
        <v>3</v>
      </c>
      <c r="BT15" s="114" t="inlineStr">
        <is>
          <t>Escolha um tipo de dano que a sua Regra justifique. Você tem resistência a ele: todo dano daquele tipo cai pela metade.</t>
        </is>
      </c>
      <c r="BU15" s="141" t="n">
        <v>1</v>
      </c>
      <c r="BV15" s="141" t="n">
        <v>0</v>
      </c>
      <c r="BW15" s="141">
        <f>IF(OR(AND($A$2&lt;=2,$BU15=1),AND($A$2&gt;=2,$BV15=1)),$BR15,"")</f>
        <v/>
      </c>
      <c r="CB15" s="114" t="inlineStr">
        <is>
          <t>Cortina</t>
        </is>
      </c>
      <c r="CC15" s="114" t="inlineStr">
        <is>
          <t>exige a Barreira Simples</t>
        </is>
      </c>
      <c r="CD15" s="114" t="inlineStr">
        <is>
          <t>—</t>
        </is>
      </c>
      <c r="CE15" s="114" t="inlineStr">
        <is>
          <t>A vida dela</t>
        </is>
      </c>
      <c r="CF15" s="114" t="inlineStr">
        <is>
          <t>Mesma preparação de um minuto da Barreira Simples, exceto que ela cobre um lugar inteiro: um prédio, uma escola, um quarteirão. Ela esconde o que está dentro de quem não é feiticeiro, e você pendura uma condição sobre quem atravessa. Ela tem 40 × refino de pontos de vida, e cai quando você fica Inconsciente.</t>
        </is>
      </c>
      <c r="CG15" s="141">
        <f>IF($CJ15=1,"",IF($A$2=4,IF($CH15=1,$CB15,""),IF(OR($CH15=1,AND($A$2=3,$CI15=1)),"",$CB15)))</f>
        <v/>
      </c>
      <c r="CH15" s="141" t="n">
        <v>0</v>
      </c>
      <c r="CI15" s="141" t="n">
        <v>0</v>
      </c>
      <c r="CJ15" s="141" t="n">
        <v>0</v>
      </c>
      <c r="DT15" s="114" t="inlineStr">
        <is>
          <t>Feitiço 14</t>
        </is>
      </c>
      <c r="DU15" s="141" t="n">
        <v>0</v>
      </c>
      <c r="DV15" s="141" t="n">
        <v>14</v>
      </c>
      <c r="DW15" s="141">
        <f>MAX(1,MIN(7,N('FICHA AMALDIÇOADA'!$J$137)))</f>
        <v/>
      </c>
      <c r="DX15" s="141">
        <f>'FICHA AMALDIÇOADA'!$K$137&amp;""</f>
        <v/>
      </c>
      <c r="DY15" s="141">
        <f>'FICHA AMALDIÇOADA'!$J$144&amp;""</f>
        <v/>
      </c>
      <c r="DZ15" s="141">
        <f>'FICHA AMALDIÇOADA'!$K$146&amp;""</f>
        <v/>
      </c>
      <c r="EA15" s="141">
        <f>'FICHA AMALDIÇOADA'!$K$147&amp;""</f>
        <v/>
      </c>
      <c r="EB15" s="141">
        <f>'FICHA AMALDIÇOADA'!$K$148&amp;""</f>
        <v/>
      </c>
      <c r="EC15" s="141">
        <f>'FICHA AMALDIÇOADA'!$K$149&amp;""</f>
        <v/>
      </c>
      <c r="ED15" s="141">
        <f>'FICHA AMALDIÇOADA'!$K$150&amp;""</f>
        <v/>
      </c>
      <c r="EE15" s="141">
        <f>'FICHA AMALDIÇOADA'!$K$151&amp;""</f>
        <v/>
      </c>
      <c r="EF15" s="141">
        <f>IF($DX15&lt;&gt;"",1,0)</f>
        <v/>
      </c>
      <c r="EG15" s="141">
        <f>IFERROR(MATCH($DY15,$Y$2:$Y$11,0),0)</f>
        <v/>
      </c>
      <c r="EH15" s="141">
        <f>IF($EG15=0,0,INDEX($AB$2:$AB$11,$EG15))</f>
        <v/>
      </c>
      <c r="EI15" s="141">
        <f>IFERROR(VLOOKUP($DZ15,$BC$2:$BJ$84,4,FALSE),0)</f>
        <v/>
      </c>
      <c r="EJ15" s="141">
        <f>IFERROR(VLOOKUP($EA15,$BC$2:$BJ$84,4,FALSE),0)</f>
        <v/>
      </c>
      <c r="EK15" s="141">
        <f>IFERROR(VLOOKUP($EB15,$BC$2:$BJ$84,4,FALSE),0)</f>
        <v/>
      </c>
      <c r="EL15" s="141">
        <f>IFERROR(VLOOKUP($EC15,$BC$2:$BJ$84,4,FALSE),0)</f>
        <v/>
      </c>
      <c r="EM15" s="141">
        <f>IF($EG15=0,0,INDEX($AC$2:$AC$11,$EG15))</f>
        <v/>
      </c>
      <c r="EN15" s="141">
        <f>IFERROR(VLOOKUP($DZ15,$BC$2:$BJ$84,5,FALSE),0)</f>
        <v/>
      </c>
      <c r="EO15" s="141">
        <f>IFERROR(VLOOKUP($EA15,$BC$2:$BJ$84,5,FALSE),0)</f>
        <v/>
      </c>
      <c r="EP15" s="141">
        <f>IFERROR(VLOOKUP($EB15,$BC$2:$BJ$84,5,FALSE),0)</f>
        <v/>
      </c>
      <c r="EQ15" s="141">
        <f>IFERROR(VLOOKUP($EC15,$BC$2:$BJ$84,5,FALSE),0)</f>
        <v/>
      </c>
      <c r="ER15" s="141">
        <f>IFERROR(VLOOKUP($DZ15,$BC$2:$BJ$84,6,FALSE),0)+IFERROR(VLOOKUP($EA15,$BC$2:$BJ$84,6,FALSE),0)+IFERROR(VLOOKUP($EB15,$BC$2:$BJ$84,6,FALSE),0)+IFERROR(VLOOKUP($EC15,$BC$2:$BJ$84,6,FALSE),0)</f>
        <v/>
      </c>
      <c r="ES15" s="141">
        <f>IF($EG15=0,0,INDEX($AD$2:$AD$11,$EG15))</f>
        <v/>
      </c>
      <c r="ET15" s="141">
        <f>IF($EG15=0,0,INDEX($AE$2:$AE$11,$EG15))</f>
        <v/>
      </c>
      <c r="EU15" s="141">
        <f>IF($EG15=0,0,INDEX($AG$2:$AG$11,$EG15))</f>
        <v/>
      </c>
      <c r="EV15" s="141">
        <f>IFERROR(VLOOKUP($ED15,$BL$2:$BP$24,3,FALSE),0)</f>
        <v/>
      </c>
      <c r="EW15" s="141">
        <f>IFERROR(VLOOKUP($EE15,$BL$2:$BP$24,3,FALSE),0)</f>
        <v/>
      </c>
      <c r="EX15" s="141">
        <f>IFERROR(VLOOKUP($ED15,$BL$2:$BP$24,2,FALSE),"")</f>
        <v/>
      </c>
      <c r="EY15" s="141">
        <f>IFERROR(VLOOKUP($EE15,$BL$2:$BP$24,2,FALSE),"")</f>
        <v/>
      </c>
      <c r="EZ15" s="141">
        <f>COUNTIF($EH15:$EL15,1)</f>
        <v/>
      </c>
      <c r="FA15" s="141">
        <f>COUNTIF($EH15:$EL15,2)</f>
        <v/>
      </c>
      <c r="FB15" s="141">
        <f>COUNTIF($EH15:$EL15,3)</f>
        <v/>
      </c>
      <c r="FC15" s="141">
        <f>COUNTIF($EH15:$EL15,4)</f>
        <v/>
      </c>
      <c r="FD15" s="141">
        <f>COUNTIF($EH15:$EL15,5)</f>
        <v/>
      </c>
      <c r="FE15" s="141">
        <f>COUNTIF($EH15:$EL15,6)</f>
        <v/>
      </c>
      <c r="FF15" s="141">
        <f>COUNTIF($EV15:$EW15,1)</f>
        <v/>
      </c>
      <c r="FG15" s="141">
        <f>COUNTIF($EV15:$EW15,2)+$ES15</f>
        <v/>
      </c>
      <c r="FH15" s="141">
        <f>COUNTIF($DZ15:$EC15,"?*")</f>
        <v/>
      </c>
      <c r="FI15" s="141">
        <f>COUNTIF($ED15:$EE15,"?*")+$ES15</f>
        <v/>
      </c>
      <c r="FJ15" s="141">
        <f>SUMPRODUCT($EZ15:$FE15,INDEX($Q$2:$V$8,$DW15,0))</f>
        <v/>
      </c>
      <c r="FK15" s="141">
        <f>$FF15*CEILING($DW15/2,1)+$FG15*$DW15</f>
        <v/>
      </c>
      <c r="FL15" s="141">
        <f>MIN(2*$DW15,$FK15)</f>
        <v/>
      </c>
      <c r="FM15" s="141">
        <f>MIN($FL15,$FJ15)</f>
        <v/>
      </c>
      <c r="FN15" s="141">
        <f>$FL15-$FM15</f>
        <v/>
      </c>
      <c r="FO15" s="141">
        <f>3*$DW15-$FJ15+$FM15</f>
        <v/>
      </c>
      <c r="FP15" s="141">
        <f>MAX(0,$FO15)+$DU15*$DW15</f>
        <v/>
      </c>
      <c r="FQ15" s="141">
        <f>(IF(COUNTIF($DZ15:$EC15,"Salto")&gt;0,1,0)+IF(COUNTIF($DZ15:$EC15,"Queima")&gt;0,1,0))*FLOOR($FP15/2,1)</f>
        <v/>
      </c>
      <c r="FR15" s="141">
        <f>MAX(0,3-SUMPRODUCT($EZ15:$FE15,$Q$2:$V$2)+MIN(2,$FF15*1+$FG15*1,SUMPRODUCT($EZ15:$FE15,$Q$2:$V$2)))+$DU15*1</f>
        <v/>
      </c>
      <c r="FS15" s="141">
        <f>MAX(0,6-SUMPRODUCT($EZ15:$FE15,$Q$3:$V$3)+MIN(4,$FF15*1+$FG15*2,SUMPRODUCT($EZ15:$FE15,$Q$3:$V$3)))+$DU15*2</f>
        <v/>
      </c>
      <c r="FT15" s="141">
        <f>MAX(0,9-SUMPRODUCT($EZ15:$FE15,$Q$4:$V$4)+MIN(6,$FF15*2+$FG15*3,SUMPRODUCT($EZ15:$FE15,$Q$4:$V$4)))+$DU15*3</f>
        <v/>
      </c>
      <c r="FU15" s="141">
        <f>MAX(0,12-SUMPRODUCT($EZ15:$FE15,$Q$5:$V$5)+MIN(8,$FF15*2+$FG15*4,SUMPRODUCT($EZ15:$FE15,$Q$5:$V$5)))+$DU15*4</f>
        <v/>
      </c>
      <c r="FV15" s="141">
        <f>MAX(0,15-SUMPRODUCT($EZ15:$FE15,$Q$6:$V$6)+MIN(10,$FF15*3+$FG15*5,SUMPRODUCT($EZ15:$FE15,$Q$6:$V$6)))+$DU15*5</f>
        <v/>
      </c>
      <c r="FW15" s="141">
        <f>MAX(0,18-SUMPRODUCT($EZ15:$FE15,$Q$7:$V$7)+MIN(12,$FF15*3+$FG15*6,SUMPRODUCT($EZ15:$FE15,$Q$7:$V$7)))+$DU15*6</f>
        <v/>
      </c>
      <c r="FX15" s="141">
        <f>MAX(0,21-SUMPRODUCT($EZ15:$FE15,$Q$8:$V$8)+MIN(14,$FF15*4+$FG15*7,SUMPRODUCT($EZ15:$FE15,$Q$8:$V$8)))+$DU15*7</f>
        <v/>
      </c>
      <c r="FY15" s="141">
        <f>IF($ET15=2,3*$FR15&amp;" de vida temp.",IF($ET15=3,"sem dano",IF($FR15=0,IF($ET15=1,"sem cura","sem dano"),IF($ET15=1,"cura ","")&amp;$FR15&amp;"d8")))</f>
        <v/>
      </c>
      <c r="FZ15" s="141">
        <f>IF($ET15=2,3*$FS15&amp;" de vida temp.",IF($ET15=3,"sem dano",IF($FS15=0,IF($ET15=1,"sem cura","sem dano"),IF($ET15=1,"cura ","")&amp;$FS15&amp;"d8")))</f>
        <v/>
      </c>
      <c r="GA15" s="141">
        <f>IF($ET15=2,3*$FT15&amp;" de vida temp.",IF($ET15=3,"sem dano",IF($FT15=0,IF($ET15=1,"sem cura","sem dano"),IF($ET15=1,"cura ","")&amp;$FT15&amp;"d8")))</f>
        <v/>
      </c>
      <c r="GB15" s="141">
        <f>IF($ET15=2,3*$FU15&amp;" de vida temp.",IF($ET15=3,"sem dano",IF($FU15=0,IF($ET15=1,"sem cura","sem dano"),IF($ET15=1,"cura ","")&amp;$FU15&amp;"d8")))</f>
        <v/>
      </c>
      <c r="GC15" s="141">
        <f>IF($ET15=2,3*$FV15&amp;" de vida temp.",IF($ET15=3,"sem dano",IF($FV15=0,IF($ET15=1,"sem cura","sem dano"),IF($ET15=1,"cura ","")&amp;$FV15&amp;"d8")))</f>
        <v/>
      </c>
      <c r="GD15" s="141">
        <f>IF($ET15=2,3*$FW15&amp;" de vida temp.",IF($ET15=3,"sem dano",IF($FW15=0,IF($ET15=1,"sem cura","sem dano"),IF($ET15=1,"cura ","")&amp;$FW15&amp;"d8")))</f>
        <v/>
      </c>
      <c r="GE15" s="141">
        <f>IF($ET15=2,3*$FX15&amp;" de vida temp.",IF($ET15=3,"sem dano",IF($FX15=0,IF($ET15=1,"sem cura","sem dano"),IF($ET15=1,"cura ","")&amp;$FX15&amp;"d8")))</f>
        <v/>
      </c>
      <c r="GF15" s="141">
        <f>IF($EF15=0,"",TEXTJOIN(" · ",TRUE,IF(AND($DU15=1,$DV15&gt;$HE$9),"O nível "&amp;$HE$2&amp;" dá "&amp;$HE$9&amp;" Liberação Máxima",""),IF($DW15&gt;$HE$4,"Classe "&amp;$DW15&amp;": o nível "&amp;$HE$2&amp;" libera até a "&amp;$HE$4,""),IF($EM15=1,"Família Fechada: a Forma "&amp;$DY15,""),IF($EN15=1,"Família Fechada: "&amp;$DZ15,""),IF($EO15=1,"Família Fechada: "&amp;$EA15,""),IF($EP15=1,"Família Fechada: "&amp;$EB15,""),IF($EQ15=1,"Família Fechada: "&amp;$EC15,""),IF($FH15&gt;INDEX($W$2:$W$8,$DW15),$FH15&amp;" Melhorias: a Classe "&amp;$DW15&amp;" aceita "&amp;INDEX($W$2:$W$8,$DW15),""),IF($FI15&gt;2,$FI15&amp;" Restrições"&amp;IF($ES15=1,", contando a que a Forma "&amp;$DY15&amp;" já traz","")&amp;": o limite é 2",""),IF($FO15&lt;0,"Orçamento estourado: faltam "&amp;(-$FO15)&amp;IF($FO15&lt;-1," pontos"," ponto"),""),IF(IFERROR(VLOOKUP($ED15,$BL$2:$BP$24,4,FALSE),0)+IFERROR(VLOOKUP($EE15,$BL$2:$BP$24,4,FALSE),0)&gt;1,$EX15&amp;" e "&amp;$EY15&amp;" são as duas de frequência",""),IF(AND((COUNTIF($DZ15:$EC15,"Rápido")+COUNTIF($EX15:$EY15,"Rápido"))&gt;0,(COUNTIF($DZ15:$EC15,"Reação")+COUNTIF($EX15:$EY15,"Reação"))&gt;0),"Rápido não entra com Reação",""),IF(AND((COUNTIF($DZ15:$EC15,"Rápido")+COUNTIF($EX15:$EY15,"Rápido"))&gt;0,(COUNTIF($DZ15:$EC15,"Atrasar")+COUNTIF($EX15:$EY15,"Atrasar"))&gt;0),"Rápido não entra com Atrasar",""),IF(AND((COUNTIF($DZ15:$EC15,"Reação")+COUNTIF($EX15:$EY15,"Reação"))&gt;0,(COUNTIF($DZ15:$EC15,"Atrasar")+COUNTIF($EX15:$EY15,"Atrasar"))&gt;0),"Reação não entra com Atrasar",""),IF(AND((COUNTIF($DZ15:$EC15,"Reação")+COUNTIF($EX15:$EY15,"Reação"))&gt;0,(COUNTIF($DZ15:$EC15,"Parado")+COUNTIF($EX15:$EY15,"Parado"))&gt;0),"Reação não entra com Parado",""),IF(AND(COUNTIF($EX15:$EY15,"Corpo a Corpo")&gt;0,$ES15=0,OR($DY15="Cone",$DY15="Linha")),"Corpo a Corpo não entra em "&amp;$DY15,""),IF(AND(COUNTIF($EX15:$EY15,"Corpo a Corpo")&gt;0,$ES15=1),"A Forma "&amp;$DY15&amp;" já traz o Corpo a Corpo",""),IF(AND(COUNTIF($EX15:$EY15,"Tudo ou Nada")&gt;0,$EU15=0),"Tudo ou Nada só entra em feitiço de Teste de Resistência",""),IF(AND(COUNTIF($DZ15:$EC15,"Inescapável")&gt;0,OR($FH15&gt;1,$FI15&gt;0)),"Inescapável não aceita outra peça",""),IF(AND($DU15=1,$DW15&lt;3),"Liberação Máxima é de Classe 3 ou mais",""),IF(AND($DU15=1,OR($ET15=1,$ET15=2)),"Liberação Máxima não serve para cura",""),IF(AND($DU15=1,COUNTIF($DZ15:$EC15,"Inescapável")+COUNTIF($DZ15:$EC15,"Toca a Alma")&gt;0),"Esta peça não entra numa Liberação Máxima",""),IF($FP15+$FQ15&gt;4*$DW15,($FP15+$FQ15)&amp;" dados somando alvos e repetições: o teto da Classe "&amp;$DW15&amp;" é "&amp;4*$DW15,"")))</f>
        <v/>
      </c>
      <c r="GG15" s="141">
        <f>IF($GF15="",0,(LEN($GF15)-LEN(SUBSTITUTE($GF15," · ","")))/3+1)</f>
        <v/>
      </c>
      <c r="GH15" s="141">
        <f>IF($EF15=0,"",TEXTJOIN(" · ",TRUE,IF($FK15&gt;2*$DW15,"A devolução parou no teto de "&amp;2*$DW15,""),IF($FN15&gt;0,"Devolução perdida: "&amp;$FN15&amp;IF($FN15&gt;1," pontos"," ponto")&amp;" sem peça para pagar",""),IF(AND($ER15&gt;0,$FP15=0),"Controle sem dano: uma rodada a mais e CD +2",""),IF(AND($ER15&gt;0,$FP15&gt;0,$FP15&lt;=$DW15),"Controle com um quarto do teto: uma rodada a mais","")))</f>
        <v/>
      </c>
      <c r="GI15" s="141">
        <f>IF($GH15="",0,(LEN($GH15)-LEN(SUBSTITUTE($GH15," · ","")))/3+1)</f>
        <v/>
      </c>
      <c r="GJ15" s="141">
        <f>IF($EF15=0,IF($FH15+$FI15-$ES15&gt;0,"Dê um nome",""),IF($GG15&gt;0,"⚠ "&amp;$GG15&amp;IF($GG15&gt;1," erros"," erro"),IF($GI15&gt;0,"! "&amp;$GI15&amp;IF($GI15&gt;1," avisos"," aviso"),"Na regra")))</f>
        <v/>
      </c>
      <c r="GK15" s="141">
        <f>IF($EF15=0,"",IF($GG15+$GI15=0,"Dentro das regras que a ficha confere",$GF15&amp;IF(AND($GG15&gt;0,$GI15&gt;0)," · ","")&amp;$GH15))</f>
        <v/>
      </c>
      <c r="GL15" s="141">
        <f>IF($EF15=0,"",IF($DU15=1,CEILING(4.5*$DW15,1),3*$DW15)&amp;" PE")</f>
        <v/>
      </c>
      <c r="GM15" s="141">
        <f>IF($EF15=0,"",IF($DU15=1,"Rodada inteira",IF(COUNTIF($EX15:$EY15,"Atrasar")&gt;0,IF(COUNTIF($EX15:$EY15,"Carregar")&gt;0,"Rodada +1 turno","Rodada inteira"),IF(COUNTIF($DZ15:$EC15,"Rápido")&gt;0,"Bônus",IF(COUNTIF($DZ15:$EC15,"Reação")&gt;0,"Reação","Padrão"))&amp;IF(COUNTIF($EX15:$EY15,"Carregar")&gt;0," +1 turno",""))))</f>
        <v/>
      </c>
      <c r="GN15" s="141">
        <f>IF(OR($EF15=0,$EG15=0),"",IF(COUNTIF($DZ15:$EC15,"Inescapável")&gt;0,"Automático",IF(COUNTIF($DZ15:$EC15,"Certeiro")&gt;0,"TR para metade",INDEX($AF$2:$AF$11,$EG15))))</f>
        <v/>
      </c>
      <c r="GO15" s="141">
        <f>IF(OR($EF15=0,$EG15=0),"",IF(OR($ET15&gt;=2,$FP15=0),UPPER(LEFT(INDEX($FY15:$GE15,1,$DW15),1))&amp;MID(INDEX($FY15:$GE15,1,$DW15),2,99),UPPER(LEFT(INDEX($FY15:$GE15,1,$DW15),1))&amp;MID(INDEX($FY15:$GE15,1,$DW15),2,99)&amp;" = "&amp;FLOOR($FP15*4.5,1)&amp;IF($FQ15&gt;0," · +"&amp;$FQ15&amp;"d8","")))</f>
        <v/>
      </c>
      <c r="GP15" s="141">
        <f>COUNTIF($DZ15:$EC15,"Longe")+3*COUNTIF($DZ15:$EC15,"Muito Longe")</f>
        <v/>
      </c>
      <c r="GQ15" s="141">
        <f>COUNTIF($DZ15:$EC15,"Maior")+3*COUNTIF($DZ15:$EC15,"Muito Maior")</f>
        <v/>
      </c>
      <c r="GR15" s="141">
        <f>IF($EG15=0,0,CHOOSE(1+INDEX($AH$2:$AH$11,$EG15),0,$GP15,$GQ15,$GP15+$GQ15))</f>
        <v/>
      </c>
      <c r="GS15" s="141">
        <f>IF($EG15=0,0,CHOOSE(1+INDEX($AI$2:$AI$11,$EG15),0,$GP15,$GQ15,$GP15+$GQ15))</f>
        <v/>
      </c>
      <c r="GT15" s="141">
        <f>IF(OR($EF15=0,$EG15=0),"",INDEX($AP$2:$AU$31,($EG15-1)*3+IF($DW15&gt;=6,3,2),1+MIN(5,$GR15))&amp;INDEX($AV$2:$BA$31,($EG15-1)*3+IF($DW15&gt;=6,3,2),1+MIN(5,$GS15))&amp;IF(INDEX($AJ$2:$AJ$11,$EG15)=1,IF(COUNTIF($DZ15:$EC15,"Mais Um")&gt;0," · +"&amp;COUNTIF($DZ15:$EC15,"Mais Um")&amp;IF(COUNTIF($DZ15:$EC15,"Mais Um")&gt;1," alvos"," alvo"),"")&amp;IF(COUNTIF($DZ15:$EC15,"Rajada")&gt;0," · "&amp;($DW15+1)&amp;" tiros",""),""))</f>
        <v/>
      </c>
      <c r="GU15" s="141">
        <f>IF($EF15=0,"",3*$DW15&amp;" − "&amp;$FJ15&amp;" + "&amp;$FM15&amp;IF($DU15=1," + "&amp;$DW15,"")&amp;" = "&amp;$FP15&amp;"d8 · teto "&amp;4*$DW15&amp;IF($ES15=1," · a Forma devolve "&amp;$DW15,"")&amp;IF($FN15&gt;0," · perde "&amp;$FN15,""))</f>
        <v/>
      </c>
      <c r="GV15" s="141">
        <f>IF($EF15=0,"",IF($DW15&gt;=$HE$4,"Já está na maior Classe que o nível liberou",TEXTJOIN(" · ",TRUE,IF(AND(2&gt;$DW15,2&lt;=$HE$4),"2 → "&amp;$FZ15&amp;", "&amp;IF($DU15=1,9,6)&amp;" PE",""),IF(AND(3&gt;$DW15,3&lt;=$HE$4),"3 → "&amp;$GA15&amp;", "&amp;IF($DU15=1,14,9)&amp;" PE",""),IF(AND(4&gt;$DW15,4&lt;=$HE$4),"4 → "&amp;$GB15&amp;", "&amp;IF($DU15=1,18,12)&amp;" PE",""),IF(AND(5&gt;$DW15,5&lt;=$HE$4),"5 → "&amp;$GC15&amp;", "&amp;IF($DU15=1,23,15)&amp;" PE",""),IF(AND(6&gt;$DW15,6&lt;=$HE$4),"6 → "&amp;$GD15&amp;", "&amp;IF($DU15=1,27,18)&amp;" PE",""),IF(AND(7&gt;$DW15,7&lt;=$HE$4),"7 → "&amp;$GE15&amp;", "&amp;IF($DU15=1,32,21)&amp;" PE",""))))</f>
        <v/>
      </c>
      <c r="GW15" s="141">
        <f>IF(OR($EF15=0,$EI15=0),"","−"&amp;INDEX($Q$2:$V$8,$DW15,$EI15)&amp;" · "&amp;CHOOSE($EI15,"Leve","Média","Pesada","Leve · Livre","Média · Livre","Pesada · Livre"))</f>
        <v/>
      </c>
      <c r="GX15" s="141">
        <f>IF(OR($EF15=0,$EJ15=0),"","−"&amp;INDEX($Q$2:$V$8,$DW15,$EJ15)&amp;" · "&amp;CHOOSE($EJ15,"Leve","Média","Pesada","Leve · Livre","Média · Livre","Pesada · Livre"))</f>
        <v/>
      </c>
      <c r="GY15" s="141">
        <f>IF(OR($EF15=0,$EK15=0),"","−"&amp;INDEX($Q$2:$V$8,$DW15,$EK15)&amp;" · "&amp;CHOOSE($EK15,"Leve","Média","Pesada","Leve · Livre","Média · Livre","Pesada · Livre"))</f>
        <v/>
      </c>
      <c r="GZ15" s="141">
        <f>IF(OR($EF15=0,$EL15=0),"","−"&amp;INDEX($Q$2:$V$8,$DW15,$EL15)&amp;" · "&amp;CHOOSE($EL15,"Leve","Média","Pesada","Leve · Livre","Média · Livre","Pesada · Livre"))</f>
        <v/>
      </c>
      <c r="HA15" s="141">
        <f>IF(OR($EF15=0,$ED15=""),"","+"&amp;IF($EV15=1,CEILING($DW15/2,1),$DW15))</f>
        <v/>
      </c>
      <c r="HB15" s="141">
        <f>IF(OR($EF15=0,$EE15=""),"","+"&amp;IF($EW15=1,CEILING($DW15/2,1),$DW15))</f>
        <v/>
      </c>
      <c r="HD15" s="114" t="inlineStr">
        <is>
          <t>feitiços montados</t>
        </is>
      </c>
      <c r="HE15" s="141">
        <f>SUM($EF$2:$EF$37)</f>
        <v/>
      </c>
      <c r="IJ15" s="114" t="inlineStr">
        <is>
          <t>L25</t>
        </is>
      </c>
      <c r="IK15" s="141">
        <f>UPPER(INDEX(DADOS_AM!$D$12:$G$12,1,DADOS_AM!$A$2))</f>
        <v/>
      </c>
    </row>
    <row r="16">
      <c r="C16" s="114" t="inlineStr">
        <is>
          <t>estímulo</t>
        </is>
      </c>
      <c r="D16" s="114" t="inlineStr">
        <is>
          <t>—</t>
        </is>
      </c>
      <c r="E16" s="114" t="inlineStr">
        <is>
          <t>—</t>
        </is>
      </c>
      <c r="F16" s="114" t="inlineStr">
        <is>
          <t>—</t>
        </is>
      </c>
      <c r="G16" s="114" t="inlineStr">
        <is>
          <t>Estímulo Muscular</t>
        </is>
      </c>
      <c r="AO16" s="114" t="inlineStr">
        <is>
          <t>Cone · classes 6 e 7</t>
        </is>
      </c>
      <c r="AP16" s="114" t="inlineStr">
        <is>
          <t>Cone de 9 m</t>
        </is>
      </c>
      <c r="AQ16" s="114" t="inlineStr">
        <is>
          <t>Cone de 18 m</t>
        </is>
      </c>
      <c r="AR16" s="114" t="inlineStr">
        <is>
          <t>Cone de 30 m</t>
        </is>
      </c>
      <c r="AS16" s="114" t="inlineStr">
        <is>
          <t>Cone de 60 m</t>
        </is>
      </c>
      <c r="AT16" s="114" t="inlineStr">
        <is>
          <t>Cone de 60 m</t>
        </is>
      </c>
      <c r="AU16" s="114" t="inlineStr">
        <is>
          <t>Cone de 60 m</t>
        </is>
      </c>
      <c r="AV16" s="114" t="inlineStr"/>
      <c r="AW16" s="114" t="inlineStr"/>
      <c r="AX16" s="114" t="inlineStr"/>
      <c r="AY16" s="114" t="inlineStr"/>
      <c r="AZ16" s="114" t="inlineStr"/>
      <c r="BA16" s="114" t="inlineStr"/>
      <c r="BC16" s="114" t="inlineStr">
        <is>
          <t>Contorno</t>
        </is>
      </c>
      <c r="BD16" s="114" t="inlineStr">
        <is>
          <t>Área</t>
        </is>
      </c>
      <c r="BE16" s="141" t="n">
        <v>1</v>
      </c>
      <c r="BF16" s="141">
        <f>$BE16+3*IFERROR(VLOOKUP($BD16,$I$2:$L$10,3,FALSE),0)</f>
        <v/>
      </c>
      <c r="BG16" s="141">
        <f>IFERROR(VLOOKUP($BD16,$I$2:$L$10,4,FALSE),0)</f>
        <v/>
      </c>
      <c r="BH16" s="141" t="n">
        <v>0</v>
      </c>
      <c r="BI16" s="141">
        <f>IF($BG16=1,"",$BC16)</f>
        <v/>
      </c>
      <c r="BJ16" s="141">
        <f>IF(AND($BE16=1,$BG16=0),$BC16,"")</f>
        <v/>
      </c>
      <c r="BL16" s="114" t="inlineStr">
        <is>
          <t>Frágil</t>
        </is>
      </c>
      <c r="BM16" s="114" t="inlineStr">
        <is>
          <t>Frágil</t>
        </is>
      </c>
      <c r="BN16" s="141" t="n">
        <v>1</v>
      </c>
      <c r="BO16" s="141" t="n">
        <v>0</v>
      </c>
      <c r="BP16" s="114" t="inlineStr">
        <is>
          <t>Frágil</t>
        </is>
      </c>
      <c r="BR16" s="114" t="inlineStr">
        <is>
          <t>Afinidade</t>
        </is>
      </c>
      <c r="BS16" s="141" t="n">
        <v>3</v>
      </c>
      <c r="BT16" s="114" t="inlineStr">
        <is>
          <t>Escolha um tema da sua Regra. Feitiços daquele tema ignoram cobertura Parcial e resistência ao seu tipo de dano.</t>
        </is>
      </c>
      <c r="BU16" s="141" t="n">
        <v>1</v>
      </c>
      <c r="BV16" s="141" t="n">
        <v>0</v>
      </c>
      <c r="BW16" s="141">
        <f>IF(OR(AND($A$2&lt;=2,$BU16=1),AND($A$2&gt;=2,$BV16=1)),$BR16,"")</f>
        <v/>
      </c>
      <c r="CB16" s="114" t="inlineStr">
        <is>
          <t>Aptidão Própria (CP 1)</t>
        </is>
      </c>
      <c r="CC16" s="114" t="inlineStr">
        <is>
          <t>uma vez na ficha inteira</t>
        </is>
      </c>
      <c r="CD16" s="141" t="n">
        <v>1</v>
      </c>
      <c r="CE16" s="114" t="inlineStr">
        <is>
          <t>Conforme o que for escrito</t>
        </is>
      </c>
      <c r="CF16" s="114"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CG16" s="141">
        <f>IF($CJ16=1,"",IF($A$2=4,IF($CH16=1,$CB16,""),IF(OR($CH16=1,AND($A$2=3,$CI16=1)),"",$CB16)))</f>
        <v/>
      </c>
      <c r="CH16" s="141" t="n">
        <v>0</v>
      </c>
      <c r="CI16" s="141" t="n">
        <v>0</v>
      </c>
      <c r="CJ16" s="141" t="n">
        <v>0</v>
      </c>
      <c r="DT16" s="114" t="inlineStr">
        <is>
          <t>Feitiço 15</t>
        </is>
      </c>
      <c r="DU16" s="141" t="n">
        <v>0</v>
      </c>
      <c r="DV16" s="141" t="n">
        <v>15</v>
      </c>
      <c r="DW16" s="141">
        <f>MAX(1,MIN(7,N('FICHA AMALDIÇOADA'!$P$137)))</f>
        <v/>
      </c>
      <c r="DX16" s="141">
        <f>'FICHA AMALDIÇOADA'!$Q$137&amp;""</f>
        <v/>
      </c>
      <c r="DY16" s="141">
        <f>'FICHA AMALDIÇOADA'!$P$144&amp;""</f>
        <v/>
      </c>
      <c r="DZ16" s="141">
        <f>'FICHA AMALDIÇOADA'!$Q$146&amp;""</f>
        <v/>
      </c>
      <c r="EA16" s="141">
        <f>'FICHA AMALDIÇOADA'!$Q$147&amp;""</f>
        <v/>
      </c>
      <c r="EB16" s="141">
        <f>'FICHA AMALDIÇOADA'!$Q$148&amp;""</f>
        <v/>
      </c>
      <c r="EC16" s="141">
        <f>'FICHA AMALDIÇOADA'!$Q$149&amp;""</f>
        <v/>
      </c>
      <c r="ED16" s="141">
        <f>'FICHA AMALDIÇOADA'!$Q$150&amp;""</f>
        <v/>
      </c>
      <c r="EE16" s="141">
        <f>'FICHA AMALDIÇOADA'!$Q$151&amp;""</f>
        <v/>
      </c>
      <c r="EF16" s="141">
        <f>IF($DX16&lt;&gt;"",1,0)</f>
        <v/>
      </c>
      <c r="EG16" s="141">
        <f>IFERROR(MATCH($DY16,$Y$2:$Y$11,0),0)</f>
        <v/>
      </c>
      <c r="EH16" s="141">
        <f>IF($EG16=0,0,INDEX($AB$2:$AB$11,$EG16))</f>
        <v/>
      </c>
      <c r="EI16" s="141">
        <f>IFERROR(VLOOKUP($DZ16,$BC$2:$BJ$84,4,FALSE),0)</f>
        <v/>
      </c>
      <c r="EJ16" s="141">
        <f>IFERROR(VLOOKUP($EA16,$BC$2:$BJ$84,4,FALSE),0)</f>
        <v/>
      </c>
      <c r="EK16" s="141">
        <f>IFERROR(VLOOKUP($EB16,$BC$2:$BJ$84,4,FALSE),0)</f>
        <v/>
      </c>
      <c r="EL16" s="141">
        <f>IFERROR(VLOOKUP($EC16,$BC$2:$BJ$84,4,FALSE),0)</f>
        <v/>
      </c>
      <c r="EM16" s="141">
        <f>IF($EG16=0,0,INDEX($AC$2:$AC$11,$EG16))</f>
        <v/>
      </c>
      <c r="EN16" s="141">
        <f>IFERROR(VLOOKUP($DZ16,$BC$2:$BJ$84,5,FALSE),0)</f>
        <v/>
      </c>
      <c r="EO16" s="141">
        <f>IFERROR(VLOOKUP($EA16,$BC$2:$BJ$84,5,FALSE),0)</f>
        <v/>
      </c>
      <c r="EP16" s="141">
        <f>IFERROR(VLOOKUP($EB16,$BC$2:$BJ$84,5,FALSE),0)</f>
        <v/>
      </c>
      <c r="EQ16" s="141">
        <f>IFERROR(VLOOKUP($EC16,$BC$2:$BJ$84,5,FALSE),0)</f>
        <v/>
      </c>
      <c r="ER16" s="141">
        <f>IFERROR(VLOOKUP($DZ16,$BC$2:$BJ$84,6,FALSE),0)+IFERROR(VLOOKUP($EA16,$BC$2:$BJ$84,6,FALSE),0)+IFERROR(VLOOKUP($EB16,$BC$2:$BJ$84,6,FALSE),0)+IFERROR(VLOOKUP($EC16,$BC$2:$BJ$84,6,FALSE),0)</f>
        <v/>
      </c>
      <c r="ES16" s="141">
        <f>IF($EG16=0,0,INDEX($AD$2:$AD$11,$EG16))</f>
        <v/>
      </c>
      <c r="ET16" s="141">
        <f>IF($EG16=0,0,INDEX($AE$2:$AE$11,$EG16))</f>
        <v/>
      </c>
      <c r="EU16" s="141">
        <f>IF($EG16=0,0,INDEX($AG$2:$AG$11,$EG16))</f>
        <v/>
      </c>
      <c r="EV16" s="141">
        <f>IFERROR(VLOOKUP($ED16,$BL$2:$BP$24,3,FALSE),0)</f>
        <v/>
      </c>
      <c r="EW16" s="141">
        <f>IFERROR(VLOOKUP($EE16,$BL$2:$BP$24,3,FALSE),0)</f>
        <v/>
      </c>
      <c r="EX16" s="141">
        <f>IFERROR(VLOOKUP($ED16,$BL$2:$BP$24,2,FALSE),"")</f>
        <v/>
      </c>
      <c r="EY16" s="141">
        <f>IFERROR(VLOOKUP($EE16,$BL$2:$BP$24,2,FALSE),"")</f>
        <v/>
      </c>
      <c r="EZ16" s="141">
        <f>COUNTIF($EH16:$EL16,1)</f>
        <v/>
      </c>
      <c r="FA16" s="141">
        <f>COUNTIF($EH16:$EL16,2)</f>
        <v/>
      </c>
      <c r="FB16" s="141">
        <f>COUNTIF($EH16:$EL16,3)</f>
        <v/>
      </c>
      <c r="FC16" s="141">
        <f>COUNTIF($EH16:$EL16,4)</f>
        <v/>
      </c>
      <c r="FD16" s="141">
        <f>COUNTIF($EH16:$EL16,5)</f>
        <v/>
      </c>
      <c r="FE16" s="141">
        <f>COUNTIF($EH16:$EL16,6)</f>
        <v/>
      </c>
      <c r="FF16" s="141">
        <f>COUNTIF($EV16:$EW16,1)</f>
        <v/>
      </c>
      <c r="FG16" s="141">
        <f>COUNTIF($EV16:$EW16,2)+$ES16</f>
        <v/>
      </c>
      <c r="FH16" s="141">
        <f>COUNTIF($DZ16:$EC16,"?*")</f>
        <v/>
      </c>
      <c r="FI16" s="141">
        <f>COUNTIF($ED16:$EE16,"?*")+$ES16</f>
        <v/>
      </c>
      <c r="FJ16" s="141">
        <f>SUMPRODUCT($EZ16:$FE16,INDEX($Q$2:$V$8,$DW16,0))</f>
        <v/>
      </c>
      <c r="FK16" s="141">
        <f>$FF16*CEILING($DW16/2,1)+$FG16*$DW16</f>
        <v/>
      </c>
      <c r="FL16" s="141">
        <f>MIN(2*$DW16,$FK16)</f>
        <v/>
      </c>
      <c r="FM16" s="141">
        <f>MIN($FL16,$FJ16)</f>
        <v/>
      </c>
      <c r="FN16" s="141">
        <f>$FL16-$FM16</f>
        <v/>
      </c>
      <c r="FO16" s="141">
        <f>3*$DW16-$FJ16+$FM16</f>
        <v/>
      </c>
      <c r="FP16" s="141">
        <f>MAX(0,$FO16)+$DU16*$DW16</f>
        <v/>
      </c>
      <c r="FQ16" s="141">
        <f>(IF(COUNTIF($DZ16:$EC16,"Salto")&gt;0,1,0)+IF(COUNTIF($DZ16:$EC16,"Queima")&gt;0,1,0))*FLOOR($FP16/2,1)</f>
        <v/>
      </c>
      <c r="FR16" s="141">
        <f>MAX(0,3-SUMPRODUCT($EZ16:$FE16,$Q$2:$V$2)+MIN(2,$FF16*1+$FG16*1,SUMPRODUCT($EZ16:$FE16,$Q$2:$V$2)))+$DU16*1</f>
        <v/>
      </c>
      <c r="FS16" s="141">
        <f>MAX(0,6-SUMPRODUCT($EZ16:$FE16,$Q$3:$V$3)+MIN(4,$FF16*1+$FG16*2,SUMPRODUCT($EZ16:$FE16,$Q$3:$V$3)))+$DU16*2</f>
        <v/>
      </c>
      <c r="FT16" s="141">
        <f>MAX(0,9-SUMPRODUCT($EZ16:$FE16,$Q$4:$V$4)+MIN(6,$FF16*2+$FG16*3,SUMPRODUCT($EZ16:$FE16,$Q$4:$V$4)))+$DU16*3</f>
        <v/>
      </c>
      <c r="FU16" s="141">
        <f>MAX(0,12-SUMPRODUCT($EZ16:$FE16,$Q$5:$V$5)+MIN(8,$FF16*2+$FG16*4,SUMPRODUCT($EZ16:$FE16,$Q$5:$V$5)))+$DU16*4</f>
        <v/>
      </c>
      <c r="FV16" s="141">
        <f>MAX(0,15-SUMPRODUCT($EZ16:$FE16,$Q$6:$V$6)+MIN(10,$FF16*3+$FG16*5,SUMPRODUCT($EZ16:$FE16,$Q$6:$V$6)))+$DU16*5</f>
        <v/>
      </c>
      <c r="FW16" s="141">
        <f>MAX(0,18-SUMPRODUCT($EZ16:$FE16,$Q$7:$V$7)+MIN(12,$FF16*3+$FG16*6,SUMPRODUCT($EZ16:$FE16,$Q$7:$V$7)))+$DU16*6</f>
        <v/>
      </c>
      <c r="FX16" s="141">
        <f>MAX(0,21-SUMPRODUCT($EZ16:$FE16,$Q$8:$V$8)+MIN(14,$FF16*4+$FG16*7,SUMPRODUCT($EZ16:$FE16,$Q$8:$V$8)))+$DU16*7</f>
        <v/>
      </c>
      <c r="FY16" s="141">
        <f>IF($ET16=2,3*$FR16&amp;" de vida temp.",IF($ET16=3,"sem dano",IF($FR16=0,IF($ET16=1,"sem cura","sem dano"),IF($ET16=1,"cura ","")&amp;$FR16&amp;"d8")))</f>
        <v/>
      </c>
      <c r="FZ16" s="141">
        <f>IF($ET16=2,3*$FS16&amp;" de vida temp.",IF($ET16=3,"sem dano",IF($FS16=0,IF($ET16=1,"sem cura","sem dano"),IF($ET16=1,"cura ","")&amp;$FS16&amp;"d8")))</f>
        <v/>
      </c>
      <c r="GA16" s="141">
        <f>IF($ET16=2,3*$FT16&amp;" de vida temp.",IF($ET16=3,"sem dano",IF($FT16=0,IF($ET16=1,"sem cura","sem dano"),IF($ET16=1,"cura ","")&amp;$FT16&amp;"d8")))</f>
        <v/>
      </c>
      <c r="GB16" s="141">
        <f>IF($ET16=2,3*$FU16&amp;" de vida temp.",IF($ET16=3,"sem dano",IF($FU16=0,IF($ET16=1,"sem cura","sem dano"),IF($ET16=1,"cura ","")&amp;$FU16&amp;"d8")))</f>
        <v/>
      </c>
      <c r="GC16" s="141">
        <f>IF($ET16=2,3*$FV16&amp;" de vida temp.",IF($ET16=3,"sem dano",IF($FV16=0,IF($ET16=1,"sem cura","sem dano"),IF($ET16=1,"cura ","")&amp;$FV16&amp;"d8")))</f>
        <v/>
      </c>
      <c r="GD16" s="141">
        <f>IF($ET16=2,3*$FW16&amp;" de vida temp.",IF($ET16=3,"sem dano",IF($FW16=0,IF($ET16=1,"sem cura","sem dano"),IF($ET16=1,"cura ","")&amp;$FW16&amp;"d8")))</f>
        <v/>
      </c>
      <c r="GE16" s="141">
        <f>IF($ET16=2,3*$FX16&amp;" de vida temp.",IF($ET16=3,"sem dano",IF($FX16=0,IF($ET16=1,"sem cura","sem dano"),IF($ET16=1,"cura ","")&amp;$FX16&amp;"d8")))</f>
        <v/>
      </c>
      <c r="GF16" s="141">
        <f>IF($EF16=0,"",TEXTJOIN(" · ",TRUE,IF(AND($DU16=1,$DV16&gt;$HE$9),"O nível "&amp;$HE$2&amp;" dá "&amp;$HE$9&amp;" Liberação Máxima",""),IF($DW16&gt;$HE$4,"Classe "&amp;$DW16&amp;": o nível "&amp;$HE$2&amp;" libera até a "&amp;$HE$4,""),IF($EM16=1,"Família Fechada: a Forma "&amp;$DY16,""),IF($EN16=1,"Família Fechada: "&amp;$DZ16,""),IF($EO16=1,"Família Fechada: "&amp;$EA16,""),IF($EP16=1,"Família Fechada: "&amp;$EB16,""),IF($EQ16=1,"Família Fechada: "&amp;$EC16,""),IF($FH16&gt;INDEX($W$2:$W$8,$DW16),$FH16&amp;" Melhorias: a Classe "&amp;$DW16&amp;" aceita "&amp;INDEX($W$2:$W$8,$DW16),""),IF($FI16&gt;2,$FI16&amp;" Restrições"&amp;IF($ES16=1,", contando a que a Forma "&amp;$DY16&amp;" já traz","")&amp;": o limite é 2",""),IF($FO16&lt;0,"Orçamento estourado: faltam "&amp;(-$FO16)&amp;IF($FO16&lt;-1," pontos"," ponto"),""),IF(IFERROR(VLOOKUP($ED16,$BL$2:$BP$24,4,FALSE),0)+IFERROR(VLOOKUP($EE16,$BL$2:$BP$24,4,FALSE),0)&gt;1,$EX16&amp;" e "&amp;$EY16&amp;" são as duas de frequência",""),IF(AND((COUNTIF($DZ16:$EC16,"Rápido")+COUNTIF($EX16:$EY16,"Rápido"))&gt;0,(COUNTIF($DZ16:$EC16,"Reação")+COUNTIF($EX16:$EY16,"Reação"))&gt;0),"Rápido não entra com Reação",""),IF(AND((COUNTIF($DZ16:$EC16,"Rápido")+COUNTIF($EX16:$EY16,"Rápido"))&gt;0,(COUNTIF($DZ16:$EC16,"Atrasar")+COUNTIF($EX16:$EY16,"Atrasar"))&gt;0),"Rápido não entra com Atrasar",""),IF(AND((COUNTIF($DZ16:$EC16,"Reação")+COUNTIF($EX16:$EY16,"Reação"))&gt;0,(COUNTIF($DZ16:$EC16,"Atrasar")+COUNTIF($EX16:$EY16,"Atrasar"))&gt;0),"Reação não entra com Atrasar",""),IF(AND((COUNTIF($DZ16:$EC16,"Reação")+COUNTIF($EX16:$EY16,"Reação"))&gt;0,(COUNTIF($DZ16:$EC16,"Parado")+COUNTIF($EX16:$EY16,"Parado"))&gt;0),"Reação não entra com Parado",""),IF(AND(COUNTIF($EX16:$EY16,"Corpo a Corpo")&gt;0,$ES16=0,OR($DY16="Cone",$DY16="Linha")),"Corpo a Corpo não entra em "&amp;$DY16,""),IF(AND(COUNTIF($EX16:$EY16,"Corpo a Corpo")&gt;0,$ES16=1),"A Forma "&amp;$DY16&amp;" já traz o Corpo a Corpo",""),IF(AND(COUNTIF($EX16:$EY16,"Tudo ou Nada")&gt;0,$EU16=0),"Tudo ou Nada só entra em feitiço de Teste de Resistência",""),IF(AND(COUNTIF($DZ16:$EC16,"Inescapável")&gt;0,OR($FH16&gt;1,$FI16&gt;0)),"Inescapável não aceita outra peça",""),IF(AND($DU16=1,$DW16&lt;3),"Liberação Máxima é de Classe 3 ou mais",""),IF(AND($DU16=1,OR($ET16=1,$ET16=2)),"Liberação Máxima não serve para cura",""),IF(AND($DU16=1,COUNTIF($DZ16:$EC16,"Inescapável")+COUNTIF($DZ16:$EC16,"Toca a Alma")&gt;0),"Esta peça não entra numa Liberação Máxima",""),IF($FP16+$FQ16&gt;4*$DW16,($FP16+$FQ16)&amp;" dados somando alvos e repetições: o teto da Classe "&amp;$DW16&amp;" é "&amp;4*$DW16,"")))</f>
        <v/>
      </c>
      <c r="GG16" s="141">
        <f>IF($GF16="",0,(LEN($GF16)-LEN(SUBSTITUTE($GF16," · ","")))/3+1)</f>
        <v/>
      </c>
      <c r="GH16" s="141">
        <f>IF($EF16=0,"",TEXTJOIN(" · ",TRUE,IF($FK16&gt;2*$DW16,"A devolução parou no teto de "&amp;2*$DW16,""),IF($FN16&gt;0,"Devolução perdida: "&amp;$FN16&amp;IF($FN16&gt;1," pontos"," ponto")&amp;" sem peça para pagar",""),IF(AND($ER16&gt;0,$FP16=0),"Controle sem dano: uma rodada a mais e CD +2",""),IF(AND($ER16&gt;0,$FP16&gt;0,$FP16&lt;=$DW16),"Controle com um quarto do teto: uma rodada a mais","")))</f>
        <v/>
      </c>
      <c r="GI16" s="141">
        <f>IF($GH16="",0,(LEN($GH16)-LEN(SUBSTITUTE($GH16," · ","")))/3+1)</f>
        <v/>
      </c>
      <c r="GJ16" s="141">
        <f>IF($EF16=0,IF($FH16+$FI16-$ES16&gt;0,"Dê um nome",""),IF($GG16&gt;0,"⚠ "&amp;$GG16&amp;IF($GG16&gt;1," erros"," erro"),IF($GI16&gt;0,"! "&amp;$GI16&amp;IF($GI16&gt;1," avisos"," aviso"),"Na regra")))</f>
        <v/>
      </c>
      <c r="GK16" s="141">
        <f>IF($EF16=0,"",IF($GG16+$GI16=0,"Dentro das regras que a ficha confere",$GF16&amp;IF(AND($GG16&gt;0,$GI16&gt;0)," · ","")&amp;$GH16))</f>
        <v/>
      </c>
      <c r="GL16" s="141">
        <f>IF($EF16=0,"",IF($DU16=1,CEILING(4.5*$DW16,1),3*$DW16)&amp;" PE")</f>
        <v/>
      </c>
      <c r="GM16" s="141">
        <f>IF($EF16=0,"",IF($DU16=1,"Rodada inteira",IF(COUNTIF($EX16:$EY16,"Atrasar")&gt;0,IF(COUNTIF($EX16:$EY16,"Carregar")&gt;0,"Rodada +1 turno","Rodada inteira"),IF(COUNTIF($DZ16:$EC16,"Rápido")&gt;0,"Bônus",IF(COUNTIF($DZ16:$EC16,"Reação")&gt;0,"Reação","Padrão"))&amp;IF(COUNTIF($EX16:$EY16,"Carregar")&gt;0," +1 turno",""))))</f>
        <v/>
      </c>
      <c r="GN16" s="141">
        <f>IF(OR($EF16=0,$EG16=0),"",IF(COUNTIF($DZ16:$EC16,"Inescapável")&gt;0,"Automático",IF(COUNTIF($DZ16:$EC16,"Certeiro")&gt;0,"TR para metade",INDEX($AF$2:$AF$11,$EG16))))</f>
        <v/>
      </c>
      <c r="GO16" s="141">
        <f>IF(OR($EF16=0,$EG16=0),"",IF(OR($ET16&gt;=2,$FP16=0),UPPER(LEFT(INDEX($FY16:$GE16,1,$DW16),1))&amp;MID(INDEX($FY16:$GE16,1,$DW16),2,99),UPPER(LEFT(INDEX($FY16:$GE16,1,$DW16),1))&amp;MID(INDEX($FY16:$GE16,1,$DW16),2,99)&amp;" = "&amp;FLOOR($FP16*4.5,1)&amp;IF($FQ16&gt;0," · +"&amp;$FQ16&amp;"d8","")))</f>
        <v/>
      </c>
      <c r="GP16" s="141">
        <f>COUNTIF($DZ16:$EC16,"Longe")+3*COUNTIF($DZ16:$EC16,"Muito Longe")</f>
        <v/>
      </c>
      <c r="GQ16" s="141">
        <f>COUNTIF($DZ16:$EC16,"Maior")+3*COUNTIF($DZ16:$EC16,"Muito Maior")</f>
        <v/>
      </c>
      <c r="GR16" s="141">
        <f>IF($EG16=0,0,CHOOSE(1+INDEX($AH$2:$AH$11,$EG16),0,$GP16,$GQ16,$GP16+$GQ16))</f>
        <v/>
      </c>
      <c r="GS16" s="141">
        <f>IF($EG16=0,0,CHOOSE(1+INDEX($AI$2:$AI$11,$EG16),0,$GP16,$GQ16,$GP16+$GQ16))</f>
        <v/>
      </c>
      <c r="GT16" s="141">
        <f>IF(OR($EF16=0,$EG16=0),"",INDEX($AP$2:$AU$31,($EG16-1)*3+IF($DW16&gt;=6,3,2),1+MIN(5,$GR16))&amp;INDEX($AV$2:$BA$31,($EG16-1)*3+IF($DW16&gt;=6,3,2),1+MIN(5,$GS16))&amp;IF(INDEX($AJ$2:$AJ$11,$EG16)=1,IF(COUNTIF($DZ16:$EC16,"Mais Um")&gt;0," · +"&amp;COUNTIF($DZ16:$EC16,"Mais Um")&amp;IF(COUNTIF($DZ16:$EC16,"Mais Um")&gt;1," alvos"," alvo"),"")&amp;IF(COUNTIF($DZ16:$EC16,"Rajada")&gt;0," · "&amp;($DW16+1)&amp;" tiros",""),""))</f>
        <v/>
      </c>
      <c r="GU16" s="141">
        <f>IF($EF16=0,"",3*$DW16&amp;" − "&amp;$FJ16&amp;" + "&amp;$FM16&amp;IF($DU16=1," + "&amp;$DW16,"")&amp;" = "&amp;$FP16&amp;"d8 · teto "&amp;4*$DW16&amp;IF($ES16=1," · a Forma devolve "&amp;$DW16,"")&amp;IF($FN16&gt;0," · perde "&amp;$FN16,""))</f>
        <v/>
      </c>
      <c r="GV16" s="141">
        <f>IF($EF16=0,"",IF($DW16&gt;=$HE$4,"Já está na maior Classe que o nível liberou",TEXTJOIN(" · ",TRUE,IF(AND(2&gt;$DW16,2&lt;=$HE$4),"2 → "&amp;$FZ16&amp;", "&amp;IF($DU16=1,9,6)&amp;" PE",""),IF(AND(3&gt;$DW16,3&lt;=$HE$4),"3 → "&amp;$GA16&amp;", "&amp;IF($DU16=1,14,9)&amp;" PE",""),IF(AND(4&gt;$DW16,4&lt;=$HE$4),"4 → "&amp;$GB16&amp;", "&amp;IF($DU16=1,18,12)&amp;" PE",""),IF(AND(5&gt;$DW16,5&lt;=$HE$4),"5 → "&amp;$GC16&amp;", "&amp;IF($DU16=1,23,15)&amp;" PE",""),IF(AND(6&gt;$DW16,6&lt;=$HE$4),"6 → "&amp;$GD16&amp;", "&amp;IF($DU16=1,27,18)&amp;" PE",""),IF(AND(7&gt;$DW16,7&lt;=$HE$4),"7 → "&amp;$GE16&amp;", "&amp;IF($DU16=1,32,21)&amp;" PE",""))))</f>
        <v/>
      </c>
      <c r="GW16" s="141">
        <f>IF(OR($EF16=0,$EI16=0),"","−"&amp;INDEX($Q$2:$V$8,$DW16,$EI16)&amp;" · "&amp;CHOOSE($EI16,"Leve","Média","Pesada","Leve · Livre","Média · Livre","Pesada · Livre"))</f>
        <v/>
      </c>
      <c r="GX16" s="141">
        <f>IF(OR($EF16=0,$EJ16=0),"","−"&amp;INDEX($Q$2:$V$8,$DW16,$EJ16)&amp;" · "&amp;CHOOSE($EJ16,"Leve","Média","Pesada","Leve · Livre","Média · Livre","Pesada · Livre"))</f>
        <v/>
      </c>
      <c r="GY16" s="141">
        <f>IF(OR($EF16=0,$EK16=0),"","−"&amp;INDEX($Q$2:$V$8,$DW16,$EK16)&amp;" · "&amp;CHOOSE($EK16,"Leve","Média","Pesada","Leve · Livre","Média · Livre","Pesada · Livre"))</f>
        <v/>
      </c>
      <c r="GZ16" s="141">
        <f>IF(OR($EF16=0,$EL16=0),"","−"&amp;INDEX($Q$2:$V$8,$DW16,$EL16)&amp;" · "&amp;CHOOSE($EL16,"Leve","Média","Pesada","Leve · Livre","Média · Livre","Pesada · Livre"))</f>
        <v/>
      </c>
      <c r="HA16" s="141">
        <f>IF(OR($EF16=0,$ED16=""),"","+"&amp;IF($EV16=1,CEILING($DW16/2,1),$DW16))</f>
        <v/>
      </c>
      <c r="HB16" s="141">
        <f>IF(OR($EF16=0,$EE16=""),"","+"&amp;IF($EW16=1,CEILING($DW16/2,1),$DW16))</f>
        <v/>
      </c>
      <c r="HD16" s="114" t="inlineStr">
        <is>
          <t>classe passiva da regra própria</t>
        </is>
      </c>
      <c r="HE16" s="141">
        <f>N('FICHA AMALDIÇOADA'!$P$33)</f>
        <v/>
      </c>
      <c r="IJ16" s="114" t="inlineStr">
        <is>
          <t>R33</t>
        </is>
      </c>
      <c r="IK16" s="141">
        <f>IF(DADOS_AM!$HE$16=0,"—",IF(IFERROR(VLOOKUP(DADOS_AM!$HE$16,DADOS_AM!$BY$2:$BZ$4,2,FALSE),0)&gt;DADOS_AM!$HE$2,"⚠ Nível "&amp;VLOOKUP(DADOS_AM!$HE$16,DADOS_AM!$BY$2:$BZ$4,2,FALSE),IF(DADOS_AM!$HE$16&gt;1,DADOS_AM!$HE$16-1,"De graça")))</f>
        <v/>
      </c>
    </row>
    <row r="17">
      <c r="C17" s="114" t="inlineStr">
        <is>
          <t>nome da rota</t>
        </is>
      </c>
      <c r="D17" s="114" t="inlineStr">
        <is>
          <t>Fundamento</t>
        </is>
      </c>
      <c r="E17" s="114" t="inlineStr">
        <is>
          <t>Sem Técnica</t>
        </is>
      </c>
      <c r="F17" s="114" t="inlineStr">
        <is>
          <t>Técnica Marcial com energia</t>
        </is>
      </c>
      <c r="G17" s="114" t="inlineStr">
        <is>
          <t>Técnica Marcial sem energia</t>
        </is>
      </c>
      <c r="AO17" s="114" t="inlineStr">
        <is>
          <t>Linha · classe 0</t>
        </is>
      </c>
      <c r="AP17" s="114" t="inlineStr">
        <is>
          <t>Linha de 9 m por 1,5 m</t>
        </is>
      </c>
      <c r="AQ17" s="114" t="inlineStr">
        <is>
          <t>Linha de 18 m por 1,5 m</t>
        </is>
      </c>
      <c r="AR17" s="114" t="inlineStr">
        <is>
          <t>Linha de 30 m por 1,5 m</t>
        </is>
      </c>
      <c r="AS17" s="114" t="inlineStr">
        <is>
          <t>Linha de 60 m por 1,5 m</t>
        </is>
      </c>
      <c r="AT17" s="114" t="inlineStr">
        <is>
          <t>Linha de 60 m por 1,5 m</t>
        </is>
      </c>
      <c r="AU17" s="114" t="inlineStr">
        <is>
          <t>Linha de 60 m por 1,5 m</t>
        </is>
      </c>
      <c r="AV17" s="114" t="inlineStr"/>
      <c r="AW17" s="114" t="inlineStr"/>
      <c r="AX17" s="114" t="inlineStr"/>
      <c r="AY17" s="114" t="inlineStr"/>
      <c r="AZ17" s="114" t="inlineStr"/>
      <c r="BA17" s="114" t="inlineStr"/>
      <c r="BC17" s="114" t="inlineStr">
        <is>
          <t>Precisão</t>
        </is>
      </c>
      <c r="BD17" s="114" t="inlineStr">
        <is>
          <t>Mira</t>
        </is>
      </c>
      <c r="BE17" s="141" t="n">
        <v>1</v>
      </c>
      <c r="BF17" s="141">
        <f>$BE17+3*IFERROR(VLOOKUP($BD17,$I$2:$L$10,3,FALSE),0)</f>
        <v/>
      </c>
      <c r="BG17" s="141">
        <f>IFERROR(VLOOKUP($BD17,$I$2:$L$10,4,FALSE),0)</f>
        <v/>
      </c>
      <c r="BH17" s="141" t="n">
        <v>0</v>
      </c>
      <c r="BI17" s="141">
        <f>IF($BG17=1,"",$BC17)</f>
        <v/>
      </c>
      <c r="BJ17" s="141">
        <f>IF(AND($BE17=1,$BG17=0),$BC17,"")</f>
        <v/>
      </c>
      <c r="BL17" s="114" t="inlineStr">
        <is>
          <t>Barulho</t>
        </is>
      </c>
      <c r="BM17" s="114" t="inlineStr">
        <is>
          <t>Barulho</t>
        </is>
      </c>
      <c r="BN17" s="141" t="n">
        <v>1</v>
      </c>
      <c r="BO17" s="141" t="n">
        <v>0</v>
      </c>
      <c r="BP17" s="114" t="inlineStr">
        <is>
          <t>Barulho</t>
        </is>
      </c>
      <c r="BR17" s="114" t="inlineStr">
        <is>
          <t>Reserva Profunda</t>
        </is>
      </c>
      <c r="BS17" s="141" t="n">
        <v>3</v>
      </c>
      <c r="BT17" s="114" t="inlineStr">
        <is>
          <t>Seu PE máximo sobe em 3 × a sua maior Classe.</t>
        </is>
      </c>
      <c r="BU17" s="141" t="n">
        <v>1</v>
      </c>
      <c r="BV17" s="141" t="n">
        <v>0</v>
      </c>
      <c r="BW17" s="141">
        <f>IF(OR(AND($A$2&lt;=2,$BU17=1),AND($A$2&gt;=2,$BV17=1)),$BR17,"")</f>
        <v/>
      </c>
      <c r="CB17" s="114" t="inlineStr">
        <is>
          <t>Aptidão Própria (CP 2)</t>
        </is>
      </c>
      <c r="CC17" s="114" t="inlineStr">
        <is>
          <t>uma vez na ficha inteira</t>
        </is>
      </c>
      <c r="CD17" s="141" t="n">
        <v>2</v>
      </c>
      <c r="CE17" s="114" t="inlineStr">
        <is>
          <t>Conforme o que for escrito</t>
        </is>
      </c>
      <c r="CF17" s="114"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CG17" s="141">
        <f>IF($CJ17=1,"",IF($A$2=4,IF($CH17=1,$CB17,""),IF(OR($CH17=1,AND($A$2=3,$CI17=1)),"",$CB17)))</f>
        <v/>
      </c>
      <c r="CH17" s="141" t="n">
        <v>0</v>
      </c>
      <c r="CI17" s="141" t="n">
        <v>0</v>
      </c>
      <c r="CJ17" s="141" t="n">
        <v>0</v>
      </c>
      <c r="DT17" s="114" t="inlineStr">
        <is>
          <t>Feitiço 16</t>
        </is>
      </c>
      <c r="DU17" s="141" t="n">
        <v>0</v>
      </c>
      <c r="DV17" s="141" t="n">
        <v>16</v>
      </c>
      <c r="DW17" s="141">
        <f>MAX(1,MIN(7,N('FICHA AMALDIÇOADA'!$D$158)))</f>
        <v/>
      </c>
      <c r="DX17" s="141">
        <f>'FICHA AMALDIÇOADA'!$E$158&amp;""</f>
        <v/>
      </c>
      <c r="DY17" s="141">
        <f>'FICHA AMALDIÇOADA'!$D$165&amp;""</f>
        <v/>
      </c>
      <c r="DZ17" s="141">
        <f>'FICHA AMALDIÇOADA'!$E$167&amp;""</f>
        <v/>
      </c>
      <c r="EA17" s="141">
        <f>'FICHA AMALDIÇOADA'!$E$168&amp;""</f>
        <v/>
      </c>
      <c r="EB17" s="141">
        <f>'FICHA AMALDIÇOADA'!$E$169&amp;""</f>
        <v/>
      </c>
      <c r="EC17" s="141">
        <f>'FICHA AMALDIÇOADA'!$E$170&amp;""</f>
        <v/>
      </c>
      <c r="ED17" s="141">
        <f>'FICHA AMALDIÇOADA'!$E$171&amp;""</f>
        <v/>
      </c>
      <c r="EE17" s="141">
        <f>'FICHA AMALDIÇOADA'!$E$172&amp;""</f>
        <v/>
      </c>
      <c r="EF17" s="141">
        <f>IF($DX17&lt;&gt;"",1,0)</f>
        <v/>
      </c>
      <c r="EG17" s="141">
        <f>IFERROR(MATCH($DY17,$Y$2:$Y$11,0),0)</f>
        <v/>
      </c>
      <c r="EH17" s="141">
        <f>IF($EG17=0,0,INDEX($AB$2:$AB$11,$EG17))</f>
        <v/>
      </c>
      <c r="EI17" s="141">
        <f>IFERROR(VLOOKUP($DZ17,$BC$2:$BJ$84,4,FALSE),0)</f>
        <v/>
      </c>
      <c r="EJ17" s="141">
        <f>IFERROR(VLOOKUP($EA17,$BC$2:$BJ$84,4,FALSE),0)</f>
        <v/>
      </c>
      <c r="EK17" s="141">
        <f>IFERROR(VLOOKUP($EB17,$BC$2:$BJ$84,4,FALSE),0)</f>
        <v/>
      </c>
      <c r="EL17" s="141">
        <f>IFERROR(VLOOKUP($EC17,$BC$2:$BJ$84,4,FALSE),0)</f>
        <v/>
      </c>
      <c r="EM17" s="141">
        <f>IF($EG17=0,0,INDEX($AC$2:$AC$11,$EG17))</f>
        <v/>
      </c>
      <c r="EN17" s="141">
        <f>IFERROR(VLOOKUP($DZ17,$BC$2:$BJ$84,5,FALSE),0)</f>
        <v/>
      </c>
      <c r="EO17" s="141">
        <f>IFERROR(VLOOKUP($EA17,$BC$2:$BJ$84,5,FALSE),0)</f>
        <v/>
      </c>
      <c r="EP17" s="141">
        <f>IFERROR(VLOOKUP($EB17,$BC$2:$BJ$84,5,FALSE),0)</f>
        <v/>
      </c>
      <c r="EQ17" s="141">
        <f>IFERROR(VLOOKUP($EC17,$BC$2:$BJ$84,5,FALSE),0)</f>
        <v/>
      </c>
      <c r="ER17" s="141">
        <f>IFERROR(VLOOKUP($DZ17,$BC$2:$BJ$84,6,FALSE),0)+IFERROR(VLOOKUP($EA17,$BC$2:$BJ$84,6,FALSE),0)+IFERROR(VLOOKUP($EB17,$BC$2:$BJ$84,6,FALSE),0)+IFERROR(VLOOKUP($EC17,$BC$2:$BJ$84,6,FALSE),0)</f>
        <v/>
      </c>
      <c r="ES17" s="141">
        <f>IF($EG17=0,0,INDEX($AD$2:$AD$11,$EG17))</f>
        <v/>
      </c>
      <c r="ET17" s="141">
        <f>IF($EG17=0,0,INDEX($AE$2:$AE$11,$EG17))</f>
        <v/>
      </c>
      <c r="EU17" s="141">
        <f>IF($EG17=0,0,INDEX($AG$2:$AG$11,$EG17))</f>
        <v/>
      </c>
      <c r="EV17" s="141">
        <f>IFERROR(VLOOKUP($ED17,$BL$2:$BP$24,3,FALSE),0)</f>
        <v/>
      </c>
      <c r="EW17" s="141">
        <f>IFERROR(VLOOKUP($EE17,$BL$2:$BP$24,3,FALSE),0)</f>
        <v/>
      </c>
      <c r="EX17" s="141">
        <f>IFERROR(VLOOKUP($ED17,$BL$2:$BP$24,2,FALSE),"")</f>
        <v/>
      </c>
      <c r="EY17" s="141">
        <f>IFERROR(VLOOKUP($EE17,$BL$2:$BP$24,2,FALSE),"")</f>
        <v/>
      </c>
      <c r="EZ17" s="141">
        <f>COUNTIF($EH17:$EL17,1)</f>
        <v/>
      </c>
      <c r="FA17" s="141">
        <f>COUNTIF($EH17:$EL17,2)</f>
        <v/>
      </c>
      <c r="FB17" s="141">
        <f>COUNTIF($EH17:$EL17,3)</f>
        <v/>
      </c>
      <c r="FC17" s="141">
        <f>COUNTIF($EH17:$EL17,4)</f>
        <v/>
      </c>
      <c r="FD17" s="141">
        <f>COUNTIF($EH17:$EL17,5)</f>
        <v/>
      </c>
      <c r="FE17" s="141">
        <f>COUNTIF($EH17:$EL17,6)</f>
        <v/>
      </c>
      <c r="FF17" s="141">
        <f>COUNTIF($EV17:$EW17,1)</f>
        <v/>
      </c>
      <c r="FG17" s="141">
        <f>COUNTIF($EV17:$EW17,2)+$ES17</f>
        <v/>
      </c>
      <c r="FH17" s="141">
        <f>COUNTIF($DZ17:$EC17,"?*")</f>
        <v/>
      </c>
      <c r="FI17" s="141">
        <f>COUNTIF($ED17:$EE17,"?*")+$ES17</f>
        <v/>
      </c>
      <c r="FJ17" s="141">
        <f>SUMPRODUCT($EZ17:$FE17,INDEX($Q$2:$V$8,$DW17,0))</f>
        <v/>
      </c>
      <c r="FK17" s="141">
        <f>$FF17*CEILING($DW17/2,1)+$FG17*$DW17</f>
        <v/>
      </c>
      <c r="FL17" s="141">
        <f>MIN(2*$DW17,$FK17)</f>
        <v/>
      </c>
      <c r="FM17" s="141">
        <f>MIN($FL17,$FJ17)</f>
        <v/>
      </c>
      <c r="FN17" s="141">
        <f>$FL17-$FM17</f>
        <v/>
      </c>
      <c r="FO17" s="141">
        <f>3*$DW17-$FJ17+$FM17</f>
        <v/>
      </c>
      <c r="FP17" s="141">
        <f>MAX(0,$FO17)+$DU17*$DW17</f>
        <v/>
      </c>
      <c r="FQ17" s="141">
        <f>(IF(COUNTIF($DZ17:$EC17,"Salto")&gt;0,1,0)+IF(COUNTIF($DZ17:$EC17,"Queima")&gt;0,1,0))*FLOOR($FP17/2,1)</f>
        <v/>
      </c>
      <c r="FR17" s="141">
        <f>MAX(0,3-SUMPRODUCT($EZ17:$FE17,$Q$2:$V$2)+MIN(2,$FF17*1+$FG17*1,SUMPRODUCT($EZ17:$FE17,$Q$2:$V$2)))+$DU17*1</f>
        <v/>
      </c>
      <c r="FS17" s="141">
        <f>MAX(0,6-SUMPRODUCT($EZ17:$FE17,$Q$3:$V$3)+MIN(4,$FF17*1+$FG17*2,SUMPRODUCT($EZ17:$FE17,$Q$3:$V$3)))+$DU17*2</f>
        <v/>
      </c>
      <c r="FT17" s="141">
        <f>MAX(0,9-SUMPRODUCT($EZ17:$FE17,$Q$4:$V$4)+MIN(6,$FF17*2+$FG17*3,SUMPRODUCT($EZ17:$FE17,$Q$4:$V$4)))+$DU17*3</f>
        <v/>
      </c>
      <c r="FU17" s="141">
        <f>MAX(0,12-SUMPRODUCT($EZ17:$FE17,$Q$5:$V$5)+MIN(8,$FF17*2+$FG17*4,SUMPRODUCT($EZ17:$FE17,$Q$5:$V$5)))+$DU17*4</f>
        <v/>
      </c>
      <c r="FV17" s="141">
        <f>MAX(0,15-SUMPRODUCT($EZ17:$FE17,$Q$6:$V$6)+MIN(10,$FF17*3+$FG17*5,SUMPRODUCT($EZ17:$FE17,$Q$6:$V$6)))+$DU17*5</f>
        <v/>
      </c>
      <c r="FW17" s="141">
        <f>MAX(0,18-SUMPRODUCT($EZ17:$FE17,$Q$7:$V$7)+MIN(12,$FF17*3+$FG17*6,SUMPRODUCT($EZ17:$FE17,$Q$7:$V$7)))+$DU17*6</f>
        <v/>
      </c>
      <c r="FX17" s="141">
        <f>MAX(0,21-SUMPRODUCT($EZ17:$FE17,$Q$8:$V$8)+MIN(14,$FF17*4+$FG17*7,SUMPRODUCT($EZ17:$FE17,$Q$8:$V$8)))+$DU17*7</f>
        <v/>
      </c>
      <c r="FY17" s="141">
        <f>IF($ET17=2,3*$FR17&amp;" de vida temp.",IF($ET17=3,"sem dano",IF($FR17=0,IF($ET17=1,"sem cura","sem dano"),IF($ET17=1,"cura ","")&amp;$FR17&amp;"d8")))</f>
        <v/>
      </c>
      <c r="FZ17" s="141">
        <f>IF($ET17=2,3*$FS17&amp;" de vida temp.",IF($ET17=3,"sem dano",IF($FS17=0,IF($ET17=1,"sem cura","sem dano"),IF($ET17=1,"cura ","")&amp;$FS17&amp;"d8")))</f>
        <v/>
      </c>
      <c r="GA17" s="141">
        <f>IF($ET17=2,3*$FT17&amp;" de vida temp.",IF($ET17=3,"sem dano",IF($FT17=0,IF($ET17=1,"sem cura","sem dano"),IF($ET17=1,"cura ","")&amp;$FT17&amp;"d8")))</f>
        <v/>
      </c>
      <c r="GB17" s="141">
        <f>IF($ET17=2,3*$FU17&amp;" de vida temp.",IF($ET17=3,"sem dano",IF($FU17=0,IF($ET17=1,"sem cura","sem dano"),IF($ET17=1,"cura ","")&amp;$FU17&amp;"d8")))</f>
        <v/>
      </c>
      <c r="GC17" s="141">
        <f>IF($ET17=2,3*$FV17&amp;" de vida temp.",IF($ET17=3,"sem dano",IF($FV17=0,IF($ET17=1,"sem cura","sem dano"),IF($ET17=1,"cura ","")&amp;$FV17&amp;"d8")))</f>
        <v/>
      </c>
      <c r="GD17" s="141">
        <f>IF($ET17=2,3*$FW17&amp;" de vida temp.",IF($ET17=3,"sem dano",IF($FW17=0,IF($ET17=1,"sem cura","sem dano"),IF($ET17=1,"cura ","")&amp;$FW17&amp;"d8")))</f>
        <v/>
      </c>
      <c r="GE17" s="141">
        <f>IF($ET17=2,3*$FX17&amp;" de vida temp.",IF($ET17=3,"sem dano",IF($FX17=0,IF($ET17=1,"sem cura","sem dano"),IF($ET17=1,"cura ","")&amp;$FX17&amp;"d8")))</f>
        <v/>
      </c>
      <c r="GF17" s="141">
        <f>IF($EF17=0,"",TEXTJOIN(" · ",TRUE,IF(AND($DU17=1,$DV17&gt;$HE$9),"O nível "&amp;$HE$2&amp;" dá "&amp;$HE$9&amp;" Liberação Máxima",""),IF($DW17&gt;$HE$4,"Classe "&amp;$DW17&amp;": o nível "&amp;$HE$2&amp;" libera até a "&amp;$HE$4,""),IF($EM17=1,"Família Fechada: a Forma "&amp;$DY17,""),IF($EN17=1,"Família Fechada: "&amp;$DZ17,""),IF($EO17=1,"Família Fechada: "&amp;$EA17,""),IF($EP17=1,"Família Fechada: "&amp;$EB17,""),IF($EQ17=1,"Família Fechada: "&amp;$EC17,""),IF($FH17&gt;INDEX($W$2:$W$8,$DW17),$FH17&amp;" Melhorias: a Classe "&amp;$DW17&amp;" aceita "&amp;INDEX($W$2:$W$8,$DW17),""),IF($FI17&gt;2,$FI17&amp;" Restrições"&amp;IF($ES17=1,", contando a que a Forma "&amp;$DY17&amp;" já traz","")&amp;": o limite é 2",""),IF($FO17&lt;0,"Orçamento estourado: faltam "&amp;(-$FO17)&amp;IF($FO17&lt;-1," pontos"," ponto"),""),IF(IFERROR(VLOOKUP($ED17,$BL$2:$BP$24,4,FALSE),0)+IFERROR(VLOOKUP($EE17,$BL$2:$BP$24,4,FALSE),0)&gt;1,$EX17&amp;" e "&amp;$EY17&amp;" são as duas de frequência",""),IF(AND((COUNTIF($DZ17:$EC17,"Rápido")+COUNTIF($EX17:$EY17,"Rápido"))&gt;0,(COUNTIF($DZ17:$EC17,"Reação")+COUNTIF($EX17:$EY17,"Reação"))&gt;0),"Rápido não entra com Reação",""),IF(AND((COUNTIF($DZ17:$EC17,"Rápido")+COUNTIF($EX17:$EY17,"Rápido"))&gt;0,(COUNTIF($DZ17:$EC17,"Atrasar")+COUNTIF($EX17:$EY17,"Atrasar"))&gt;0),"Rápido não entra com Atrasar",""),IF(AND((COUNTIF($DZ17:$EC17,"Reação")+COUNTIF($EX17:$EY17,"Reação"))&gt;0,(COUNTIF($DZ17:$EC17,"Atrasar")+COUNTIF($EX17:$EY17,"Atrasar"))&gt;0),"Reação não entra com Atrasar",""),IF(AND((COUNTIF($DZ17:$EC17,"Reação")+COUNTIF($EX17:$EY17,"Reação"))&gt;0,(COUNTIF($DZ17:$EC17,"Parado")+COUNTIF($EX17:$EY17,"Parado"))&gt;0),"Reação não entra com Parado",""),IF(AND(COUNTIF($EX17:$EY17,"Corpo a Corpo")&gt;0,$ES17=0,OR($DY17="Cone",$DY17="Linha")),"Corpo a Corpo não entra em "&amp;$DY17,""),IF(AND(COUNTIF($EX17:$EY17,"Corpo a Corpo")&gt;0,$ES17=1),"A Forma "&amp;$DY17&amp;" já traz o Corpo a Corpo",""),IF(AND(COUNTIF($EX17:$EY17,"Tudo ou Nada")&gt;0,$EU17=0),"Tudo ou Nada só entra em feitiço de Teste de Resistência",""),IF(AND(COUNTIF($DZ17:$EC17,"Inescapável")&gt;0,OR($FH17&gt;1,$FI17&gt;0)),"Inescapável não aceita outra peça",""),IF(AND($DU17=1,$DW17&lt;3),"Liberação Máxima é de Classe 3 ou mais",""),IF(AND($DU17=1,OR($ET17=1,$ET17=2)),"Liberação Máxima não serve para cura",""),IF(AND($DU17=1,COUNTIF($DZ17:$EC17,"Inescapável")+COUNTIF($DZ17:$EC17,"Toca a Alma")&gt;0),"Esta peça não entra numa Liberação Máxima",""),IF($FP17+$FQ17&gt;4*$DW17,($FP17+$FQ17)&amp;" dados somando alvos e repetições: o teto da Classe "&amp;$DW17&amp;" é "&amp;4*$DW17,"")))</f>
        <v/>
      </c>
      <c r="GG17" s="141">
        <f>IF($GF17="",0,(LEN($GF17)-LEN(SUBSTITUTE($GF17," · ","")))/3+1)</f>
        <v/>
      </c>
      <c r="GH17" s="141">
        <f>IF($EF17=0,"",TEXTJOIN(" · ",TRUE,IF($FK17&gt;2*$DW17,"A devolução parou no teto de "&amp;2*$DW17,""),IF($FN17&gt;0,"Devolução perdida: "&amp;$FN17&amp;IF($FN17&gt;1," pontos"," ponto")&amp;" sem peça para pagar",""),IF(AND($ER17&gt;0,$FP17=0),"Controle sem dano: uma rodada a mais e CD +2",""),IF(AND($ER17&gt;0,$FP17&gt;0,$FP17&lt;=$DW17),"Controle com um quarto do teto: uma rodada a mais","")))</f>
        <v/>
      </c>
      <c r="GI17" s="141">
        <f>IF($GH17="",0,(LEN($GH17)-LEN(SUBSTITUTE($GH17," · ","")))/3+1)</f>
        <v/>
      </c>
      <c r="GJ17" s="141">
        <f>IF($EF17=0,IF($FH17+$FI17-$ES17&gt;0,"Dê um nome",""),IF($GG17&gt;0,"⚠ "&amp;$GG17&amp;IF($GG17&gt;1," erros"," erro"),IF($GI17&gt;0,"! "&amp;$GI17&amp;IF($GI17&gt;1," avisos"," aviso"),"Na regra")))</f>
        <v/>
      </c>
      <c r="GK17" s="141">
        <f>IF($EF17=0,"",IF($GG17+$GI17=0,"Dentro das regras que a ficha confere",$GF17&amp;IF(AND($GG17&gt;0,$GI17&gt;0)," · ","")&amp;$GH17))</f>
        <v/>
      </c>
      <c r="GL17" s="141">
        <f>IF($EF17=0,"",IF($DU17=1,CEILING(4.5*$DW17,1),3*$DW17)&amp;" PE")</f>
        <v/>
      </c>
      <c r="GM17" s="141">
        <f>IF($EF17=0,"",IF($DU17=1,"Rodada inteira",IF(COUNTIF($EX17:$EY17,"Atrasar")&gt;0,IF(COUNTIF($EX17:$EY17,"Carregar")&gt;0,"Rodada +1 turno","Rodada inteira"),IF(COUNTIF($DZ17:$EC17,"Rápido")&gt;0,"Bônus",IF(COUNTIF($DZ17:$EC17,"Reação")&gt;0,"Reação","Padrão"))&amp;IF(COUNTIF($EX17:$EY17,"Carregar")&gt;0," +1 turno",""))))</f>
        <v/>
      </c>
      <c r="GN17" s="141">
        <f>IF(OR($EF17=0,$EG17=0),"",IF(COUNTIF($DZ17:$EC17,"Inescapável")&gt;0,"Automático",IF(COUNTIF($DZ17:$EC17,"Certeiro")&gt;0,"TR para metade",INDEX($AF$2:$AF$11,$EG17))))</f>
        <v/>
      </c>
      <c r="GO17" s="141">
        <f>IF(OR($EF17=0,$EG17=0),"",IF(OR($ET17&gt;=2,$FP17=0),UPPER(LEFT(INDEX($FY17:$GE17,1,$DW17),1))&amp;MID(INDEX($FY17:$GE17,1,$DW17),2,99),UPPER(LEFT(INDEX($FY17:$GE17,1,$DW17),1))&amp;MID(INDEX($FY17:$GE17,1,$DW17),2,99)&amp;" = "&amp;FLOOR($FP17*4.5,1)&amp;IF($FQ17&gt;0," · +"&amp;$FQ17&amp;"d8","")))</f>
        <v/>
      </c>
      <c r="GP17" s="141">
        <f>COUNTIF($DZ17:$EC17,"Longe")+3*COUNTIF($DZ17:$EC17,"Muito Longe")</f>
        <v/>
      </c>
      <c r="GQ17" s="141">
        <f>COUNTIF($DZ17:$EC17,"Maior")+3*COUNTIF($DZ17:$EC17,"Muito Maior")</f>
        <v/>
      </c>
      <c r="GR17" s="141">
        <f>IF($EG17=0,0,CHOOSE(1+INDEX($AH$2:$AH$11,$EG17),0,$GP17,$GQ17,$GP17+$GQ17))</f>
        <v/>
      </c>
      <c r="GS17" s="141">
        <f>IF($EG17=0,0,CHOOSE(1+INDEX($AI$2:$AI$11,$EG17),0,$GP17,$GQ17,$GP17+$GQ17))</f>
        <v/>
      </c>
      <c r="GT17" s="141">
        <f>IF(OR($EF17=0,$EG17=0),"",INDEX($AP$2:$AU$31,($EG17-1)*3+IF($DW17&gt;=6,3,2),1+MIN(5,$GR17))&amp;INDEX($AV$2:$BA$31,($EG17-1)*3+IF($DW17&gt;=6,3,2),1+MIN(5,$GS17))&amp;IF(INDEX($AJ$2:$AJ$11,$EG17)=1,IF(COUNTIF($DZ17:$EC17,"Mais Um")&gt;0," · +"&amp;COUNTIF($DZ17:$EC17,"Mais Um")&amp;IF(COUNTIF($DZ17:$EC17,"Mais Um")&gt;1," alvos"," alvo"),"")&amp;IF(COUNTIF($DZ17:$EC17,"Rajada")&gt;0," · "&amp;($DW17+1)&amp;" tiros",""),""))</f>
        <v/>
      </c>
      <c r="GU17" s="141">
        <f>IF($EF17=0,"",3*$DW17&amp;" − "&amp;$FJ17&amp;" + "&amp;$FM17&amp;IF($DU17=1," + "&amp;$DW17,"")&amp;" = "&amp;$FP17&amp;"d8 · teto "&amp;4*$DW17&amp;IF($ES17=1," · a Forma devolve "&amp;$DW17,"")&amp;IF($FN17&gt;0," · perde "&amp;$FN17,""))</f>
        <v/>
      </c>
      <c r="GV17" s="141">
        <f>IF($EF17=0,"",IF($DW17&gt;=$HE$4,"Já está na maior Classe que o nível liberou",TEXTJOIN(" · ",TRUE,IF(AND(2&gt;$DW17,2&lt;=$HE$4),"2 → "&amp;$FZ17&amp;", "&amp;IF($DU17=1,9,6)&amp;" PE",""),IF(AND(3&gt;$DW17,3&lt;=$HE$4),"3 → "&amp;$GA17&amp;", "&amp;IF($DU17=1,14,9)&amp;" PE",""),IF(AND(4&gt;$DW17,4&lt;=$HE$4),"4 → "&amp;$GB17&amp;", "&amp;IF($DU17=1,18,12)&amp;" PE",""),IF(AND(5&gt;$DW17,5&lt;=$HE$4),"5 → "&amp;$GC17&amp;", "&amp;IF($DU17=1,23,15)&amp;" PE",""),IF(AND(6&gt;$DW17,6&lt;=$HE$4),"6 → "&amp;$GD17&amp;", "&amp;IF($DU17=1,27,18)&amp;" PE",""),IF(AND(7&gt;$DW17,7&lt;=$HE$4),"7 → "&amp;$GE17&amp;", "&amp;IF($DU17=1,32,21)&amp;" PE",""))))</f>
        <v/>
      </c>
      <c r="GW17" s="141">
        <f>IF(OR($EF17=0,$EI17=0),"","−"&amp;INDEX($Q$2:$V$8,$DW17,$EI17)&amp;" · "&amp;CHOOSE($EI17,"Leve","Média","Pesada","Leve · Livre","Média · Livre","Pesada · Livre"))</f>
        <v/>
      </c>
      <c r="GX17" s="141">
        <f>IF(OR($EF17=0,$EJ17=0),"","−"&amp;INDEX($Q$2:$V$8,$DW17,$EJ17)&amp;" · "&amp;CHOOSE($EJ17,"Leve","Média","Pesada","Leve · Livre","Média · Livre","Pesada · Livre"))</f>
        <v/>
      </c>
      <c r="GY17" s="141">
        <f>IF(OR($EF17=0,$EK17=0),"","−"&amp;INDEX($Q$2:$V$8,$DW17,$EK17)&amp;" · "&amp;CHOOSE($EK17,"Leve","Média","Pesada","Leve · Livre","Média · Livre","Pesada · Livre"))</f>
        <v/>
      </c>
      <c r="GZ17" s="141">
        <f>IF(OR($EF17=0,$EL17=0),"","−"&amp;INDEX($Q$2:$V$8,$DW17,$EL17)&amp;" · "&amp;CHOOSE($EL17,"Leve","Média","Pesada","Leve · Livre","Média · Livre","Pesada · Livre"))</f>
        <v/>
      </c>
      <c r="HA17" s="141">
        <f>IF(OR($EF17=0,$ED17=""),"","+"&amp;IF($EV17=1,CEILING($DW17/2,1),$DW17))</f>
        <v/>
      </c>
      <c r="HB17" s="141">
        <f>IF(OR($EF17=0,$EE17=""),"","+"&amp;IF($EW17=1,CEILING($DW17/2,1),$DW17))</f>
        <v/>
      </c>
      <c r="HD17" s="114" t="inlineStr">
        <is>
          <t>espaços da regra própria</t>
        </is>
      </c>
      <c r="HE17" s="141">
        <f>MAX(0,$HE$16-1)</f>
        <v/>
      </c>
      <c r="IJ17" s="114" t="inlineStr">
        <is>
          <t>Q37</t>
        </is>
      </c>
      <c r="IK17" s="141">
        <f>IF(OR(DADOS_AM!$HE$30&lt;&gt;2,DADOS_AM!$HE$31&lt;&gt;3),"⚠ ","")&amp;DADOS_AM!$HE$30&amp;" de 2 · "&amp;DADOS_AM!$HE$31&amp;" de 3"</f>
        <v/>
      </c>
    </row>
    <row r="18">
      <c r="AO18" s="114" t="inlineStr">
        <is>
          <t>Linha · classes 1 a 5</t>
        </is>
      </c>
      <c r="AP18" s="114" t="inlineStr">
        <is>
          <t>Linha de 18 m por 1,5 m</t>
        </is>
      </c>
      <c r="AQ18" s="114" t="inlineStr">
        <is>
          <t>Linha de 30 m por 1,5 m</t>
        </is>
      </c>
      <c r="AR18" s="114" t="inlineStr">
        <is>
          <t>Linha de 60 m por 1,5 m</t>
        </is>
      </c>
      <c r="AS18" s="114" t="inlineStr">
        <is>
          <t>Linha de 60 m por 1,5 m</t>
        </is>
      </c>
      <c r="AT18" s="114" t="inlineStr">
        <is>
          <t>Linha de 60 m por 1,5 m</t>
        </is>
      </c>
      <c r="AU18" s="114" t="inlineStr">
        <is>
          <t>Linha de 60 m por 1,5 m</t>
        </is>
      </c>
      <c r="AV18" s="114" t="inlineStr"/>
      <c r="AW18" s="114" t="inlineStr"/>
      <c r="AX18" s="114" t="inlineStr"/>
      <c r="AY18" s="114" t="inlineStr"/>
      <c r="AZ18" s="114" t="inlineStr"/>
      <c r="BA18" s="114" t="inlineStr"/>
      <c r="BC18" s="114" t="inlineStr">
        <is>
          <t>Certeiro</t>
        </is>
      </c>
      <c r="BD18" s="114" t="inlineStr">
        <is>
          <t>Mira</t>
        </is>
      </c>
      <c r="BE18" s="141" t="n">
        <v>2</v>
      </c>
      <c r="BF18" s="141">
        <f>$BE18+3*IFERROR(VLOOKUP($BD18,$I$2:$L$10,3,FALSE),0)</f>
        <v/>
      </c>
      <c r="BG18" s="141">
        <f>IFERROR(VLOOKUP($BD18,$I$2:$L$10,4,FALSE),0)</f>
        <v/>
      </c>
      <c r="BH18" s="141" t="n">
        <v>0</v>
      </c>
      <c r="BI18" s="141">
        <f>IF($BG18=1,"",$BC18)</f>
        <v/>
      </c>
      <c r="BJ18" s="141">
        <f>IF(AND($BE18=1,$BG18=0),$BC18,"")</f>
        <v/>
      </c>
      <c r="BL18" s="114" t="inlineStr">
        <is>
          <t>Assinatura</t>
        </is>
      </c>
      <c r="BM18" s="114" t="inlineStr">
        <is>
          <t>Assinatura</t>
        </is>
      </c>
      <c r="BN18" s="141" t="n">
        <v>1</v>
      </c>
      <c r="BO18" s="141" t="n">
        <v>0</v>
      </c>
      <c r="BP18" s="114" t="inlineStr">
        <is>
          <t>Assinatura</t>
        </is>
      </c>
      <c r="BR18" s="114" t="inlineStr">
        <is>
          <t>Passiva Própria (CP 1)</t>
        </is>
      </c>
      <c r="BS18" s="141" t="n">
        <v>1</v>
      </c>
      <c r="BT18" s="114" t="inlineStr">
        <is>
          <t>Qualquer outra coisa, montada com o mestre na escala das outras entradas desta tabela. Escreva a sua na caixa de baixo.</t>
        </is>
      </c>
      <c r="BU18" s="141" t="n">
        <v>1</v>
      </c>
      <c r="BV18" s="141" t="n">
        <v>1</v>
      </c>
      <c r="BW18" s="141">
        <f>IF(OR(AND($A$2&lt;=2,$BU18=1),AND($A$2&gt;=2,$BV18=1)),$BR18,"")</f>
        <v/>
      </c>
      <c r="CB18" s="114" t="inlineStr">
        <is>
          <t>Defesa sem Armadura</t>
        </is>
      </c>
      <c r="CC18" s="114" t="inlineStr">
        <is>
          <t>grátis na Lapidação 1</t>
        </is>
      </c>
      <c r="CD18" s="114" t="inlineStr">
        <is>
          <t>—</t>
        </is>
      </c>
      <c r="CE18" s="114" t="inlineStr">
        <is>
          <t>A proteção e a Redução de Dano da Reação</t>
        </is>
      </c>
      <c r="CF18" s="114" t="inlineStr">
        <is>
          <t>Sem Traje e sem Revestimento, a sua proteção é 1/3 da Lapidação + 1. Escudo soma com ela. Como Reação: Redução de Dano de 1,5 × Lapidação num golpe, por 2 PE. Você fica sem proteção até o fim do seu próximo turno. Barreira de energia não segura você. Barreira Simples e Cortina não detectam nem impedem você. Expansão de Domínio. O Acerto garantido de uma Expansão completa não alcança você. O Efeito continua acontecendo em volta, e uma Expansão incompleta funciona normalmente, porque o Acerto dela precisa de uma rolagem: ela não busca alvos com base em energia.</t>
        </is>
      </c>
      <c r="CG18" s="141">
        <f>IF($CJ18=1,"",IF($A$2=4,IF($CH18=1,$CB18,""),IF(OR($CH18=1,AND($A$2=3,$CI18=1)),"",$CB18)))</f>
        <v/>
      </c>
      <c r="CH18" s="141" t="n">
        <v>1</v>
      </c>
      <c r="CI18" s="141" t="n">
        <v>0</v>
      </c>
      <c r="CJ18" s="141" t="n">
        <v>1</v>
      </c>
      <c r="DT18" s="114" t="inlineStr">
        <is>
          <t>Feitiço 17</t>
        </is>
      </c>
      <c r="DU18" s="141" t="n">
        <v>0</v>
      </c>
      <c r="DV18" s="141" t="n">
        <v>17</v>
      </c>
      <c r="DW18" s="141">
        <f>MAX(1,MIN(7,N('FICHA AMALDIÇOADA'!$J$158)))</f>
        <v/>
      </c>
      <c r="DX18" s="141">
        <f>'FICHA AMALDIÇOADA'!$K$158&amp;""</f>
        <v/>
      </c>
      <c r="DY18" s="141">
        <f>'FICHA AMALDIÇOADA'!$J$165&amp;""</f>
        <v/>
      </c>
      <c r="DZ18" s="141">
        <f>'FICHA AMALDIÇOADA'!$K$167&amp;""</f>
        <v/>
      </c>
      <c r="EA18" s="141">
        <f>'FICHA AMALDIÇOADA'!$K$168&amp;""</f>
        <v/>
      </c>
      <c r="EB18" s="141">
        <f>'FICHA AMALDIÇOADA'!$K$169&amp;""</f>
        <v/>
      </c>
      <c r="EC18" s="141">
        <f>'FICHA AMALDIÇOADA'!$K$170&amp;""</f>
        <v/>
      </c>
      <c r="ED18" s="141">
        <f>'FICHA AMALDIÇOADA'!$K$171&amp;""</f>
        <v/>
      </c>
      <c r="EE18" s="141">
        <f>'FICHA AMALDIÇOADA'!$K$172&amp;""</f>
        <v/>
      </c>
      <c r="EF18" s="141">
        <f>IF($DX18&lt;&gt;"",1,0)</f>
        <v/>
      </c>
      <c r="EG18" s="141">
        <f>IFERROR(MATCH($DY18,$Y$2:$Y$11,0),0)</f>
        <v/>
      </c>
      <c r="EH18" s="141">
        <f>IF($EG18=0,0,INDEX($AB$2:$AB$11,$EG18))</f>
        <v/>
      </c>
      <c r="EI18" s="141">
        <f>IFERROR(VLOOKUP($DZ18,$BC$2:$BJ$84,4,FALSE),0)</f>
        <v/>
      </c>
      <c r="EJ18" s="141">
        <f>IFERROR(VLOOKUP($EA18,$BC$2:$BJ$84,4,FALSE),0)</f>
        <v/>
      </c>
      <c r="EK18" s="141">
        <f>IFERROR(VLOOKUP($EB18,$BC$2:$BJ$84,4,FALSE),0)</f>
        <v/>
      </c>
      <c r="EL18" s="141">
        <f>IFERROR(VLOOKUP($EC18,$BC$2:$BJ$84,4,FALSE),0)</f>
        <v/>
      </c>
      <c r="EM18" s="141">
        <f>IF($EG18=0,0,INDEX($AC$2:$AC$11,$EG18))</f>
        <v/>
      </c>
      <c r="EN18" s="141">
        <f>IFERROR(VLOOKUP($DZ18,$BC$2:$BJ$84,5,FALSE),0)</f>
        <v/>
      </c>
      <c r="EO18" s="141">
        <f>IFERROR(VLOOKUP($EA18,$BC$2:$BJ$84,5,FALSE),0)</f>
        <v/>
      </c>
      <c r="EP18" s="141">
        <f>IFERROR(VLOOKUP($EB18,$BC$2:$BJ$84,5,FALSE),0)</f>
        <v/>
      </c>
      <c r="EQ18" s="141">
        <f>IFERROR(VLOOKUP($EC18,$BC$2:$BJ$84,5,FALSE),0)</f>
        <v/>
      </c>
      <c r="ER18" s="141">
        <f>IFERROR(VLOOKUP($DZ18,$BC$2:$BJ$84,6,FALSE),0)+IFERROR(VLOOKUP($EA18,$BC$2:$BJ$84,6,FALSE),0)+IFERROR(VLOOKUP($EB18,$BC$2:$BJ$84,6,FALSE),0)+IFERROR(VLOOKUP($EC18,$BC$2:$BJ$84,6,FALSE),0)</f>
        <v/>
      </c>
      <c r="ES18" s="141">
        <f>IF($EG18=0,0,INDEX($AD$2:$AD$11,$EG18))</f>
        <v/>
      </c>
      <c r="ET18" s="141">
        <f>IF($EG18=0,0,INDEX($AE$2:$AE$11,$EG18))</f>
        <v/>
      </c>
      <c r="EU18" s="141">
        <f>IF($EG18=0,0,INDEX($AG$2:$AG$11,$EG18))</f>
        <v/>
      </c>
      <c r="EV18" s="141">
        <f>IFERROR(VLOOKUP($ED18,$BL$2:$BP$24,3,FALSE),0)</f>
        <v/>
      </c>
      <c r="EW18" s="141">
        <f>IFERROR(VLOOKUP($EE18,$BL$2:$BP$24,3,FALSE),0)</f>
        <v/>
      </c>
      <c r="EX18" s="141">
        <f>IFERROR(VLOOKUP($ED18,$BL$2:$BP$24,2,FALSE),"")</f>
        <v/>
      </c>
      <c r="EY18" s="141">
        <f>IFERROR(VLOOKUP($EE18,$BL$2:$BP$24,2,FALSE),"")</f>
        <v/>
      </c>
      <c r="EZ18" s="141">
        <f>COUNTIF($EH18:$EL18,1)</f>
        <v/>
      </c>
      <c r="FA18" s="141">
        <f>COUNTIF($EH18:$EL18,2)</f>
        <v/>
      </c>
      <c r="FB18" s="141">
        <f>COUNTIF($EH18:$EL18,3)</f>
        <v/>
      </c>
      <c r="FC18" s="141">
        <f>COUNTIF($EH18:$EL18,4)</f>
        <v/>
      </c>
      <c r="FD18" s="141">
        <f>COUNTIF($EH18:$EL18,5)</f>
        <v/>
      </c>
      <c r="FE18" s="141">
        <f>COUNTIF($EH18:$EL18,6)</f>
        <v/>
      </c>
      <c r="FF18" s="141">
        <f>COUNTIF($EV18:$EW18,1)</f>
        <v/>
      </c>
      <c r="FG18" s="141">
        <f>COUNTIF($EV18:$EW18,2)+$ES18</f>
        <v/>
      </c>
      <c r="FH18" s="141">
        <f>COUNTIF($DZ18:$EC18,"?*")</f>
        <v/>
      </c>
      <c r="FI18" s="141">
        <f>COUNTIF($ED18:$EE18,"?*")+$ES18</f>
        <v/>
      </c>
      <c r="FJ18" s="141">
        <f>SUMPRODUCT($EZ18:$FE18,INDEX($Q$2:$V$8,$DW18,0))</f>
        <v/>
      </c>
      <c r="FK18" s="141">
        <f>$FF18*CEILING($DW18/2,1)+$FG18*$DW18</f>
        <v/>
      </c>
      <c r="FL18" s="141">
        <f>MIN(2*$DW18,$FK18)</f>
        <v/>
      </c>
      <c r="FM18" s="141">
        <f>MIN($FL18,$FJ18)</f>
        <v/>
      </c>
      <c r="FN18" s="141">
        <f>$FL18-$FM18</f>
        <v/>
      </c>
      <c r="FO18" s="141">
        <f>3*$DW18-$FJ18+$FM18</f>
        <v/>
      </c>
      <c r="FP18" s="141">
        <f>MAX(0,$FO18)+$DU18*$DW18</f>
        <v/>
      </c>
      <c r="FQ18" s="141">
        <f>(IF(COUNTIF($DZ18:$EC18,"Salto")&gt;0,1,0)+IF(COUNTIF($DZ18:$EC18,"Queima")&gt;0,1,0))*FLOOR($FP18/2,1)</f>
        <v/>
      </c>
      <c r="FR18" s="141">
        <f>MAX(0,3-SUMPRODUCT($EZ18:$FE18,$Q$2:$V$2)+MIN(2,$FF18*1+$FG18*1,SUMPRODUCT($EZ18:$FE18,$Q$2:$V$2)))+$DU18*1</f>
        <v/>
      </c>
      <c r="FS18" s="141">
        <f>MAX(0,6-SUMPRODUCT($EZ18:$FE18,$Q$3:$V$3)+MIN(4,$FF18*1+$FG18*2,SUMPRODUCT($EZ18:$FE18,$Q$3:$V$3)))+$DU18*2</f>
        <v/>
      </c>
      <c r="FT18" s="141">
        <f>MAX(0,9-SUMPRODUCT($EZ18:$FE18,$Q$4:$V$4)+MIN(6,$FF18*2+$FG18*3,SUMPRODUCT($EZ18:$FE18,$Q$4:$V$4)))+$DU18*3</f>
        <v/>
      </c>
      <c r="FU18" s="141">
        <f>MAX(0,12-SUMPRODUCT($EZ18:$FE18,$Q$5:$V$5)+MIN(8,$FF18*2+$FG18*4,SUMPRODUCT($EZ18:$FE18,$Q$5:$V$5)))+$DU18*4</f>
        <v/>
      </c>
      <c r="FV18" s="141">
        <f>MAX(0,15-SUMPRODUCT($EZ18:$FE18,$Q$6:$V$6)+MIN(10,$FF18*3+$FG18*5,SUMPRODUCT($EZ18:$FE18,$Q$6:$V$6)))+$DU18*5</f>
        <v/>
      </c>
      <c r="FW18" s="141">
        <f>MAX(0,18-SUMPRODUCT($EZ18:$FE18,$Q$7:$V$7)+MIN(12,$FF18*3+$FG18*6,SUMPRODUCT($EZ18:$FE18,$Q$7:$V$7)))+$DU18*6</f>
        <v/>
      </c>
      <c r="FX18" s="141">
        <f>MAX(0,21-SUMPRODUCT($EZ18:$FE18,$Q$8:$V$8)+MIN(14,$FF18*4+$FG18*7,SUMPRODUCT($EZ18:$FE18,$Q$8:$V$8)))+$DU18*7</f>
        <v/>
      </c>
      <c r="FY18" s="141">
        <f>IF($ET18=2,3*$FR18&amp;" de vida temp.",IF($ET18=3,"sem dano",IF($FR18=0,IF($ET18=1,"sem cura","sem dano"),IF($ET18=1,"cura ","")&amp;$FR18&amp;"d8")))</f>
        <v/>
      </c>
      <c r="FZ18" s="141">
        <f>IF($ET18=2,3*$FS18&amp;" de vida temp.",IF($ET18=3,"sem dano",IF($FS18=0,IF($ET18=1,"sem cura","sem dano"),IF($ET18=1,"cura ","")&amp;$FS18&amp;"d8")))</f>
        <v/>
      </c>
      <c r="GA18" s="141">
        <f>IF($ET18=2,3*$FT18&amp;" de vida temp.",IF($ET18=3,"sem dano",IF($FT18=0,IF($ET18=1,"sem cura","sem dano"),IF($ET18=1,"cura ","")&amp;$FT18&amp;"d8")))</f>
        <v/>
      </c>
      <c r="GB18" s="141">
        <f>IF($ET18=2,3*$FU18&amp;" de vida temp.",IF($ET18=3,"sem dano",IF($FU18=0,IF($ET18=1,"sem cura","sem dano"),IF($ET18=1,"cura ","")&amp;$FU18&amp;"d8")))</f>
        <v/>
      </c>
      <c r="GC18" s="141">
        <f>IF($ET18=2,3*$FV18&amp;" de vida temp.",IF($ET18=3,"sem dano",IF($FV18=0,IF($ET18=1,"sem cura","sem dano"),IF($ET18=1,"cura ","")&amp;$FV18&amp;"d8")))</f>
        <v/>
      </c>
      <c r="GD18" s="141">
        <f>IF($ET18=2,3*$FW18&amp;" de vida temp.",IF($ET18=3,"sem dano",IF($FW18=0,IF($ET18=1,"sem cura","sem dano"),IF($ET18=1,"cura ","")&amp;$FW18&amp;"d8")))</f>
        <v/>
      </c>
      <c r="GE18" s="141">
        <f>IF($ET18=2,3*$FX18&amp;" de vida temp.",IF($ET18=3,"sem dano",IF($FX18=0,IF($ET18=1,"sem cura","sem dano"),IF($ET18=1,"cura ","")&amp;$FX18&amp;"d8")))</f>
        <v/>
      </c>
      <c r="GF18" s="141">
        <f>IF($EF18=0,"",TEXTJOIN(" · ",TRUE,IF(AND($DU18=1,$DV18&gt;$HE$9),"O nível "&amp;$HE$2&amp;" dá "&amp;$HE$9&amp;" Liberação Máxima",""),IF($DW18&gt;$HE$4,"Classe "&amp;$DW18&amp;": o nível "&amp;$HE$2&amp;" libera até a "&amp;$HE$4,""),IF($EM18=1,"Família Fechada: a Forma "&amp;$DY18,""),IF($EN18=1,"Família Fechada: "&amp;$DZ18,""),IF($EO18=1,"Família Fechada: "&amp;$EA18,""),IF($EP18=1,"Família Fechada: "&amp;$EB18,""),IF($EQ18=1,"Família Fechada: "&amp;$EC18,""),IF($FH18&gt;INDEX($W$2:$W$8,$DW18),$FH18&amp;" Melhorias: a Classe "&amp;$DW18&amp;" aceita "&amp;INDEX($W$2:$W$8,$DW18),""),IF($FI18&gt;2,$FI18&amp;" Restrições"&amp;IF($ES18=1,", contando a que a Forma "&amp;$DY18&amp;" já traz","")&amp;": o limite é 2",""),IF($FO18&lt;0,"Orçamento estourado: faltam "&amp;(-$FO18)&amp;IF($FO18&lt;-1," pontos"," ponto"),""),IF(IFERROR(VLOOKUP($ED18,$BL$2:$BP$24,4,FALSE),0)+IFERROR(VLOOKUP($EE18,$BL$2:$BP$24,4,FALSE),0)&gt;1,$EX18&amp;" e "&amp;$EY18&amp;" são as duas de frequência",""),IF(AND((COUNTIF($DZ18:$EC18,"Rápido")+COUNTIF($EX18:$EY18,"Rápido"))&gt;0,(COUNTIF($DZ18:$EC18,"Reação")+COUNTIF($EX18:$EY18,"Reação"))&gt;0),"Rápido não entra com Reação",""),IF(AND((COUNTIF($DZ18:$EC18,"Rápido")+COUNTIF($EX18:$EY18,"Rápido"))&gt;0,(COUNTIF($DZ18:$EC18,"Atrasar")+COUNTIF($EX18:$EY18,"Atrasar"))&gt;0),"Rápido não entra com Atrasar",""),IF(AND((COUNTIF($DZ18:$EC18,"Reação")+COUNTIF($EX18:$EY18,"Reação"))&gt;0,(COUNTIF($DZ18:$EC18,"Atrasar")+COUNTIF($EX18:$EY18,"Atrasar"))&gt;0),"Reação não entra com Atrasar",""),IF(AND((COUNTIF($DZ18:$EC18,"Reação")+COUNTIF($EX18:$EY18,"Reação"))&gt;0,(COUNTIF($DZ18:$EC18,"Parado")+COUNTIF($EX18:$EY18,"Parado"))&gt;0),"Reação não entra com Parado",""),IF(AND(COUNTIF($EX18:$EY18,"Corpo a Corpo")&gt;0,$ES18=0,OR($DY18="Cone",$DY18="Linha")),"Corpo a Corpo não entra em "&amp;$DY18,""),IF(AND(COUNTIF($EX18:$EY18,"Corpo a Corpo")&gt;0,$ES18=1),"A Forma "&amp;$DY18&amp;" já traz o Corpo a Corpo",""),IF(AND(COUNTIF($EX18:$EY18,"Tudo ou Nada")&gt;0,$EU18=0),"Tudo ou Nada só entra em feitiço de Teste de Resistência",""),IF(AND(COUNTIF($DZ18:$EC18,"Inescapável")&gt;0,OR($FH18&gt;1,$FI18&gt;0)),"Inescapável não aceita outra peça",""),IF(AND($DU18=1,$DW18&lt;3),"Liberação Máxima é de Classe 3 ou mais",""),IF(AND($DU18=1,OR($ET18=1,$ET18=2)),"Liberação Máxima não serve para cura",""),IF(AND($DU18=1,COUNTIF($DZ18:$EC18,"Inescapável")+COUNTIF($DZ18:$EC18,"Toca a Alma")&gt;0),"Esta peça não entra numa Liberação Máxima",""),IF($FP18+$FQ18&gt;4*$DW18,($FP18+$FQ18)&amp;" dados somando alvos e repetições: o teto da Classe "&amp;$DW18&amp;" é "&amp;4*$DW18,"")))</f>
        <v/>
      </c>
      <c r="GG18" s="141">
        <f>IF($GF18="",0,(LEN($GF18)-LEN(SUBSTITUTE($GF18," · ","")))/3+1)</f>
        <v/>
      </c>
      <c r="GH18" s="141">
        <f>IF($EF18=0,"",TEXTJOIN(" · ",TRUE,IF($FK18&gt;2*$DW18,"A devolução parou no teto de "&amp;2*$DW18,""),IF($FN18&gt;0,"Devolução perdida: "&amp;$FN18&amp;IF($FN18&gt;1," pontos"," ponto")&amp;" sem peça para pagar",""),IF(AND($ER18&gt;0,$FP18=0),"Controle sem dano: uma rodada a mais e CD +2",""),IF(AND($ER18&gt;0,$FP18&gt;0,$FP18&lt;=$DW18),"Controle com um quarto do teto: uma rodada a mais","")))</f>
        <v/>
      </c>
      <c r="GI18" s="141">
        <f>IF($GH18="",0,(LEN($GH18)-LEN(SUBSTITUTE($GH18," · ","")))/3+1)</f>
        <v/>
      </c>
      <c r="GJ18" s="141">
        <f>IF($EF18=0,IF($FH18+$FI18-$ES18&gt;0,"Dê um nome",""),IF($GG18&gt;0,"⚠ "&amp;$GG18&amp;IF($GG18&gt;1," erros"," erro"),IF($GI18&gt;0,"! "&amp;$GI18&amp;IF($GI18&gt;1," avisos"," aviso"),"Na regra")))</f>
        <v/>
      </c>
      <c r="GK18" s="141">
        <f>IF($EF18=0,"",IF($GG18+$GI18=0,"Dentro das regras que a ficha confere",$GF18&amp;IF(AND($GG18&gt;0,$GI18&gt;0)," · ","")&amp;$GH18))</f>
        <v/>
      </c>
      <c r="GL18" s="141">
        <f>IF($EF18=0,"",IF($DU18=1,CEILING(4.5*$DW18,1),3*$DW18)&amp;" PE")</f>
        <v/>
      </c>
      <c r="GM18" s="141">
        <f>IF($EF18=0,"",IF($DU18=1,"Rodada inteira",IF(COUNTIF($EX18:$EY18,"Atrasar")&gt;0,IF(COUNTIF($EX18:$EY18,"Carregar")&gt;0,"Rodada +1 turno","Rodada inteira"),IF(COUNTIF($DZ18:$EC18,"Rápido")&gt;0,"Bônus",IF(COUNTIF($DZ18:$EC18,"Reação")&gt;0,"Reação","Padrão"))&amp;IF(COUNTIF($EX18:$EY18,"Carregar")&gt;0," +1 turno",""))))</f>
        <v/>
      </c>
      <c r="GN18" s="141">
        <f>IF(OR($EF18=0,$EG18=0),"",IF(COUNTIF($DZ18:$EC18,"Inescapável")&gt;0,"Automático",IF(COUNTIF($DZ18:$EC18,"Certeiro")&gt;0,"TR para metade",INDEX($AF$2:$AF$11,$EG18))))</f>
        <v/>
      </c>
      <c r="GO18" s="141">
        <f>IF(OR($EF18=0,$EG18=0),"",IF(OR($ET18&gt;=2,$FP18=0),UPPER(LEFT(INDEX($FY18:$GE18,1,$DW18),1))&amp;MID(INDEX($FY18:$GE18,1,$DW18),2,99),UPPER(LEFT(INDEX($FY18:$GE18,1,$DW18),1))&amp;MID(INDEX($FY18:$GE18,1,$DW18),2,99)&amp;" = "&amp;FLOOR($FP18*4.5,1)&amp;IF($FQ18&gt;0," · +"&amp;$FQ18&amp;"d8","")))</f>
        <v/>
      </c>
      <c r="GP18" s="141">
        <f>COUNTIF($DZ18:$EC18,"Longe")+3*COUNTIF($DZ18:$EC18,"Muito Longe")</f>
        <v/>
      </c>
      <c r="GQ18" s="141">
        <f>COUNTIF($DZ18:$EC18,"Maior")+3*COUNTIF($DZ18:$EC18,"Muito Maior")</f>
        <v/>
      </c>
      <c r="GR18" s="141">
        <f>IF($EG18=0,0,CHOOSE(1+INDEX($AH$2:$AH$11,$EG18),0,$GP18,$GQ18,$GP18+$GQ18))</f>
        <v/>
      </c>
      <c r="GS18" s="141">
        <f>IF($EG18=0,0,CHOOSE(1+INDEX($AI$2:$AI$11,$EG18),0,$GP18,$GQ18,$GP18+$GQ18))</f>
        <v/>
      </c>
      <c r="GT18" s="141">
        <f>IF(OR($EF18=0,$EG18=0),"",INDEX($AP$2:$AU$31,($EG18-1)*3+IF($DW18&gt;=6,3,2),1+MIN(5,$GR18))&amp;INDEX($AV$2:$BA$31,($EG18-1)*3+IF($DW18&gt;=6,3,2),1+MIN(5,$GS18))&amp;IF(INDEX($AJ$2:$AJ$11,$EG18)=1,IF(COUNTIF($DZ18:$EC18,"Mais Um")&gt;0," · +"&amp;COUNTIF($DZ18:$EC18,"Mais Um")&amp;IF(COUNTIF($DZ18:$EC18,"Mais Um")&gt;1," alvos"," alvo"),"")&amp;IF(COUNTIF($DZ18:$EC18,"Rajada")&gt;0," · "&amp;($DW18+1)&amp;" tiros",""),""))</f>
        <v/>
      </c>
      <c r="GU18" s="141">
        <f>IF($EF18=0,"",3*$DW18&amp;" − "&amp;$FJ18&amp;" + "&amp;$FM18&amp;IF($DU18=1," + "&amp;$DW18,"")&amp;" = "&amp;$FP18&amp;"d8 · teto "&amp;4*$DW18&amp;IF($ES18=1," · a Forma devolve "&amp;$DW18,"")&amp;IF($FN18&gt;0," · perde "&amp;$FN18,""))</f>
        <v/>
      </c>
      <c r="GV18" s="141">
        <f>IF($EF18=0,"",IF($DW18&gt;=$HE$4,"Já está na maior Classe que o nível liberou",TEXTJOIN(" · ",TRUE,IF(AND(2&gt;$DW18,2&lt;=$HE$4),"2 → "&amp;$FZ18&amp;", "&amp;IF($DU18=1,9,6)&amp;" PE",""),IF(AND(3&gt;$DW18,3&lt;=$HE$4),"3 → "&amp;$GA18&amp;", "&amp;IF($DU18=1,14,9)&amp;" PE",""),IF(AND(4&gt;$DW18,4&lt;=$HE$4),"4 → "&amp;$GB18&amp;", "&amp;IF($DU18=1,18,12)&amp;" PE",""),IF(AND(5&gt;$DW18,5&lt;=$HE$4),"5 → "&amp;$GC18&amp;", "&amp;IF($DU18=1,23,15)&amp;" PE",""),IF(AND(6&gt;$DW18,6&lt;=$HE$4),"6 → "&amp;$GD18&amp;", "&amp;IF($DU18=1,27,18)&amp;" PE",""),IF(AND(7&gt;$DW18,7&lt;=$HE$4),"7 → "&amp;$GE18&amp;", "&amp;IF($DU18=1,32,21)&amp;" PE",""))))</f>
        <v/>
      </c>
      <c r="GW18" s="141">
        <f>IF(OR($EF18=0,$EI18=0),"","−"&amp;INDEX($Q$2:$V$8,$DW18,$EI18)&amp;" · "&amp;CHOOSE($EI18,"Leve","Média","Pesada","Leve · Livre","Média · Livre","Pesada · Livre"))</f>
        <v/>
      </c>
      <c r="GX18" s="141">
        <f>IF(OR($EF18=0,$EJ18=0),"","−"&amp;INDEX($Q$2:$V$8,$DW18,$EJ18)&amp;" · "&amp;CHOOSE($EJ18,"Leve","Média","Pesada","Leve · Livre","Média · Livre","Pesada · Livre"))</f>
        <v/>
      </c>
      <c r="GY18" s="141">
        <f>IF(OR($EF18=0,$EK18=0),"","−"&amp;INDEX($Q$2:$V$8,$DW18,$EK18)&amp;" · "&amp;CHOOSE($EK18,"Leve","Média","Pesada","Leve · Livre","Média · Livre","Pesada · Livre"))</f>
        <v/>
      </c>
      <c r="GZ18" s="141">
        <f>IF(OR($EF18=0,$EL18=0),"","−"&amp;INDEX($Q$2:$V$8,$DW18,$EL18)&amp;" · "&amp;CHOOSE($EL18,"Leve","Média","Pesada","Leve · Livre","Média · Livre","Pesada · Livre"))</f>
        <v/>
      </c>
      <c r="HA18" s="141">
        <f>IF(OR($EF18=0,$ED18=""),"","+"&amp;IF($EV18=1,CEILING($DW18/2,1),$DW18))</f>
        <v/>
      </c>
      <c r="HB18" s="141">
        <f>IF(OR($EF18=0,$EE18=""),"","+"&amp;IF($EW18=1,CEILING($DW18/2,1),$DW18))</f>
        <v/>
      </c>
      <c r="HD18" s="114" t="inlineStr">
        <is>
          <t>espaços em passivas</t>
        </is>
      </c>
      <c r="HE18" s="141">
        <f>IFERROR(VLOOKUP('FICHA AMALDIÇOADA'!$D$379,$BR$2:$BW$24,2,FALSE),0)+IFERROR(VLOOKUP('FICHA AMALDIÇOADA'!$J$379,$BR$2:$BW$24,2,FALSE),0)+IFERROR(VLOOKUP('FICHA AMALDIÇOADA'!$P$379,$BR$2:$BW$24,2,FALSE),0)+IFERROR(VLOOKUP('FICHA AMALDIÇOADA'!$D$387,$BR$2:$BW$24,2,FALSE),0)+IFERROR(VLOOKUP('FICHA AMALDIÇOADA'!$J$387,$BR$2:$BW$24,2,FALSE),0)+$HE$17</f>
        <v/>
      </c>
      <c r="IJ18" s="114" t="inlineStr">
        <is>
          <t>J42</t>
        </is>
      </c>
      <c r="IK18" s="141">
        <f>"+"&amp;DADOS_AM!$HE$8</f>
        <v/>
      </c>
    </row>
    <row r="19">
      <c r="AO19" s="114" t="inlineStr">
        <is>
          <t>Linha · classes 6 e 7</t>
        </is>
      </c>
      <c r="AP19" s="114" t="inlineStr">
        <is>
          <t>Linha de 30 m por 1,5 m</t>
        </is>
      </c>
      <c r="AQ19" s="114" t="inlineStr">
        <is>
          <t>Linha de 60 m por 1,5 m</t>
        </is>
      </c>
      <c r="AR19" s="114" t="inlineStr">
        <is>
          <t>Linha de 60 m por 1,5 m</t>
        </is>
      </c>
      <c r="AS19" s="114" t="inlineStr">
        <is>
          <t>Linha de 60 m por 1,5 m</t>
        </is>
      </c>
      <c r="AT19" s="114" t="inlineStr">
        <is>
          <t>Linha de 60 m por 1,5 m</t>
        </is>
      </c>
      <c r="AU19" s="114" t="inlineStr">
        <is>
          <t>Linha de 60 m por 1,5 m</t>
        </is>
      </c>
      <c r="AV19" s="114" t="inlineStr"/>
      <c r="AW19" s="114" t="inlineStr"/>
      <c r="AX19" s="114" t="inlineStr"/>
      <c r="AY19" s="114" t="inlineStr"/>
      <c r="AZ19" s="114" t="inlineStr"/>
      <c r="BA19" s="114" t="inlineStr"/>
      <c r="BC19" s="114" t="inlineStr">
        <is>
          <t>Inescapável</t>
        </is>
      </c>
      <c r="BD19" s="114" t="inlineStr">
        <is>
          <t>Mira</t>
        </is>
      </c>
      <c r="BE19" s="141" t="n">
        <v>2</v>
      </c>
      <c r="BF19" s="141">
        <f>$BE19+3*IFERROR(VLOOKUP($BD19,$I$2:$L$10,3,FALSE),0)</f>
        <v/>
      </c>
      <c r="BG19" s="141">
        <f>IFERROR(VLOOKUP($BD19,$I$2:$L$10,4,FALSE),0)</f>
        <v/>
      </c>
      <c r="BH19" s="141" t="n">
        <v>0</v>
      </c>
      <c r="BI19" s="141">
        <f>IF($BG19=1,"",$BC19)</f>
        <v/>
      </c>
      <c r="BJ19" s="141">
        <f>IF(AND($BE19=1,$BG19=0),$BC19,"")</f>
        <v/>
      </c>
      <c r="BL19" s="114" t="inlineStr">
        <is>
          <t>Aquecer</t>
        </is>
      </c>
      <c r="BM19" s="114" t="inlineStr">
        <is>
          <t>Aquecer</t>
        </is>
      </c>
      <c r="BN19" s="141" t="n">
        <v>1</v>
      </c>
      <c r="BO19" s="141" t="n">
        <v>1</v>
      </c>
      <c r="BP19" s="114" t="inlineStr">
        <is>
          <t>Aquecer</t>
        </is>
      </c>
      <c r="BR19" s="114" t="inlineStr">
        <is>
          <t>Passiva Própria (CP 2)</t>
        </is>
      </c>
      <c r="BS19" s="141" t="n">
        <v>2</v>
      </c>
      <c r="BT19" s="114" t="inlineStr">
        <is>
          <t>Qualquer outra coisa, montada com o mestre na escala das outras entradas desta tabela. Escreva a sua na caixa de baixo.</t>
        </is>
      </c>
      <c r="BU19" s="141" t="n">
        <v>1</v>
      </c>
      <c r="BV19" s="141" t="n">
        <v>1</v>
      </c>
      <c r="BW19" s="141">
        <f>IF(OR(AND($A$2&lt;=2,$BU19=1),AND($A$2&gt;=2,$BV19=1)),$BR19,"")</f>
        <v/>
      </c>
      <c r="CB19" s="114" t="inlineStr">
        <is>
          <t>Estímulo Muscular</t>
        </is>
      </c>
      <c r="CC19" s="114" t="inlineStr">
        <is>
          <t>grátis na Lapidação 1</t>
        </is>
      </c>
      <c r="CD19" s="114" t="inlineStr">
        <is>
          <t>—</t>
        </is>
      </c>
      <c r="CE19" s="114" t="inlineStr">
        <is>
          <t>O dano na arma e o número de usos</t>
        </is>
      </c>
      <c r="CF19" s="114" t="inlineStr">
        <is>
          <t>Escolha uma perícia e um Teste de Resistência na criação. Usos. 1× por cena, e 2× se a sua Lapidação for 10. Cada uso dá vantagem numa rolagem de um dos dois escolhidos. Dano na arma. Os seus ataques com arma causam 1d4 de dano a mais a cada 3 pontos de Lapidação — 1d4 na Lapidação 1, 2d4 na 3, 3d4 na 6, 4d4 na 9. Na Lapidação 10 os dados viram d6: 4d6. Só arma. Ele não entra em Kata nenhuma. E se o mesmo ataque já estiver carregando uma Kata de dano de Classe 0 ou mais, este dano não se soma por cima — é o caso do Ferrão, o nível 27 da Estocada, em que o golpe leva uma junto. Nesta rota o degrau de Trilha entrega Kata e não feitiço, e o capítulo 8, Caminhos e Trilhas, diz isso na abertura.</t>
        </is>
      </c>
      <c r="CG19" s="141">
        <f>IF($CJ19=1,"",IF($A$2=4,IF($CH19=1,$CB19,""),IF(OR($CH19=1,AND($A$2=3,$CI19=1)),"",$CB19)))</f>
        <v/>
      </c>
      <c r="CH19" s="141" t="n">
        <v>1</v>
      </c>
      <c r="CI19" s="141" t="n">
        <v>0</v>
      </c>
      <c r="CJ19" s="141" t="n">
        <v>1</v>
      </c>
      <c r="DT19" s="114" t="inlineStr">
        <is>
          <t>Feitiço 18</t>
        </is>
      </c>
      <c r="DU19" s="141" t="n">
        <v>0</v>
      </c>
      <c r="DV19" s="141" t="n">
        <v>18</v>
      </c>
      <c r="DW19" s="141">
        <f>MAX(1,MIN(7,N('FICHA AMALDIÇOADA'!$P$158)))</f>
        <v/>
      </c>
      <c r="DX19" s="141">
        <f>'FICHA AMALDIÇOADA'!$Q$158&amp;""</f>
        <v/>
      </c>
      <c r="DY19" s="141">
        <f>'FICHA AMALDIÇOADA'!$P$165&amp;""</f>
        <v/>
      </c>
      <c r="DZ19" s="141">
        <f>'FICHA AMALDIÇOADA'!$Q$167&amp;""</f>
        <v/>
      </c>
      <c r="EA19" s="141">
        <f>'FICHA AMALDIÇOADA'!$Q$168&amp;""</f>
        <v/>
      </c>
      <c r="EB19" s="141">
        <f>'FICHA AMALDIÇOADA'!$Q$169&amp;""</f>
        <v/>
      </c>
      <c r="EC19" s="141">
        <f>'FICHA AMALDIÇOADA'!$Q$170&amp;""</f>
        <v/>
      </c>
      <c r="ED19" s="141">
        <f>'FICHA AMALDIÇOADA'!$Q$171&amp;""</f>
        <v/>
      </c>
      <c r="EE19" s="141">
        <f>'FICHA AMALDIÇOADA'!$Q$172&amp;""</f>
        <v/>
      </c>
      <c r="EF19" s="141">
        <f>IF($DX19&lt;&gt;"",1,0)</f>
        <v/>
      </c>
      <c r="EG19" s="141">
        <f>IFERROR(MATCH($DY19,$Y$2:$Y$11,0),0)</f>
        <v/>
      </c>
      <c r="EH19" s="141">
        <f>IF($EG19=0,0,INDEX($AB$2:$AB$11,$EG19))</f>
        <v/>
      </c>
      <c r="EI19" s="141">
        <f>IFERROR(VLOOKUP($DZ19,$BC$2:$BJ$84,4,FALSE),0)</f>
        <v/>
      </c>
      <c r="EJ19" s="141">
        <f>IFERROR(VLOOKUP($EA19,$BC$2:$BJ$84,4,FALSE),0)</f>
        <v/>
      </c>
      <c r="EK19" s="141">
        <f>IFERROR(VLOOKUP($EB19,$BC$2:$BJ$84,4,FALSE),0)</f>
        <v/>
      </c>
      <c r="EL19" s="141">
        <f>IFERROR(VLOOKUP($EC19,$BC$2:$BJ$84,4,FALSE),0)</f>
        <v/>
      </c>
      <c r="EM19" s="141">
        <f>IF($EG19=0,0,INDEX($AC$2:$AC$11,$EG19))</f>
        <v/>
      </c>
      <c r="EN19" s="141">
        <f>IFERROR(VLOOKUP($DZ19,$BC$2:$BJ$84,5,FALSE),0)</f>
        <v/>
      </c>
      <c r="EO19" s="141">
        <f>IFERROR(VLOOKUP($EA19,$BC$2:$BJ$84,5,FALSE),0)</f>
        <v/>
      </c>
      <c r="EP19" s="141">
        <f>IFERROR(VLOOKUP($EB19,$BC$2:$BJ$84,5,FALSE),0)</f>
        <v/>
      </c>
      <c r="EQ19" s="141">
        <f>IFERROR(VLOOKUP($EC19,$BC$2:$BJ$84,5,FALSE),0)</f>
        <v/>
      </c>
      <c r="ER19" s="141">
        <f>IFERROR(VLOOKUP($DZ19,$BC$2:$BJ$84,6,FALSE),0)+IFERROR(VLOOKUP($EA19,$BC$2:$BJ$84,6,FALSE),0)+IFERROR(VLOOKUP($EB19,$BC$2:$BJ$84,6,FALSE),0)+IFERROR(VLOOKUP($EC19,$BC$2:$BJ$84,6,FALSE),0)</f>
        <v/>
      </c>
      <c r="ES19" s="141">
        <f>IF($EG19=0,0,INDEX($AD$2:$AD$11,$EG19))</f>
        <v/>
      </c>
      <c r="ET19" s="141">
        <f>IF($EG19=0,0,INDEX($AE$2:$AE$11,$EG19))</f>
        <v/>
      </c>
      <c r="EU19" s="141">
        <f>IF($EG19=0,0,INDEX($AG$2:$AG$11,$EG19))</f>
        <v/>
      </c>
      <c r="EV19" s="141">
        <f>IFERROR(VLOOKUP($ED19,$BL$2:$BP$24,3,FALSE),0)</f>
        <v/>
      </c>
      <c r="EW19" s="141">
        <f>IFERROR(VLOOKUP($EE19,$BL$2:$BP$24,3,FALSE),0)</f>
        <v/>
      </c>
      <c r="EX19" s="141">
        <f>IFERROR(VLOOKUP($ED19,$BL$2:$BP$24,2,FALSE),"")</f>
        <v/>
      </c>
      <c r="EY19" s="141">
        <f>IFERROR(VLOOKUP($EE19,$BL$2:$BP$24,2,FALSE),"")</f>
        <v/>
      </c>
      <c r="EZ19" s="141">
        <f>COUNTIF($EH19:$EL19,1)</f>
        <v/>
      </c>
      <c r="FA19" s="141">
        <f>COUNTIF($EH19:$EL19,2)</f>
        <v/>
      </c>
      <c r="FB19" s="141">
        <f>COUNTIF($EH19:$EL19,3)</f>
        <v/>
      </c>
      <c r="FC19" s="141">
        <f>COUNTIF($EH19:$EL19,4)</f>
        <v/>
      </c>
      <c r="FD19" s="141">
        <f>COUNTIF($EH19:$EL19,5)</f>
        <v/>
      </c>
      <c r="FE19" s="141">
        <f>COUNTIF($EH19:$EL19,6)</f>
        <v/>
      </c>
      <c r="FF19" s="141">
        <f>COUNTIF($EV19:$EW19,1)</f>
        <v/>
      </c>
      <c r="FG19" s="141">
        <f>COUNTIF($EV19:$EW19,2)+$ES19</f>
        <v/>
      </c>
      <c r="FH19" s="141">
        <f>COUNTIF($DZ19:$EC19,"?*")</f>
        <v/>
      </c>
      <c r="FI19" s="141">
        <f>COUNTIF($ED19:$EE19,"?*")+$ES19</f>
        <v/>
      </c>
      <c r="FJ19" s="141">
        <f>SUMPRODUCT($EZ19:$FE19,INDEX($Q$2:$V$8,$DW19,0))</f>
        <v/>
      </c>
      <c r="FK19" s="141">
        <f>$FF19*CEILING($DW19/2,1)+$FG19*$DW19</f>
        <v/>
      </c>
      <c r="FL19" s="141">
        <f>MIN(2*$DW19,$FK19)</f>
        <v/>
      </c>
      <c r="FM19" s="141">
        <f>MIN($FL19,$FJ19)</f>
        <v/>
      </c>
      <c r="FN19" s="141">
        <f>$FL19-$FM19</f>
        <v/>
      </c>
      <c r="FO19" s="141">
        <f>3*$DW19-$FJ19+$FM19</f>
        <v/>
      </c>
      <c r="FP19" s="141">
        <f>MAX(0,$FO19)+$DU19*$DW19</f>
        <v/>
      </c>
      <c r="FQ19" s="141">
        <f>(IF(COUNTIF($DZ19:$EC19,"Salto")&gt;0,1,0)+IF(COUNTIF($DZ19:$EC19,"Queima")&gt;0,1,0))*FLOOR($FP19/2,1)</f>
        <v/>
      </c>
      <c r="FR19" s="141">
        <f>MAX(0,3-SUMPRODUCT($EZ19:$FE19,$Q$2:$V$2)+MIN(2,$FF19*1+$FG19*1,SUMPRODUCT($EZ19:$FE19,$Q$2:$V$2)))+$DU19*1</f>
        <v/>
      </c>
      <c r="FS19" s="141">
        <f>MAX(0,6-SUMPRODUCT($EZ19:$FE19,$Q$3:$V$3)+MIN(4,$FF19*1+$FG19*2,SUMPRODUCT($EZ19:$FE19,$Q$3:$V$3)))+$DU19*2</f>
        <v/>
      </c>
      <c r="FT19" s="141">
        <f>MAX(0,9-SUMPRODUCT($EZ19:$FE19,$Q$4:$V$4)+MIN(6,$FF19*2+$FG19*3,SUMPRODUCT($EZ19:$FE19,$Q$4:$V$4)))+$DU19*3</f>
        <v/>
      </c>
      <c r="FU19" s="141">
        <f>MAX(0,12-SUMPRODUCT($EZ19:$FE19,$Q$5:$V$5)+MIN(8,$FF19*2+$FG19*4,SUMPRODUCT($EZ19:$FE19,$Q$5:$V$5)))+$DU19*4</f>
        <v/>
      </c>
      <c r="FV19" s="141">
        <f>MAX(0,15-SUMPRODUCT($EZ19:$FE19,$Q$6:$V$6)+MIN(10,$FF19*3+$FG19*5,SUMPRODUCT($EZ19:$FE19,$Q$6:$V$6)))+$DU19*5</f>
        <v/>
      </c>
      <c r="FW19" s="141">
        <f>MAX(0,18-SUMPRODUCT($EZ19:$FE19,$Q$7:$V$7)+MIN(12,$FF19*3+$FG19*6,SUMPRODUCT($EZ19:$FE19,$Q$7:$V$7)))+$DU19*6</f>
        <v/>
      </c>
      <c r="FX19" s="141">
        <f>MAX(0,21-SUMPRODUCT($EZ19:$FE19,$Q$8:$V$8)+MIN(14,$FF19*4+$FG19*7,SUMPRODUCT($EZ19:$FE19,$Q$8:$V$8)))+$DU19*7</f>
        <v/>
      </c>
      <c r="FY19" s="141">
        <f>IF($ET19=2,3*$FR19&amp;" de vida temp.",IF($ET19=3,"sem dano",IF($FR19=0,IF($ET19=1,"sem cura","sem dano"),IF($ET19=1,"cura ","")&amp;$FR19&amp;"d8")))</f>
        <v/>
      </c>
      <c r="FZ19" s="141">
        <f>IF($ET19=2,3*$FS19&amp;" de vida temp.",IF($ET19=3,"sem dano",IF($FS19=0,IF($ET19=1,"sem cura","sem dano"),IF($ET19=1,"cura ","")&amp;$FS19&amp;"d8")))</f>
        <v/>
      </c>
      <c r="GA19" s="141">
        <f>IF($ET19=2,3*$FT19&amp;" de vida temp.",IF($ET19=3,"sem dano",IF($FT19=0,IF($ET19=1,"sem cura","sem dano"),IF($ET19=1,"cura ","")&amp;$FT19&amp;"d8")))</f>
        <v/>
      </c>
      <c r="GB19" s="141">
        <f>IF($ET19=2,3*$FU19&amp;" de vida temp.",IF($ET19=3,"sem dano",IF($FU19=0,IF($ET19=1,"sem cura","sem dano"),IF($ET19=1,"cura ","")&amp;$FU19&amp;"d8")))</f>
        <v/>
      </c>
      <c r="GC19" s="141">
        <f>IF($ET19=2,3*$FV19&amp;" de vida temp.",IF($ET19=3,"sem dano",IF($FV19=0,IF($ET19=1,"sem cura","sem dano"),IF($ET19=1,"cura ","")&amp;$FV19&amp;"d8")))</f>
        <v/>
      </c>
      <c r="GD19" s="141">
        <f>IF($ET19=2,3*$FW19&amp;" de vida temp.",IF($ET19=3,"sem dano",IF($FW19=0,IF($ET19=1,"sem cura","sem dano"),IF($ET19=1,"cura ","")&amp;$FW19&amp;"d8")))</f>
        <v/>
      </c>
      <c r="GE19" s="141">
        <f>IF($ET19=2,3*$FX19&amp;" de vida temp.",IF($ET19=3,"sem dano",IF($FX19=0,IF($ET19=1,"sem cura","sem dano"),IF($ET19=1,"cura ","")&amp;$FX19&amp;"d8")))</f>
        <v/>
      </c>
      <c r="GF19" s="141">
        <f>IF($EF19=0,"",TEXTJOIN(" · ",TRUE,IF(AND($DU19=1,$DV19&gt;$HE$9),"O nível "&amp;$HE$2&amp;" dá "&amp;$HE$9&amp;" Liberação Máxima",""),IF($DW19&gt;$HE$4,"Classe "&amp;$DW19&amp;": o nível "&amp;$HE$2&amp;" libera até a "&amp;$HE$4,""),IF($EM19=1,"Família Fechada: a Forma "&amp;$DY19,""),IF($EN19=1,"Família Fechada: "&amp;$DZ19,""),IF($EO19=1,"Família Fechada: "&amp;$EA19,""),IF($EP19=1,"Família Fechada: "&amp;$EB19,""),IF($EQ19=1,"Família Fechada: "&amp;$EC19,""),IF($FH19&gt;INDEX($W$2:$W$8,$DW19),$FH19&amp;" Melhorias: a Classe "&amp;$DW19&amp;" aceita "&amp;INDEX($W$2:$W$8,$DW19),""),IF($FI19&gt;2,$FI19&amp;" Restrições"&amp;IF($ES19=1,", contando a que a Forma "&amp;$DY19&amp;" já traz","")&amp;": o limite é 2",""),IF($FO19&lt;0,"Orçamento estourado: faltam "&amp;(-$FO19)&amp;IF($FO19&lt;-1," pontos"," ponto"),""),IF(IFERROR(VLOOKUP($ED19,$BL$2:$BP$24,4,FALSE),0)+IFERROR(VLOOKUP($EE19,$BL$2:$BP$24,4,FALSE),0)&gt;1,$EX19&amp;" e "&amp;$EY19&amp;" são as duas de frequência",""),IF(AND((COUNTIF($DZ19:$EC19,"Rápido")+COUNTIF($EX19:$EY19,"Rápido"))&gt;0,(COUNTIF($DZ19:$EC19,"Reação")+COUNTIF($EX19:$EY19,"Reação"))&gt;0),"Rápido não entra com Reação",""),IF(AND((COUNTIF($DZ19:$EC19,"Rápido")+COUNTIF($EX19:$EY19,"Rápido"))&gt;0,(COUNTIF($DZ19:$EC19,"Atrasar")+COUNTIF($EX19:$EY19,"Atrasar"))&gt;0),"Rápido não entra com Atrasar",""),IF(AND((COUNTIF($DZ19:$EC19,"Reação")+COUNTIF($EX19:$EY19,"Reação"))&gt;0,(COUNTIF($DZ19:$EC19,"Atrasar")+COUNTIF($EX19:$EY19,"Atrasar"))&gt;0),"Reação não entra com Atrasar",""),IF(AND((COUNTIF($DZ19:$EC19,"Reação")+COUNTIF($EX19:$EY19,"Reação"))&gt;0,(COUNTIF($DZ19:$EC19,"Parado")+COUNTIF($EX19:$EY19,"Parado"))&gt;0),"Reação não entra com Parado",""),IF(AND(COUNTIF($EX19:$EY19,"Corpo a Corpo")&gt;0,$ES19=0,OR($DY19="Cone",$DY19="Linha")),"Corpo a Corpo não entra em "&amp;$DY19,""),IF(AND(COUNTIF($EX19:$EY19,"Corpo a Corpo")&gt;0,$ES19=1),"A Forma "&amp;$DY19&amp;" já traz o Corpo a Corpo",""),IF(AND(COUNTIF($EX19:$EY19,"Tudo ou Nada")&gt;0,$EU19=0),"Tudo ou Nada só entra em feitiço de Teste de Resistência",""),IF(AND(COUNTIF($DZ19:$EC19,"Inescapável")&gt;0,OR($FH19&gt;1,$FI19&gt;0)),"Inescapável não aceita outra peça",""),IF(AND($DU19=1,$DW19&lt;3),"Liberação Máxima é de Classe 3 ou mais",""),IF(AND($DU19=1,OR($ET19=1,$ET19=2)),"Liberação Máxima não serve para cura",""),IF(AND($DU19=1,COUNTIF($DZ19:$EC19,"Inescapável")+COUNTIF($DZ19:$EC19,"Toca a Alma")&gt;0),"Esta peça não entra numa Liberação Máxima",""),IF($FP19+$FQ19&gt;4*$DW19,($FP19+$FQ19)&amp;" dados somando alvos e repetições: o teto da Classe "&amp;$DW19&amp;" é "&amp;4*$DW19,"")))</f>
        <v/>
      </c>
      <c r="GG19" s="141">
        <f>IF($GF19="",0,(LEN($GF19)-LEN(SUBSTITUTE($GF19," · ","")))/3+1)</f>
        <v/>
      </c>
      <c r="GH19" s="141">
        <f>IF($EF19=0,"",TEXTJOIN(" · ",TRUE,IF($FK19&gt;2*$DW19,"A devolução parou no teto de "&amp;2*$DW19,""),IF($FN19&gt;0,"Devolução perdida: "&amp;$FN19&amp;IF($FN19&gt;1," pontos"," ponto")&amp;" sem peça para pagar",""),IF(AND($ER19&gt;0,$FP19=0),"Controle sem dano: uma rodada a mais e CD +2",""),IF(AND($ER19&gt;0,$FP19&gt;0,$FP19&lt;=$DW19),"Controle com um quarto do teto: uma rodada a mais","")))</f>
        <v/>
      </c>
      <c r="GI19" s="141">
        <f>IF($GH19="",0,(LEN($GH19)-LEN(SUBSTITUTE($GH19," · ","")))/3+1)</f>
        <v/>
      </c>
      <c r="GJ19" s="141">
        <f>IF($EF19=0,IF($FH19+$FI19-$ES19&gt;0,"Dê um nome",""),IF($GG19&gt;0,"⚠ "&amp;$GG19&amp;IF($GG19&gt;1," erros"," erro"),IF($GI19&gt;0,"! "&amp;$GI19&amp;IF($GI19&gt;1," avisos"," aviso"),"Na regra")))</f>
        <v/>
      </c>
      <c r="GK19" s="141">
        <f>IF($EF19=0,"",IF($GG19+$GI19=0,"Dentro das regras que a ficha confere",$GF19&amp;IF(AND($GG19&gt;0,$GI19&gt;0)," · ","")&amp;$GH19))</f>
        <v/>
      </c>
      <c r="GL19" s="141">
        <f>IF($EF19=0,"",IF($DU19=1,CEILING(4.5*$DW19,1),3*$DW19)&amp;" PE")</f>
        <v/>
      </c>
      <c r="GM19" s="141">
        <f>IF($EF19=0,"",IF($DU19=1,"Rodada inteira",IF(COUNTIF($EX19:$EY19,"Atrasar")&gt;0,IF(COUNTIF($EX19:$EY19,"Carregar")&gt;0,"Rodada +1 turno","Rodada inteira"),IF(COUNTIF($DZ19:$EC19,"Rápido")&gt;0,"Bônus",IF(COUNTIF($DZ19:$EC19,"Reação")&gt;0,"Reação","Padrão"))&amp;IF(COUNTIF($EX19:$EY19,"Carregar")&gt;0," +1 turno",""))))</f>
        <v/>
      </c>
      <c r="GN19" s="141">
        <f>IF(OR($EF19=0,$EG19=0),"",IF(COUNTIF($DZ19:$EC19,"Inescapável")&gt;0,"Automático",IF(COUNTIF($DZ19:$EC19,"Certeiro")&gt;0,"TR para metade",INDEX($AF$2:$AF$11,$EG19))))</f>
        <v/>
      </c>
      <c r="GO19" s="141">
        <f>IF(OR($EF19=0,$EG19=0),"",IF(OR($ET19&gt;=2,$FP19=0),UPPER(LEFT(INDEX($FY19:$GE19,1,$DW19),1))&amp;MID(INDEX($FY19:$GE19,1,$DW19),2,99),UPPER(LEFT(INDEX($FY19:$GE19,1,$DW19),1))&amp;MID(INDEX($FY19:$GE19,1,$DW19),2,99)&amp;" = "&amp;FLOOR($FP19*4.5,1)&amp;IF($FQ19&gt;0," · +"&amp;$FQ19&amp;"d8","")))</f>
        <v/>
      </c>
      <c r="GP19" s="141">
        <f>COUNTIF($DZ19:$EC19,"Longe")+3*COUNTIF($DZ19:$EC19,"Muito Longe")</f>
        <v/>
      </c>
      <c r="GQ19" s="141">
        <f>COUNTIF($DZ19:$EC19,"Maior")+3*COUNTIF($DZ19:$EC19,"Muito Maior")</f>
        <v/>
      </c>
      <c r="GR19" s="141">
        <f>IF($EG19=0,0,CHOOSE(1+INDEX($AH$2:$AH$11,$EG19),0,$GP19,$GQ19,$GP19+$GQ19))</f>
        <v/>
      </c>
      <c r="GS19" s="141">
        <f>IF($EG19=0,0,CHOOSE(1+INDEX($AI$2:$AI$11,$EG19),0,$GP19,$GQ19,$GP19+$GQ19))</f>
        <v/>
      </c>
      <c r="GT19" s="141">
        <f>IF(OR($EF19=0,$EG19=0),"",INDEX($AP$2:$AU$31,($EG19-1)*3+IF($DW19&gt;=6,3,2),1+MIN(5,$GR19))&amp;INDEX($AV$2:$BA$31,($EG19-1)*3+IF($DW19&gt;=6,3,2),1+MIN(5,$GS19))&amp;IF(INDEX($AJ$2:$AJ$11,$EG19)=1,IF(COUNTIF($DZ19:$EC19,"Mais Um")&gt;0," · +"&amp;COUNTIF($DZ19:$EC19,"Mais Um")&amp;IF(COUNTIF($DZ19:$EC19,"Mais Um")&gt;1," alvos"," alvo"),"")&amp;IF(COUNTIF($DZ19:$EC19,"Rajada")&gt;0," · "&amp;($DW19+1)&amp;" tiros",""),""))</f>
        <v/>
      </c>
      <c r="GU19" s="141">
        <f>IF($EF19=0,"",3*$DW19&amp;" − "&amp;$FJ19&amp;" + "&amp;$FM19&amp;IF($DU19=1," + "&amp;$DW19,"")&amp;" = "&amp;$FP19&amp;"d8 · teto "&amp;4*$DW19&amp;IF($ES19=1," · a Forma devolve "&amp;$DW19,"")&amp;IF($FN19&gt;0," · perde "&amp;$FN19,""))</f>
        <v/>
      </c>
      <c r="GV19" s="141">
        <f>IF($EF19=0,"",IF($DW19&gt;=$HE$4,"Já está na maior Classe que o nível liberou",TEXTJOIN(" · ",TRUE,IF(AND(2&gt;$DW19,2&lt;=$HE$4),"2 → "&amp;$FZ19&amp;", "&amp;IF($DU19=1,9,6)&amp;" PE",""),IF(AND(3&gt;$DW19,3&lt;=$HE$4),"3 → "&amp;$GA19&amp;", "&amp;IF($DU19=1,14,9)&amp;" PE",""),IF(AND(4&gt;$DW19,4&lt;=$HE$4),"4 → "&amp;$GB19&amp;", "&amp;IF($DU19=1,18,12)&amp;" PE",""),IF(AND(5&gt;$DW19,5&lt;=$HE$4),"5 → "&amp;$GC19&amp;", "&amp;IF($DU19=1,23,15)&amp;" PE",""),IF(AND(6&gt;$DW19,6&lt;=$HE$4),"6 → "&amp;$GD19&amp;", "&amp;IF($DU19=1,27,18)&amp;" PE",""),IF(AND(7&gt;$DW19,7&lt;=$HE$4),"7 → "&amp;$GE19&amp;", "&amp;IF($DU19=1,32,21)&amp;" PE",""))))</f>
        <v/>
      </c>
      <c r="GW19" s="141">
        <f>IF(OR($EF19=0,$EI19=0),"","−"&amp;INDEX($Q$2:$V$8,$DW19,$EI19)&amp;" · "&amp;CHOOSE($EI19,"Leve","Média","Pesada","Leve · Livre","Média · Livre","Pesada · Livre"))</f>
        <v/>
      </c>
      <c r="GX19" s="141">
        <f>IF(OR($EF19=0,$EJ19=0),"","−"&amp;INDEX($Q$2:$V$8,$DW19,$EJ19)&amp;" · "&amp;CHOOSE($EJ19,"Leve","Média","Pesada","Leve · Livre","Média · Livre","Pesada · Livre"))</f>
        <v/>
      </c>
      <c r="GY19" s="141">
        <f>IF(OR($EF19=0,$EK19=0),"","−"&amp;INDEX($Q$2:$V$8,$DW19,$EK19)&amp;" · "&amp;CHOOSE($EK19,"Leve","Média","Pesada","Leve · Livre","Média · Livre","Pesada · Livre"))</f>
        <v/>
      </c>
      <c r="GZ19" s="141">
        <f>IF(OR($EF19=0,$EL19=0),"","−"&amp;INDEX($Q$2:$V$8,$DW19,$EL19)&amp;" · "&amp;CHOOSE($EL19,"Leve","Média","Pesada","Leve · Livre","Média · Livre","Pesada · Livre"))</f>
        <v/>
      </c>
      <c r="HA19" s="141">
        <f>IF(OR($EF19=0,$ED19=""),"","+"&amp;IF($EV19=1,CEILING($DW19/2,1),$DW19))</f>
        <v/>
      </c>
      <c r="HB19" s="141">
        <f>IF(OR($EF19=0,$EE19=""),"","+"&amp;IF($EW19=1,CEILING($DW19/2,1),$DW19))</f>
        <v/>
      </c>
      <c r="HD19" s="114" t="inlineStr">
        <is>
          <t>espaços no domínio</t>
        </is>
      </c>
      <c r="HE19" s="141">
        <f>IF($A$2&lt;&gt;1,0,IFERROR(VLOOKUP($HE$34,$DI$2:$DM$4,2,FALSE),0))</f>
        <v/>
      </c>
      <c r="IJ19" s="114" t="inlineStr">
        <is>
          <t>L41</t>
        </is>
      </c>
      <c r="IK19" s="141">
        <f>"EM "&amp;UPPER(INDEX(DADOS_AM!$D$3:$G$3,1,DADOS_AM!$A$2))</f>
        <v/>
      </c>
    </row>
    <row r="20">
      <c r="AO20" s="114" t="inlineStr">
        <is>
          <t>Cura · classe 0</t>
        </is>
      </c>
      <c r="AP20" s="114" t="inlineStr">
        <is>
          <t>—</t>
        </is>
      </c>
      <c r="AQ20" s="114" t="inlineStr">
        <is>
          <t>—</t>
        </is>
      </c>
      <c r="AR20" s="114" t="inlineStr">
        <is>
          <t>—</t>
        </is>
      </c>
      <c r="AS20" s="114" t="inlineStr">
        <is>
          <t>—</t>
        </is>
      </c>
      <c r="AT20" s="114" t="inlineStr">
        <is>
          <t>—</t>
        </is>
      </c>
      <c r="AU20" s="114" t="inlineStr">
        <is>
          <t>—</t>
        </is>
      </c>
      <c r="AV20" s="114" t="inlineStr"/>
      <c r="AW20" s="114" t="inlineStr"/>
      <c r="AX20" s="114" t="inlineStr"/>
      <c r="AY20" s="114" t="inlineStr"/>
      <c r="AZ20" s="114" t="inlineStr"/>
      <c r="BA20" s="114" t="inlineStr"/>
      <c r="BC20" s="114" t="inlineStr">
        <is>
          <t>Fura</t>
        </is>
      </c>
      <c r="BD20" s="114" t="inlineStr">
        <is>
          <t>Mira</t>
        </is>
      </c>
      <c r="BE20" s="141" t="n">
        <v>2</v>
      </c>
      <c r="BF20" s="141">
        <f>$BE20+3*IFERROR(VLOOKUP($BD20,$I$2:$L$10,3,FALSE),0)</f>
        <v/>
      </c>
      <c r="BG20" s="141">
        <f>IFERROR(VLOOKUP($BD20,$I$2:$L$10,4,FALSE),0)</f>
        <v/>
      </c>
      <c r="BH20" s="141" t="n">
        <v>0</v>
      </c>
      <c r="BI20" s="141">
        <f>IF($BG20=1,"",$BC20)</f>
        <v/>
      </c>
      <c r="BJ20" s="141">
        <f>IF(AND($BE20=1,$BG20=0),$BC20,"")</f>
        <v/>
      </c>
      <c r="BL20" s="114" t="inlineStr">
        <is>
          <t>Dívida</t>
        </is>
      </c>
      <c r="BM20" s="114" t="inlineStr">
        <is>
          <t>Dívida</t>
        </is>
      </c>
      <c r="BN20" s="141" t="n">
        <v>2</v>
      </c>
      <c r="BO20" s="141" t="n">
        <v>1</v>
      </c>
      <c r="BP20" s="114" t="inlineStr"/>
      <c r="BR20" s="114" t="inlineStr">
        <is>
          <t>Passiva Própria (CP 3)</t>
        </is>
      </c>
      <c r="BS20" s="141" t="n">
        <v>3</v>
      </c>
      <c r="BT20" s="114" t="inlineStr">
        <is>
          <t>Qualquer outra coisa, montada com o mestre na escala das outras entradas desta tabela. Escreva a sua na caixa de baixo.</t>
        </is>
      </c>
      <c r="BU20" s="141" t="n">
        <v>1</v>
      </c>
      <c r="BV20" s="141" t="n">
        <v>1</v>
      </c>
      <c r="BW20" s="141">
        <f>IF(OR(AND($A$2&lt;=2,$BU20=1),AND($A$2&gt;=2,$BV20=1)),$BR20,"")</f>
        <v/>
      </c>
      <c r="CB20" s="114" t="inlineStr">
        <is>
          <t>Ímpeto</t>
        </is>
      </c>
      <c r="CC20" s="114" t="inlineStr">
        <is>
          <t>Destreza 4</t>
        </is>
      </c>
      <c r="CD20" s="141" t="n">
        <v>2</v>
      </c>
      <c r="CE20" s="114" t="inlineStr">
        <is>
          <t>—</t>
        </is>
      </c>
      <c r="CF20" s="114" t="inlineStr">
        <is>
          <t>Como Ação Bônus, você se move até o seu deslocamento sem provocar ataque de oportunidade. Sem chão. Você anda em parede, em água e no ar enquanto estiver se movendo. Se terminar o turno e o movimento sem apoio, você cai.</t>
        </is>
      </c>
      <c r="CG20" s="141">
        <f>IF($CJ20=1,"",IF($A$2=4,IF($CH20=1,$CB20,""),IF(OR($CH20=1,AND($A$2=3,$CI20=1)),"",$CB20)))</f>
        <v/>
      </c>
      <c r="CH20" s="141" t="n">
        <v>1</v>
      </c>
      <c r="CI20" s="141" t="n">
        <v>0</v>
      </c>
      <c r="CJ20" s="141" t="n">
        <v>0</v>
      </c>
      <c r="DT20" s="114" t="inlineStr">
        <is>
          <t>Feitiço 19</t>
        </is>
      </c>
      <c r="DU20" s="141" t="n">
        <v>0</v>
      </c>
      <c r="DV20" s="141" t="n">
        <v>19</v>
      </c>
      <c r="DW20" s="141">
        <f>MAX(1,MIN(7,N('FICHA AMALDIÇOADA'!$D$179)))</f>
        <v/>
      </c>
      <c r="DX20" s="141">
        <f>'FICHA AMALDIÇOADA'!$E$179&amp;""</f>
        <v/>
      </c>
      <c r="DY20" s="141">
        <f>'FICHA AMALDIÇOADA'!$D$186&amp;""</f>
        <v/>
      </c>
      <c r="DZ20" s="141">
        <f>'FICHA AMALDIÇOADA'!$E$188&amp;""</f>
        <v/>
      </c>
      <c r="EA20" s="141">
        <f>'FICHA AMALDIÇOADA'!$E$189&amp;""</f>
        <v/>
      </c>
      <c r="EB20" s="141">
        <f>'FICHA AMALDIÇOADA'!$E$190&amp;""</f>
        <v/>
      </c>
      <c r="EC20" s="141">
        <f>'FICHA AMALDIÇOADA'!$E$191&amp;""</f>
        <v/>
      </c>
      <c r="ED20" s="141">
        <f>'FICHA AMALDIÇOADA'!$E$192&amp;""</f>
        <v/>
      </c>
      <c r="EE20" s="141">
        <f>'FICHA AMALDIÇOADA'!$E$193&amp;""</f>
        <v/>
      </c>
      <c r="EF20" s="141">
        <f>IF($DX20&lt;&gt;"",1,0)</f>
        <v/>
      </c>
      <c r="EG20" s="141">
        <f>IFERROR(MATCH($DY20,$Y$2:$Y$11,0),0)</f>
        <v/>
      </c>
      <c r="EH20" s="141">
        <f>IF($EG20=0,0,INDEX($AB$2:$AB$11,$EG20))</f>
        <v/>
      </c>
      <c r="EI20" s="141">
        <f>IFERROR(VLOOKUP($DZ20,$BC$2:$BJ$84,4,FALSE),0)</f>
        <v/>
      </c>
      <c r="EJ20" s="141">
        <f>IFERROR(VLOOKUP($EA20,$BC$2:$BJ$84,4,FALSE),0)</f>
        <v/>
      </c>
      <c r="EK20" s="141">
        <f>IFERROR(VLOOKUP($EB20,$BC$2:$BJ$84,4,FALSE),0)</f>
        <v/>
      </c>
      <c r="EL20" s="141">
        <f>IFERROR(VLOOKUP($EC20,$BC$2:$BJ$84,4,FALSE),0)</f>
        <v/>
      </c>
      <c r="EM20" s="141">
        <f>IF($EG20=0,0,INDEX($AC$2:$AC$11,$EG20))</f>
        <v/>
      </c>
      <c r="EN20" s="141">
        <f>IFERROR(VLOOKUP($DZ20,$BC$2:$BJ$84,5,FALSE),0)</f>
        <v/>
      </c>
      <c r="EO20" s="141">
        <f>IFERROR(VLOOKUP($EA20,$BC$2:$BJ$84,5,FALSE),0)</f>
        <v/>
      </c>
      <c r="EP20" s="141">
        <f>IFERROR(VLOOKUP($EB20,$BC$2:$BJ$84,5,FALSE),0)</f>
        <v/>
      </c>
      <c r="EQ20" s="141">
        <f>IFERROR(VLOOKUP($EC20,$BC$2:$BJ$84,5,FALSE),0)</f>
        <v/>
      </c>
      <c r="ER20" s="141">
        <f>IFERROR(VLOOKUP($DZ20,$BC$2:$BJ$84,6,FALSE),0)+IFERROR(VLOOKUP($EA20,$BC$2:$BJ$84,6,FALSE),0)+IFERROR(VLOOKUP($EB20,$BC$2:$BJ$84,6,FALSE),0)+IFERROR(VLOOKUP($EC20,$BC$2:$BJ$84,6,FALSE),0)</f>
        <v/>
      </c>
      <c r="ES20" s="141">
        <f>IF($EG20=0,0,INDEX($AD$2:$AD$11,$EG20))</f>
        <v/>
      </c>
      <c r="ET20" s="141">
        <f>IF($EG20=0,0,INDEX($AE$2:$AE$11,$EG20))</f>
        <v/>
      </c>
      <c r="EU20" s="141">
        <f>IF($EG20=0,0,INDEX($AG$2:$AG$11,$EG20))</f>
        <v/>
      </c>
      <c r="EV20" s="141">
        <f>IFERROR(VLOOKUP($ED20,$BL$2:$BP$24,3,FALSE),0)</f>
        <v/>
      </c>
      <c r="EW20" s="141">
        <f>IFERROR(VLOOKUP($EE20,$BL$2:$BP$24,3,FALSE),0)</f>
        <v/>
      </c>
      <c r="EX20" s="141">
        <f>IFERROR(VLOOKUP($ED20,$BL$2:$BP$24,2,FALSE),"")</f>
        <v/>
      </c>
      <c r="EY20" s="141">
        <f>IFERROR(VLOOKUP($EE20,$BL$2:$BP$24,2,FALSE),"")</f>
        <v/>
      </c>
      <c r="EZ20" s="141">
        <f>COUNTIF($EH20:$EL20,1)</f>
        <v/>
      </c>
      <c r="FA20" s="141">
        <f>COUNTIF($EH20:$EL20,2)</f>
        <v/>
      </c>
      <c r="FB20" s="141">
        <f>COUNTIF($EH20:$EL20,3)</f>
        <v/>
      </c>
      <c r="FC20" s="141">
        <f>COUNTIF($EH20:$EL20,4)</f>
        <v/>
      </c>
      <c r="FD20" s="141">
        <f>COUNTIF($EH20:$EL20,5)</f>
        <v/>
      </c>
      <c r="FE20" s="141">
        <f>COUNTIF($EH20:$EL20,6)</f>
        <v/>
      </c>
      <c r="FF20" s="141">
        <f>COUNTIF($EV20:$EW20,1)</f>
        <v/>
      </c>
      <c r="FG20" s="141">
        <f>COUNTIF($EV20:$EW20,2)+$ES20</f>
        <v/>
      </c>
      <c r="FH20" s="141">
        <f>COUNTIF($DZ20:$EC20,"?*")</f>
        <v/>
      </c>
      <c r="FI20" s="141">
        <f>COUNTIF($ED20:$EE20,"?*")+$ES20</f>
        <v/>
      </c>
      <c r="FJ20" s="141">
        <f>SUMPRODUCT($EZ20:$FE20,INDEX($Q$2:$V$8,$DW20,0))</f>
        <v/>
      </c>
      <c r="FK20" s="141">
        <f>$FF20*CEILING($DW20/2,1)+$FG20*$DW20</f>
        <v/>
      </c>
      <c r="FL20" s="141">
        <f>MIN(2*$DW20,$FK20)</f>
        <v/>
      </c>
      <c r="FM20" s="141">
        <f>MIN($FL20,$FJ20)</f>
        <v/>
      </c>
      <c r="FN20" s="141">
        <f>$FL20-$FM20</f>
        <v/>
      </c>
      <c r="FO20" s="141">
        <f>3*$DW20-$FJ20+$FM20</f>
        <v/>
      </c>
      <c r="FP20" s="141">
        <f>MAX(0,$FO20)+$DU20*$DW20</f>
        <v/>
      </c>
      <c r="FQ20" s="141">
        <f>(IF(COUNTIF($DZ20:$EC20,"Salto")&gt;0,1,0)+IF(COUNTIF($DZ20:$EC20,"Queima")&gt;0,1,0))*FLOOR($FP20/2,1)</f>
        <v/>
      </c>
      <c r="FR20" s="141">
        <f>MAX(0,3-SUMPRODUCT($EZ20:$FE20,$Q$2:$V$2)+MIN(2,$FF20*1+$FG20*1,SUMPRODUCT($EZ20:$FE20,$Q$2:$V$2)))+$DU20*1</f>
        <v/>
      </c>
      <c r="FS20" s="141">
        <f>MAX(0,6-SUMPRODUCT($EZ20:$FE20,$Q$3:$V$3)+MIN(4,$FF20*1+$FG20*2,SUMPRODUCT($EZ20:$FE20,$Q$3:$V$3)))+$DU20*2</f>
        <v/>
      </c>
      <c r="FT20" s="141">
        <f>MAX(0,9-SUMPRODUCT($EZ20:$FE20,$Q$4:$V$4)+MIN(6,$FF20*2+$FG20*3,SUMPRODUCT($EZ20:$FE20,$Q$4:$V$4)))+$DU20*3</f>
        <v/>
      </c>
      <c r="FU20" s="141">
        <f>MAX(0,12-SUMPRODUCT($EZ20:$FE20,$Q$5:$V$5)+MIN(8,$FF20*2+$FG20*4,SUMPRODUCT($EZ20:$FE20,$Q$5:$V$5)))+$DU20*4</f>
        <v/>
      </c>
      <c r="FV20" s="141">
        <f>MAX(0,15-SUMPRODUCT($EZ20:$FE20,$Q$6:$V$6)+MIN(10,$FF20*3+$FG20*5,SUMPRODUCT($EZ20:$FE20,$Q$6:$V$6)))+$DU20*5</f>
        <v/>
      </c>
      <c r="FW20" s="141">
        <f>MAX(0,18-SUMPRODUCT($EZ20:$FE20,$Q$7:$V$7)+MIN(12,$FF20*3+$FG20*6,SUMPRODUCT($EZ20:$FE20,$Q$7:$V$7)))+$DU20*6</f>
        <v/>
      </c>
      <c r="FX20" s="141">
        <f>MAX(0,21-SUMPRODUCT($EZ20:$FE20,$Q$8:$V$8)+MIN(14,$FF20*4+$FG20*7,SUMPRODUCT($EZ20:$FE20,$Q$8:$V$8)))+$DU20*7</f>
        <v/>
      </c>
      <c r="FY20" s="141">
        <f>IF($ET20=2,3*$FR20&amp;" de vida temp.",IF($ET20=3,"sem dano",IF($FR20=0,IF($ET20=1,"sem cura","sem dano"),IF($ET20=1,"cura ","")&amp;$FR20&amp;"d8")))</f>
        <v/>
      </c>
      <c r="FZ20" s="141">
        <f>IF($ET20=2,3*$FS20&amp;" de vida temp.",IF($ET20=3,"sem dano",IF($FS20=0,IF($ET20=1,"sem cura","sem dano"),IF($ET20=1,"cura ","")&amp;$FS20&amp;"d8")))</f>
        <v/>
      </c>
      <c r="GA20" s="141">
        <f>IF($ET20=2,3*$FT20&amp;" de vida temp.",IF($ET20=3,"sem dano",IF($FT20=0,IF($ET20=1,"sem cura","sem dano"),IF($ET20=1,"cura ","")&amp;$FT20&amp;"d8")))</f>
        <v/>
      </c>
      <c r="GB20" s="141">
        <f>IF($ET20=2,3*$FU20&amp;" de vida temp.",IF($ET20=3,"sem dano",IF($FU20=0,IF($ET20=1,"sem cura","sem dano"),IF($ET20=1,"cura ","")&amp;$FU20&amp;"d8")))</f>
        <v/>
      </c>
      <c r="GC20" s="141">
        <f>IF($ET20=2,3*$FV20&amp;" de vida temp.",IF($ET20=3,"sem dano",IF($FV20=0,IF($ET20=1,"sem cura","sem dano"),IF($ET20=1,"cura ","")&amp;$FV20&amp;"d8")))</f>
        <v/>
      </c>
      <c r="GD20" s="141">
        <f>IF($ET20=2,3*$FW20&amp;" de vida temp.",IF($ET20=3,"sem dano",IF($FW20=0,IF($ET20=1,"sem cura","sem dano"),IF($ET20=1,"cura ","")&amp;$FW20&amp;"d8")))</f>
        <v/>
      </c>
      <c r="GE20" s="141">
        <f>IF($ET20=2,3*$FX20&amp;" de vida temp.",IF($ET20=3,"sem dano",IF($FX20=0,IF($ET20=1,"sem cura","sem dano"),IF($ET20=1,"cura ","")&amp;$FX20&amp;"d8")))</f>
        <v/>
      </c>
      <c r="GF20" s="141">
        <f>IF($EF20=0,"",TEXTJOIN(" · ",TRUE,IF(AND($DU20=1,$DV20&gt;$HE$9),"O nível "&amp;$HE$2&amp;" dá "&amp;$HE$9&amp;" Liberação Máxima",""),IF($DW20&gt;$HE$4,"Classe "&amp;$DW20&amp;": o nível "&amp;$HE$2&amp;" libera até a "&amp;$HE$4,""),IF($EM20=1,"Família Fechada: a Forma "&amp;$DY20,""),IF($EN20=1,"Família Fechada: "&amp;$DZ20,""),IF($EO20=1,"Família Fechada: "&amp;$EA20,""),IF($EP20=1,"Família Fechada: "&amp;$EB20,""),IF($EQ20=1,"Família Fechada: "&amp;$EC20,""),IF($FH20&gt;INDEX($W$2:$W$8,$DW20),$FH20&amp;" Melhorias: a Classe "&amp;$DW20&amp;" aceita "&amp;INDEX($W$2:$W$8,$DW20),""),IF($FI20&gt;2,$FI20&amp;" Restrições"&amp;IF($ES20=1,", contando a que a Forma "&amp;$DY20&amp;" já traz","")&amp;": o limite é 2",""),IF($FO20&lt;0,"Orçamento estourado: faltam "&amp;(-$FO20)&amp;IF($FO20&lt;-1," pontos"," ponto"),""),IF(IFERROR(VLOOKUP($ED20,$BL$2:$BP$24,4,FALSE),0)+IFERROR(VLOOKUP($EE20,$BL$2:$BP$24,4,FALSE),0)&gt;1,$EX20&amp;" e "&amp;$EY20&amp;" são as duas de frequência",""),IF(AND((COUNTIF($DZ20:$EC20,"Rápido")+COUNTIF($EX20:$EY20,"Rápido"))&gt;0,(COUNTIF($DZ20:$EC20,"Reação")+COUNTIF($EX20:$EY20,"Reação"))&gt;0),"Rápido não entra com Reação",""),IF(AND((COUNTIF($DZ20:$EC20,"Rápido")+COUNTIF($EX20:$EY20,"Rápido"))&gt;0,(COUNTIF($DZ20:$EC20,"Atrasar")+COUNTIF($EX20:$EY20,"Atrasar"))&gt;0),"Rápido não entra com Atrasar",""),IF(AND((COUNTIF($DZ20:$EC20,"Reação")+COUNTIF($EX20:$EY20,"Reação"))&gt;0,(COUNTIF($DZ20:$EC20,"Atrasar")+COUNTIF($EX20:$EY20,"Atrasar"))&gt;0),"Reação não entra com Atrasar",""),IF(AND((COUNTIF($DZ20:$EC20,"Reação")+COUNTIF($EX20:$EY20,"Reação"))&gt;0,(COUNTIF($DZ20:$EC20,"Parado")+COUNTIF($EX20:$EY20,"Parado"))&gt;0),"Reação não entra com Parado",""),IF(AND(COUNTIF($EX20:$EY20,"Corpo a Corpo")&gt;0,$ES20=0,OR($DY20="Cone",$DY20="Linha")),"Corpo a Corpo não entra em "&amp;$DY20,""),IF(AND(COUNTIF($EX20:$EY20,"Corpo a Corpo")&gt;0,$ES20=1),"A Forma "&amp;$DY20&amp;" já traz o Corpo a Corpo",""),IF(AND(COUNTIF($EX20:$EY20,"Tudo ou Nada")&gt;0,$EU20=0),"Tudo ou Nada só entra em feitiço de Teste de Resistência",""),IF(AND(COUNTIF($DZ20:$EC20,"Inescapável")&gt;0,OR($FH20&gt;1,$FI20&gt;0)),"Inescapável não aceita outra peça",""),IF(AND($DU20=1,$DW20&lt;3),"Liberação Máxima é de Classe 3 ou mais",""),IF(AND($DU20=1,OR($ET20=1,$ET20=2)),"Liberação Máxima não serve para cura",""),IF(AND($DU20=1,COUNTIF($DZ20:$EC20,"Inescapável")+COUNTIF($DZ20:$EC20,"Toca a Alma")&gt;0),"Esta peça não entra numa Liberação Máxima",""),IF($FP20+$FQ20&gt;4*$DW20,($FP20+$FQ20)&amp;" dados somando alvos e repetições: o teto da Classe "&amp;$DW20&amp;" é "&amp;4*$DW20,"")))</f>
        <v/>
      </c>
      <c r="GG20" s="141">
        <f>IF($GF20="",0,(LEN($GF20)-LEN(SUBSTITUTE($GF20," · ","")))/3+1)</f>
        <v/>
      </c>
      <c r="GH20" s="141">
        <f>IF($EF20=0,"",TEXTJOIN(" · ",TRUE,IF($FK20&gt;2*$DW20,"A devolução parou no teto de "&amp;2*$DW20,""),IF($FN20&gt;0,"Devolução perdida: "&amp;$FN20&amp;IF($FN20&gt;1," pontos"," ponto")&amp;" sem peça para pagar",""),IF(AND($ER20&gt;0,$FP20=0),"Controle sem dano: uma rodada a mais e CD +2",""),IF(AND($ER20&gt;0,$FP20&gt;0,$FP20&lt;=$DW20),"Controle com um quarto do teto: uma rodada a mais","")))</f>
        <v/>
      </c>
      <c r="GI20" s="141">
        <f>IF($GH20="",0,(LEN($GH20)-LEN(SUBSTITUTE($GH20," · ","")))/3+1)</f>
        <v/>
      </c>
      <c r="GJ20" s="141">
        <f>IF($EF20=0,IF($FH20+$FI20-$ES20&gt;0,"Dê um nome",""),IF($GG20&gt;0,"⚠ "&amp;$GG20&amp;IF($GG20&gt;1," erros"," erro"),IF($GI20&gt;0,"! "&amp;$GI20&amp;IF($GI20&gt;1," avisos"," aviso"),"Na regra")))</f>
        <v/>
      </c>
      <c r="GK20" s="141">
        <f>IF($EF20=0,"",IF($GG20+$GI20=0,"Dentro das regras que a ficha confere",$GF20&amp;IF(AND($GG20&gt;0,$GI20&gt;0)," · ","")&amp;$GH20))</f>
        <v/>
      </c>
      <c r="GL20" s="141">
        <f>IF($EF20=0,"",IF($DU20=1,CEILING(4.5*$DW20,1),3*$DW20)&amp;" PE")</f>
        <v/>
      </c>
      <c r="GM20" s="141">
        <f>IF($EF20=0,"",IF($DU20=1,"Rodada inteira",IF(COUNTIF($EX20:$EY20,"Atrasar")&gt;0,IF(COUNTIF($EX20:$EY20,"Carregar")&gt;0,"Rodada +1 turno","Rodada inteira"),IF(COUNTIF($DZ20:$EC20,"Rápido")&gt;0,"Bônus",IF(COUNTIF($DZ20:$EC20,"Reação")&gt;0,"Reação","Padrão"))&amp;IF(COUNTIF($EX20:$EY20,"Carregar")&gt;0," +1 turno",""))))</f>
        <v/>
      </c>
      <c r="GN20" s="141">
        <f>IF(OR($EF20=0,$EG20=0),"",IF(COUNTIF($DZ20:$EC20,"Inescapável")&gt;0,"Automático",IF(COUNTIF($DZ20:$EC20,"Certeiro")&gt;0,"TR para metade",INDEX($AF$2:$AF$11,$EG20))))</f>
        <v/>
      </c>
      <c r="GO20" s="141">
        <f>IF(OR($EF20=0,$EG20=0),"",IF(OR($ET20&gt;=2,$FP20=0),UPPER(LEFT(INDEX($FY20:$GE20,1,$DW20),1))&amp;MID(INDEX($FY20:$GE20,1,$DW20),2,99),UPPER(LEFT(INDEX($FY20:$GE20,1,$DW20),1))&amp;MID(INDEX($FY20:$GE20,1,$DW20),2,99)&amp;" = "&amp;FLOOR($FP20*4.5,1)&amp;IF($FQ20&gt;0," · +"&amp;$FQ20&amp;"d8","")))</f>
        <v/>
      </c>
      <c r="GP20" s="141">
        <f>COUNTIF($DZ20:$EC20,"Longe")+3*COUNTIF($DZ20:$EC20,"Muito Longe")</f>
        <v/>
      </c>
      <c r="GQ20" s="141">
        <f>COUNTIF($DZ20:$EC20,"Maior")+3*COUNTIF($DZ20:$EC20,"Muito Maior")</f>
        <v/>
      </c>
      <c r="GR20" s="141">
        <f>IF($EG20=0,0,CHOOSE(1+INDEX($AH$2:$AH$11,$EG20),0,$GP20,$GQ20,$GP20+$GQ20))</f>
        <v/>
      </c>
      <c r="GS20" s="141">
        <f>IF($EG20=0,0,CHOOSE(1+INDEX($AI$2:$AI$11,$EG20),0,$GP20,$GQ20,$GP20+$GQ20))</f>
        <v/>
      </c>
      <c r="GT20" s="141">
        <f>IF(OR($EF20=0,$EG20=0),"",INDEX($AP$2:$AU$31,($EG20-1)*3+IF($DW20&gt;=6,3,2),1+MIN(5,$GR20))&amp;INDEX($AV$2:$BA$31,($EG20-1)*3+IF($DW20&gt;=6,3,2),1+MIN(5,$GS20))&amp;IF(INDEX($AJ$2:$AJ$11,$EG20)=1,IF(COUNTIF($DZ20:$EC20,"Mais Um")&gt;0," · +"&amp;COUNTIF($DZ20:$EC20,"Mais Um")&amp;IF(COUNTIF($DZ20:$EC20,"Mais Um")&gt;1," alvos"," alvo"),"")&amp;IF(COUNTIF($DZ20:$EC20,"Rajada")&gt;0," · "&amp;($DW20+1)&amp;" tiros",""),""))</f>
        <v/>
      </c>
      <c r="GU20" s="141">
        <f>IF($EF20=0,"",3*$DW20&amp;" − "&amp;$FJ20&amp;" + "&amp;$FM20&amp;IF($DU20=1," + "&amp;$DW20,"")&amp;" = "&amp;$FP20&amp;"d8 · teto "&amp;4*$DW20&amp;IF($ES20=1," · a Forma devolve "&amp;$DW20,"")&amp;IF($FN20&gt;0," · perde "&amp;$FN20,""))</f>
        <v/>
      </c>
      <c r="GV20" s="141">
        <f>IF($EF20=0,"",IF($DW20&gt;=$HE$4,"Já está na maior Classe que o nível liberou",TEXTJOIN(" · ",TRUE,IF(AND(2&gt;$DW20,2&lt;=$HE$4),"2 → "&amp;$FZ20&amp;", "&amp;IF($DU20=1,9,6)&amp;" PE",""),IF(AND(3&gt;$DW20,3&lt;=$HE$4),"3 → "&amp;$GA20&amp;", "&amp;IF($DU20=1,14,9)&amp;" PE",""),IF(AND(4&gt;$DW20,4&lt;=$HE$4),"4 → "&amp;$GB20&amp;", "&amp;IF($DU20=1,18,12)&amp;" PE",""),IF(AND(5&gt;$DW20,5&lt;=$HE$4),"5 → "&amp;$GC20&amp;", "&amp;IF($DU20=1,23,15)&amp;" PE",""),IF(AND(6&gt;$DW20,6&lt;=$HE$4),"6 → "&amp;$GD20&amp;", "&amp;IF($DU20=1,27,18)&amp;" PE",""),IF(AND(7&gt;$DW20,7&lt;=$HE$4),"7 → "&amp;$GE20&amp;", "&amp;IF($DU20=1,32,21)&amp;" PE",""))))</f>
        <v/>
      </c>
      <c r="GW20" s="141">
        <f>IF(OR($EF20=0,$EI20=0),"","−"&amp;INDEX($Q$2:$V$8,$DW20,$EI20)&amp;" · "&amp;CHOOSE($EI20,"Leve","Média","Pesada","Leve · Livre","Média · Livre","Pesada · Livre"))</f>
        <v/>
      </c>
      <c r="GX20" s="141">
        <f>IF(OR($EF20=0,$EJ20=0),"","−"&amp;INDEX($Q$2:$V$8,$DW20,$EJ20)&amp;" · "&amp;CHOOSE($EJ20,"Leve","Média","Pesada","Leve · Livre","Média · Livre","Pesada · Livre"))</f>
        <v/>
      </c>
      <c r="GY20" s="141">
        <f>IF(OR($EF20=0,$EK20=0),"","−"&amp;INDEX($Q$2:$V$8,$DW20,$EK20)&amp;" · "&amp;CHOOSE($EK20,"Leve","Média","Pesada","Leve · Livre","Média · Livre","Pesada · Livre"))</f>
        <v/>
      </c>
      <c r="GZ20" s="141">
        <f>IF(OR($EF20=0,$EL20=0),"","−"&amp;INDEX($Q$2:$V$8,$DW20,$EL20)&amp;" · "&amp;CHOOSE($EL20,"Leve","Média","Pesada","Leve · Livre","Média · Livre","Pesada · Livre"))</f>
        <v/>
      </c>
      <c r="HA20" s="141">
        <f>IF(OR($EF20=0,$ED20=""),"","+"&amp;IF($EV20=1,CEILING($DW20/2,1),$DW20))</f>
        <v/>
      </c>
      <c r="HB20" s="141">
        <f>IF(OR($EF20=0,$EE20=""),"","+"&amp;IF($EW20=1,CEILING($DW20/2,1),$DW20))</f>
        <v/>
      </c>
      <c r="HD20" s="114" t="inlineStr">
        <is>
          <t>sem espaço</t>
        </is>
      </c>
      <c r="HE20" s="141">
        <f>IF($HE$18+$HE$19&gt;$HE$14,1,0)</f>
        <v/>
      </c>
      <c r="IJ20" s="114" t="inlineStr">
        <is>
          <t>P42</t>
        </is>
      </c>
      <c r="IK20" s="141">
        <f>IF(DADOS_AM!$HE$20=1,"⚠ ","")&amp;DADOS_AM!$HE$18</f>
        <v/>
      </c>
    </row>
    <row r="21">
      <c r="AO21" s="114" t="inlineStr">
        <is>
          <t>Cura · classes 1 a 5</t>
        </is>
      </c>
      <c r="AP21" s="114" t="inlineStr">
        <is>
          <t>Um aliado a 9 m</t>
        </is>
      </c>
      <c r="AQ21" s="114" t="inlineStr">
        <is>
          <t>Um aliado a 18 m</t>
        </is>
      </c>
      <c r="AR21" s="114" t="inlineStr">
        <is>
          <t>Um aliado a 36 m</t>
        </is>
      </c>
      <c r="AS21" s="114" t="inlineStr">
        <is>
          <t>Um aliado a 90 m</t>
        </is>
      </c>
      <c r="AT21" s="114" t="inlineStr">
        <is>
          <t>Um aliado a o que você enxergar</t>
        </is>
      </c>
      <c r="AU21" s="114" t="inlineStr">
        <is>
          <t>Um aliado a o que você enxergar</t>
        </is>
      </c>
      <c r="AV21" s="114" t="inlineStr"/>
      <c r="AW21" s="114" t="inlineStr"/>
      <c r="AX21" s="114" t="inlineStr"/>
      <c r="AY21" s="114" t="inlineStr"/>
      <c r="AZ21" s="114" t="inlineStr"/>
      <c r="BA21" s="114" t="inlineStr"/>
      <c r="BC21" s="114" t="inlineStr">
        <is>
          <t>Corrói</t>
        </is>
      </c>
      <c r="BD21" s="114" t="inlineStr">
        <is>
          <t>Mira</t>
        </is>
      </c>
      <c r="BE21" s="141" t="n">
        <v>3</v>
      </c>
      <c r="BF21" s="141">
        <f>$BE21+3*IFERROR(VLOOKUP($BD21,$I$2:$L$10,3,FALSE),0)</f>
        <v/>
      </c>
      <c r="BG21" s="141">
        <f>IFERROR(VLOOKUP($BD21,$I$2:$L$10,4,FALSE),0)</f>
        <v/>
      </c>
      <c r="BH21" s="141" t="n">
        <v>0</v>
      </c>
      <c r="BI21" s="141">
        <f>IF($BG21=1,"",$BC21)</f>
        <v/>
      </c>
      <c r="BJ21" s="141">
        <f>IF(AND($BE21=1,$BG21=0),$BC21,"")</f>
        <v/>
      </c>
      <c r="BL21" s="114" t="inlineStr">
        <is>
          <t>Peso Morto</t>
        </is>
      </c>
      <c r="BM21" s="114" t="inlineStr">
        <is>
          <t>Peso Morto</t>
        </is>
      </c>
      <c r="BN21" s="141" t="n">
        <v>1</v>
      </c>
      <c r="BO21" s="141" t="n">
        <v>0</v>
      </c>
      <c r="BP21" s="114" t="inlineStr">
        <is>
          <t>Peso Morto</t>
        </is>
      </c>
      <c r="BR21" s="114" t="inlineStr">
        <is>
          <t>Maldição do Inventário</t>
        </is>
      </c>
      <c r="BS21" s="141" t="n">
        <v>1</v>
      </c>
      <c r="BT21" s="114" t="inlineStr">
        <is>
          <t>Vale sobre o que você carrega, o tempo todo. Saque. Você saca ou guarda dois itens de graça por turno, em vez de um. O que guarda. Não é o seu corpo: é uma maldição pequena, presa a você, que engole o que você põe nela. Ela encolhe até caber na mão, e é ela que você engole — a carga vai junto. Energia. Item amaldiçoado guardado ali para de emanar. Barreira Simples e Cortina deixam de segurar ele, e ele atravessa com você.</t>
        </is>
      </c>
      <c r="BU21" s="141" t="n">
        <v>0</v>
      </c>
      <c r="BV21" s="141" t="n">
        <v>1</v>
      </c>
      <c r="BW21" s="141">
        <f>IF(OR(AND($A$2&lt;=2,$BU21=1),AND($A$2&gt;=2,$BV21=1)),$BR21,"")</f>
        <v/>
      </c>
      <c r="CB21" s="114" t="inlineStr">
        <is>
          <t>Casco</t>
        </is>
      </c>
      <c r="CC21" s="114" t="inlineStr">
        <is>
          <t>Constituição 4</t>
        </is>
      </c>
      <c r="CD21" s="141" t="n">
        <v>3</v>
      </c>
      <c r="CE21" s="114" t="inlineStr">
        <is>
          <t>—</t>
        </is>
      </c>
      <c r="CF21" s="114" t="inlineStr">
        <is>
          <t>Você ganha +1 de vida a cada dois níveis e +1 em todo Teste de Resistência de Vigor que fizer.</t>
        </is>
      </c>
      <c r="CG21" s="141">
        <f>IF($CJ21=1,"",IF($A$2=4,IF($CH21=1,$CB21,""),IF(OR($CH21=1,AND($A$2=3,$CI21=1)),"",$CB21)))</f>
        <v/>
      </c>
      <c r="CH21" s="141" t="n">
        <v>1</v>
      </c>
      <c r="CI21" s="141" t="n">
        <v>0</v>
      </c>
      <c r="CJ21" s="141" t="n">
        <v>0</v>
      </c>
      <c r="DT21" s="114" t="inlineStr">
        <is>
          <t>Feitiço 20</t>
        </is>
      </c>
      <c r="DU21" s="141" t="n">
        <v>0</v>
      </c>
      <c r="DV21" s="141" t="n">
        <v>20</v>
      </c>
      <c r="DW21" s="141">
        <f>MAX(1,MIN(7,N('FICHA AMALDIÇOADA'!$J$179)))</f>
        <v/>
      </c>
      <c r="DX21" s="141">
        <f>'FICHA AMALDIÇOADA'!$K$179&amp;""</f>
        <v/>
      </c>
      <c r="DY21" s="141">
        <f>'FICHA AMALDIÇOADA'!$J$186&amp;""</f>
        <v/>
      </c>
      <c r="DZ21" s="141">
        <f>'FICHA AMALDIÇOADA'!$K$188&amp;""</f>
        <v/>
      </c>
      <c r="EA21" s="141">
        <f>'FICHA AMALDIÇOADA'!$K$189&amp;""</f>
        <v/>
      </c>
      <c r="EB21" s="141">
        <f>'FICHA AMALDIÇOADA'!$K$190&amp;""</f>
        <v/>
      </c>
      <c r="EC21" s="141">
        <f>'FICHA AMALDIÇOADA'!$K$191&amp;""</f>
        <v/>
      </c>
      <c r="ED21" s="141">
        <f>'FICHA AMALDIÇOADA'!$K$192&amp;""</f>
        <v/>
      </c>
      <c r="EE21" s="141">
        <f>'FICHA AMALDIÇOADA'!$K$193&amp;""</f>
        <v/>
      </c>
      <c r="EF21" s="141">
        <f>IF($DX21&lt;&gt;"",1,0)</f>
        <v/>
      </c>
      <c r="EG21" s="141">
        <f>IFERROR(MATCH($DY21,$Y$2:$Y$11,0),0)</f>
        <v/>
      </c>
      <c r="EH21" s="141">
        <f>IF($EG21=0,0,INDEX($AB$2:$AB$11,$EG21))</f>
        <v/>
      </c>
      <c r="EI21" s="141">
        <f>IFERROR(VLOOKUP($DZ21,$BC$2:$BJ$84,4,FALSE),0)</f>
        <v/>
      </c>
      <c r="EJ21" s="141">
        <f>IFERROR(VLOOKUP($EA21,$BC$2:$BJ$84,4,FALSE),0)</f>
        <v/>
      </c>
      <c r="EK21" s="141">
        <f>IFERROR(VLOOKUP($EB21,$BC$2:$BJ$84,4,FALSE),0)</f>
        <v/>
      </c>
      <c r="EL21" s="141">
        <f>IFERROR(VLOOKUP($EC21,$BC$2:$BJ$84,4,FALSE),0)</f>
        <v/>
      </c>
      <c r="EM21" s="141">
        <f>IF($EG21=0,0,INDEX($AC$2:$AC$11,$EG21))</f>
        <v/>
      </c>
      <c r="EN21" s="141">
        <f>IFERROR(VLOOKUP($DZ21,$BC$2:$BJ$84,5,FALSE),0)</f>
        <v/>
      </c>
      <c r="EO21" s="141">
        <f>IFERROR(VLOOKUP($EA21,$BC$2:$BJ$84,5,FALSE),0)</f>
        <v/>
      </c>
      <c r="EP21" s="141">
        <f>IFERROR(VLOOKUP($EB21,$BC$2:$BJ$84,5,FALSE),0)</f>
        <v/>
      </c>
      <c r="EQ21" s="141">
        <f>IFERROR(VLOOKUP($EC21,$BC$2:$BJ$84,5,FALSE),0)</f>
        <v/>
      </c>
      <c r="ER21" s="141">
        <f>IFERROR(VLOOKUP($DZ21,$BC$2:$BJ$84,6,FALSE),0)+IFERROR(VLOOKUP($EA21,$BC$2:$BJ$84,6,FALSE),0)+IFERROR(VLOOKUP($EB21,$BC$2:$BJ$84,6,FALSE),0)+IFERROR(VLOOKUP($EC21,$BC$2:$BJ$84,6,FALSE),0)</f>
        <v/>
      </c>
      <c r="ES21" s="141">
        <f>IF($EG21=0,0,INDEX($AD$2:$AD$11,$EG21))</f>
        <v/>
      </c>
      <c r="ET21" s="141">
        <f>IF($EG21=0,0,INDEX($AE$2:$AE$11,$EG21))</f>
        <v/>
      </c>
      <c r="EU21" s="141">
        <f>IF($EG21=0,0,INDEX($AG$2:$AG$11,$EG21))</f>
        <v/>
      </c>
      <c r="EV21" s="141">
        <f>IFERROR(VLOOKUP($ED21,$BL$2:$BP$24,3,FALSE),0)</f>
        <v/>
      </c>
      <c r="EW21" s="141">
        <f>IFERROR(VLOOKUP($EE21,$BL$2:$BP$24,3,FALSE),0)</f>
        <v/>
      </c>
      <c r="EX21" s="141">
        <f>IFERROR(VLOOKUP($ED21,$BL$2:$BP$24,2,FALSE),"")</f>
        <v/>
      </c>
      <c r="EY21" s="141">
        <f>IFERROR(VLOOKUP($EE21,$BL$2:$BP$24,2,FALSE),"")</f>
        <v/>
      </c>
      <c r="EZ21" s="141">
        <f>COUNTIF($EH21:$EL21,1)</f>
        <v/>
      </c>
      <c r="FA21" s="141">
        <f>COUNTIF($EH21:$EL21,2)</f>
        <v/>
      </c>
      <c r="FB21" s="141">
        <f>COUNTIF($EH21:$EL21,3)</f>
        <v/>
      </c>
      <c r="FC21" s="141">
        <f>COUNTIF($EH21:$EL21,4)</f>
        <v/>
      </c>
      <c r="FD21" s="141">
        <f>COUNTIF($EH21:$EL21,5)</f>
        <v/>
      </c>
      <c r="FE21" s="141">
        <f>COUNTIF($EH21:$EL21,6)</f>
        <v/>
      </c>
      <c r="FF21" s="141">
        <f>COUNTIF($EV21:$EW21,1)</f>
        <v/>
      </c>
      <c r="FG21" s="141">
        <f>COUNTIF($EV21:$EW21,2)+$ES21</f>
        <v/>
      </c>
      <c r="FH21" s="141">
        <f>COUNTIF($DZ21:$EC21,"?*")</f>
        <v/>
      </c>
      <c r="FI21" s="141">
        <f>COUNTIF($ED21:$EE21,"?*")+$ES21</f>
        <v/>
      </c>
      <c r="FJ21" s="141">
        <f>SUMPRODUCT($EZ21:$FE21,INDEX($Q$2:$V$8,$DW21,0))</f>
        <v/>
      </c>
      <c r="FK21" s="141">
        <f>$FF21*CEILING($DW21/2,1)+$FG21*$DW21</f>
        <v/>
      </c>
      <c r="FL21" s="141">
        <f>MIN(2*$DW21,$FK21)</f>
        <v/>
      </c>
      <c r="FM21" s="141">
        <f>MIN($FL21,$FJ21)</f>
        <v/>
      </c>
      <c r="FN21" s="141">
        <f>$FL21-$FM21</f>
        <v/>
      </c>
      <c r="FO21" s="141">
        <f>3*$DW21-$FJ21+$FM21</f>
        <v/>
      </c>
      <c r="FP21" s="141">
        <f>MAX(0,$FO21)+$DU21*$DW21</f>
        <v/>
      </c>
      <c r="FQ21" s="141">
        <f>(IF(COUNTIF($DZ21:$EC21,"Salto")&gt;0,1,0)+IF(COUNTIF($DZ21:$EC21,"Queima")&gt;0,1,0))*FLOOR($FP21/2,1)</f>
        <v/>
      </c>
      <c r="FR21" s="141">
        <f>MAX(0,3-SUMPRODUCT($EZ21:$FE21,$Q$2:$V$2)+MIN(2,$FF21*1+$FG21*1,SUMPRODUCT($EZ21:$FE21,$Q$2:$V$2)))+$DU21*1</f>
        <v/>
      </c>
      <c r="FS21" s="141">
        <f>MAX(0,6-SUMPRODUCT($EZ21:$FE21,$Q$3:$V$3)+MIN(4,$FF21*1+$FG21*2,SUMPRODUCT($EZ21:$FE21,$Q$3:$V$3)))+$DU21*2</f>
        <v/>
      </c>
      <c r="FT21" s="141">
        <f>MAX(0,9-SUMPRODUCT($EZ21:$FE21,$Q$4:$V$4)+MIN(6,$FF21*2+$FG21*3,SUMPRODUCT($EZ21:$FE21,$Q$4:$V$4)))+$DU21*3</f>
        <v/>
      </c>
      <c r="FU21" s="141">
        <f>MAX(0,12-SUMPRODUCT($EZ21:$FE21,$Q$5:$V$5)+MIN(8,$FF21*2+$FG21*4,SUMPRODUCT($EZ21:$FE21,$Q$5:$V$5)))+$DU21*4</f>
        <v/>
      </c>
      <c r="FV21" s="141">
        <f>MAX(0,15-SUMPRODUCT($EZ21:$FE21,$Q$6:$V$6)+MIN(10,$FF21*3+$FG21*5,SUMPRODUCT($EZ21:$FE21,$Q$6:$V$6)))+$DU21*5</f>
        <v/>
      </c>
      <c r="FW21" s="141">
        <f>MAX(0,18-SUMPRODUCT($EZ21:$FE21,$Q$7:$V$7)+MIN(12,$FF21*3+$FG21*6,SUMPRODUCT($EZ21:$FE21,$Q$7:$V$7)))+$DU21*6</f>
        <v/>
      </c>
      <c r="FX21" s="141">
        <f>MAX(0,21-SUMPRODUCT($EZ21:$FE21,$Q$8:$V$8)+MIN(14,$FF21*4+$FG21*7,SUMPRODUCT($EZ21:$FE21,$Q$8:$V$8)))+$DU21*7</f>
        <v/>
      </c>
      <c r="FY21" s="141">
        <f>IF($ET21=2,3*$FR21&amp;" de vida temp.",IF($ET21=3,"sem dano",IF($FR21=0,IF($ET21=1,"sem cura","sem dano"),IF($ET21=1,"cura ","")&amp;$FR21&amp;"d8")))</f>
        <v/>
      </c>
      <c r="FZ21" s="141">
        <f>IF($ET21=2,3*$FS21&amp;" de vida temp.",IF($ET21=3,"sem dano",IF($FS21=0,IF($ET21=1,"sem cura","sem dano"),IF($ET21=1,"cura ","")&amp;$FS21&amp;"d8")))</f>
        <v/>
      </c>
      <c r="GA21" s="141">
        <f>IF($ET21=2,3*$FT21&amp;" de vida temp.",IF($ET21=3,"sem dano",IF($FT21=0,IF($ET21=1,"sem cura","sem dano"),IF($ET21=1,"cura ","")&amp;$FT21&amp;"d8")))</f>
        <v/>
      </c>
      <c r="GB21" s="141">
        <f>IF($ET21=2,3*$FU21&amp;" de vida temp.",IF($ET21=3,"sem dano",IF($FU21=0,IF($ET21=1,"sem cura","sem dano"),IF($ET21=1,"cura ","")&amp;$FU21&amp;"d8")))</f>
        <v/>
      </c>
      <c r="GC21" s="141">
        <f>IF($ET21=2,3*$FV21&amp;" de vida temp.",IF($ET21=3,"sem dano",IF($FV21=0,IF($ET21=1,"sem cura","sem dano"),IF($ET21=1,"cura ","")&amp;$FV21&amp;"d8")))</f>
        <v/>
      </c>
      <c r="GD21" s="141">
        <f>IF($ET21=2,3*$FW21&amp;" de vida temp.",IF($ET21=3,"sem dano",IF($FW21=0,IF($ET21=1,"sem cura","sem dano"),IF($ET21=1,"cura ","")&amp;$FW21&amp;"d8")))</f>
        <v/>
      </c>
      <c r="GE21" s="141">
        <f>IF($ET21=2,3*$FX21&amp;" de vida temp.",IF($ET21=3,"sem dano",IF($FX21=0,IF($ET21=1,"sem cura","sem dano"),IF($ET21=1,"cura ","")&amp;$FX21&amp;"d8")))</f>
        <v/>
      </c>
      <c r="GF21" s="141">
        <f>IF($EF21=0,"",TEXTJOIN(" · ",TRUE,IF(AND($DU21=1,$DV21&gt;$HE$9),"O nível "&amp;$HE$2&amp;" dá "&amp;$HE$9&amp;" Liberação Máxima",""),IF($DW21&gt;$HE$4,"Classe "&amp;$DW21&amp;": o nível "&amp;$HE$2&amp;" libera até a "&amp;$HE$4,""),IF($EM21=1,"Família Fechada: a Forma "&amp;$DY21,""),IF($EN21=1,"Família Fechada: "&amp;$DZ21,""),IF($EO21=1,"Família Fechada: "&amp;$EA21,""),IF($EP21=1,"Família Fechada: "&amp;$EB21,""),IF($EQ21=1,"Família Fechada: "&amp;$EC21,""),IF($FH21&gt;INDEX($W$2:$W$8,$DW21),$FH21&amp;" Melhorias: a Classe "&amp;$DW21&amp;" aceita "&amp;INDEX($W$2:$W$8,$DW21),""),IF($FI21&gt;2,$FI21&amp;" Restrições"&amp;IF($ES21=1,", contando a que a Forma "&amp;$DY21&amp;" já traz","")&amp;": o limite é 2",""),IF($FO21&lt;0,"Orçamento estourado: faltam "&amp;(-$FO21)&amp;IF($FO21&lt;-1," pontos"," ponto"),""),IF(IFERROR(VLOOKUP($ED21,$BL$2:$BP$24,4,FALSE),0)+IFERROR(VLOOKUP($EE21,$BL$2:$BP$24,4,FALSE),0)&gt;1,$EX21&amp;" e "&amp;$EY21&amp;" são as duas de frequência",""),IF(AND((COUNTIF($DZ21:$EC21,"Rápido")+COUNTIF($EX21:$EY21,"Rápido"))&gt;0,(COUNTIF($DZ21:$EC21,"Reação")+COUNTIF($EX21:$EY21,"Reação"))&gt;0),"Rápido não entra com Reação",""),IF(AND((COUNTIF($DZ21:$EC21,"Rápido")+COUNTIF($EX21:$EY21,"Rápido"))&gt;0,(COUNTIF($DZ21:$EC21,"Atrasar")+COUNTIF($EX21:$EY21,"Atrasar"))&gt;0),"Rápido não entra com Atrasar",""),IF(AND((COUNTIF($DZ21:$EC21,"Reação")+COUNTIF($EX21:$EY21,"Reação"))&gt;0,(COUNTIF($DZ21:$EC21,"Atrasar")+COUNTIF($EX21:$EY21,"Atrasar"))&gt;0),"Reação não entra com Atrasar",""),IF(AND((COUNTIF($DZ21:$EC21,"Reação")+COUNTIF($EX21:$EY21,"Reação"))&gt;0,(COUNTIF($DZ21:$EC21,"Parado")+COUNTIF($EX21:$EY21,"Parado"))&gt;0),"Reação não entra com Parado",""),IF(AND(COUNTIF($EX21:$EY21,"Corpo a Corpo")&gt;0,$ES21=0,OR($DY21="Cone",$DY21="Linha")),"Corpo a Corpo não entra em "&amp;$DY21,""),IF(AND(COUNTIF($EX21:$EY21,"Corpo a Corpo")&gt;0,$ES21=1),"A Forma "&amp;$DY21&amp;" já traz o Corpo a Corpo",""),IF(AND(COUNTIF($EX21:$EY21,"Tudo ou Nada")&gt;0,$EU21=0),"Tudo ou Nada só entra em feitiço de Teste de Resistência",""),IF(AND(COUNTIF($DZ21:$EC21,"Inescapável")&gt;0,OR($FH21&gt;1,$FI21&gt;0)),"Inescapável não aceita outra peça",""),IF(AND($DU21=1,$DW21&lt;3),"Liberação Máxima é de Classe 3 ou mais",""),IF(AND($DU21=1,OR($ET21=1,$ET21=2)),"Liberação Máxima não serve para cura",""),IF(AND($DU21=1,COUNTIF($DZ21:$EC21,"Inescapável")+COUNTIF($DZ21:$EC21,"Toca a Alma")&gt;0),"Esta peça não entra numa Liberação Máxima",""),IF($FP21+$FQ21&gt;4*$DW21,($FP21+$FQ21)&amp;" dados somando alvos e repetições: o teto da Classe "&amp;$DW21&amp;" é "&amp;4*$DW21,"")))</f>
        <v/>
      </c>
      <c r="GG21" s="141">
        <f>IF($GF21="",0,(LEN($GF21)-LEN(SUBSTITUTE($GF21," · ","")))/3+1)</f>
        <v/>
      </c>
      <c r="GH21" s="141">
        <f>IF($EF21=0,"",TEXTJOIN(" · ",TRUE,IF($FK21&gt;2*$DW21,"A devolução parou no teto de "&amp;2*$DW21,""),IF($FN21&gt;0,"Devolução perdida: "&amp;$FN21&amp;IF($FN21&gt;1," pontos"," ponto")&amp;" sem peça para pagar",""),IF(AND($ER21&gt;0,$FP21=0),"Controle sem dano: uma rodada a mais e CD +2",""),IF(AND($ER21&gt;0,$FP21&gt;0,$FP21&lt;=$DW21),"Controle com um quarto do teto: uma rodada a mais","")))</f>
        <v/>
      </c>
      <c r="GI21" s="141">
        <f>IF($GH21="",0,(LEN($GH21)-LEN(SUBSTITUTE($GH21," · ","")))/3+1)</f>
        <v/>
      </c>
      <c r="GJ21" s="141">
        <f>IF($EF21=0,IF($FH21+$FI21-$ES21&gt;0,"Dê um nome",""),IF($GG21&gt;0,"⚠ "&amp;$GG21&amp;IF($GG21&gt;1," erros"," erro"),IF($GI21&gt;0,"! "&amp;$GI21&amp;IF($GI21&gt;1," avisos"," aviso"),"Na regra")))</f>
        <v/>
      </c>
      <c r="GK21" s="141">
        <f>IF($EF21=0,"",IF($GG21+$GI21=0,"Dentro das regras que a ficha confere",$GF21&amp;IF(AND($GG21&gt;0,$GI21&gt;0)," · ","")&amp;$GH21))</f>
        <v/>
      </c>
      <c r="GL21" s="141">
        <f>IF($EF21=0,"",IF($DU21=1,CEILING(4.5*$DW21,1),3*$DW21)&amp;" PE")</f>
        <v/>
      </c>
      <c r="GM21" s="141">
        <f>IF($EF21=0,"",IF($DU21=1,"Rodada inteira",IF(COUNTIF($EX21:$EY21,"Atrasar")&gt;0,IF(COUNTIF($EX21:$EY21,"Carregar")&gt;0,"Rodada +1 turno","Rodada inteira"),IF(COUNTIF($DZ21:$EC21,"Rápido")&gt;0,"Bônus",IF(COUNTIF($DZ21:$EC21,"Reação")&gt;0,"Reação","Padrão"))&amp;IF(COUNTIF($EX21:$EY21,"Carregar")&gt;0," +1 turno",""))))</f>
        <v/>
      </c>
      <c r="GN21" s="141">
        <f>IF(OR($EF21=0,$EG21=0),"",IF(COUNTIF($DZ21:$EC21,"Inescapável")&gt;0,"Automático",IF(COUNTIF($DZ21:$EC21,"Certeiro")&gt;0,"TR para metade",INDEX($AF$2:$AF$11,$EG21))))</f>
        <v/>
      </c>
      <c r="GO21" s="141">
        <f>IF(OR($EF21=0,$EG21=0),"",IF(OR($ET21&gt;=2,$FP21=0),UPPER(LEFT(INDEX($FY21:$GE21,1,$DW21),1))&amp;MID(INDEX($FY21:$GE21,1,$DW21),2,99),UPPER(LEFT(INDEX($FY21:$GE21,1,$DW21),1))&amp;MID(INDEX($FY21:$GE21,1,$DW21),2,99)&amp;" = "&amp;FLOOR($FP21*4.5,1)&amp;IF($FQ21&gt;0," · +"&amp;$FQ21&amp;"d8","")))</f>
        <v/>
      </c>
      <c r="GP21" s="141">
        <f>COUNTIF($DZ21:$EC21,"Longe")+3*COUNTIF($DZ21:$EC21,"Muito Longe")</f>
        <v/>
      </c>
      <c r="GQ21" s="141">
        <f>COUNTIF($DZ21:$EC21,"Maior")+3*COUNTIF($DZ21:$EC21,"Muito Maior")</f>
        <v/>
      </c>
      <c r="GR21" s="141">
        <f>IF($EG21=0,0,CHOOSE(1+INDEX($AH$2:$AH$11,$EG21),0,$GP21,$GQ21,$GP21+$GQ21))</f>
        <v/>
      </c>
      <c r="GS21" s="141">
        <f>IF($EG21=0,0,CHOOSE(1+INDEX($AI$2:$AI$11,$EG21),0,$GP21,$GQ21,$GP21+$GQ21))</f>
        <v/>
      </c>
      <c r="GT21" s="141">
        <f>IF(OR($EF21=0,$EG21=0),"",INDEX($AP$2:$AU$31,($EG21-1)*3+IF($DW21&gt;=6,3,2),1+MIN(5,$GR21))&amp;INDEX($AV$2:$BA$31,($EG21-1)*3+IF($DW21&gt;=6,3,2),1+MIN(5,$GS21))&amp;IF(INDEX($AJ$2:$AJ$11,$EG21)=1,IF(COUNTIF($DZ21:$EC21,"Mais Um")&gt;0," · +"&amp;COUNTIF($DZ21:$EC21,"Mais Um")&amp;IF(COUNTIF($DZ21:$EC21,"Mais Um")&gt;1," alvos"," alvo"),"")&amp;IF(COUNTIF($DZ21:$EC21,"Rajada")&gt;0," · "&amp;($DW21+1)&amp;" tiros",""),""))</f>
        <v/>
      </c>
      <c r="GU21" s="141">
        <f>IF($EF21=0,"",3*$DW21&amp;" − "&amp;$FJ21&amp;" + "&amp;$FM21&amp;IF($DU21=1," + "&amp;$DW21,"")&amp;" = "&amp;$FP21&amp;"d8 · teto "&amp;4*$DW21&amp;IF($ES21=1," · a Forma devolve "&amp;$DW21,"")&amp;IF($FN21&gt;0," · perde "&amp;$FN21,""))</f>
        <v/>
      </c>
      <c r="GV21" s="141">
        <f>IF($EF21=0,"",IF($DW21&gt;=$HE$4,"Já está na maior Classe que o nível liberou",TEXTJOIN(" · ",TRUE,IF(AND(2&gt;$DW21,2&lt;=$HE$4),"2 → "&amp;$FZ21&amp;", "&amp;IF($DU21=1,9,6)&amp;" PE",""),IF(AND(3&gt;$DW21,3&lt;=$HE$4),"3 → "&amp;$GA21&amp;", "&amp;IF($DU21=1,14,9)&amp;" PE",""),IF(AND(4&gt;$DW21,4&lt;=$HE$4),"4 → "&amp;$GB21&amp;", "&amp;IF($DU21=1,18,12)&amp;" PE",""),IF(AND(5&gt;$DW21,5&lt;=$HE$4),"5 → "&amp;$GC21&amp;", "&amp;IF($DU21=1,23,15)&amp;" PE",""),IF(AND(6&gt;$DW21,6&lt;=$HE$4),"6 → "&amp;$GD21&amp;", "&amp;IF($DU21=1,27,18)&amp;" PE",""),IF(AND(7&gt;$DW21,7&lt;=$HE$4),"7 → "&amp;$GE21&amp;", "&amp;IF($DU21=1,32,21)&amp;" PE",""))))</f>
        <v/>
      </c>
      <c r="GW21" s="141">
        <f>IF(OR($EF21=0,$EI21=0),"","−"&amp;INDEX($Q$2:$V$8,$DW21,$EI21)&amp;" · "&amp;CHOOSE($EI21,"Leve","Média","Pesada","Leve · Livre","Média · Livre","Pesada · Livre"))</f>
        <v/>
      </c>
      <c r="GX21" s="141">
        <f>IF(OR($EF21=0,$EJ21=0),"","−"&amp;INDEX($Q$2:$V$8,$DW21,$EJ21)&amp;" · "&amp;CHOOSE($EJ21,"Leve","Média","Pesada","Leve · Livre","Média · Livre","Pesada · Livre"))</f>
        <v/>
      </c>
      <c r="GY21" s="141">
        <f>IF(OR($EF21=0,$EK21=0),"","−"&amp;INDEX($Q$2:$V$8,$DW21,$EK21)&amp;" · "&amp;CHOOSE($EK21,"Leve","Média","Pesada","Leve · Livre","Média · Livre","Pesada · Livre"))</f>
        <v/>
      </c>
      <c r="GZ21" s="141">
        <f>IF(OR($EF21=0,$EL21=0),"","−"&amp;INDEX($Q$2:$V$8,$DW21,$EL21)&amp;" · "&amp;CHOOSE($EL21,"Leve","Média","Pesada","Leve · Livre","Média · Livre","Pesada · Livre"))</f>
        <v/>
      </c>
      <c r="HA21" s="141">
        <f>IF(OR($EF21=0,$ED21=""),"","+"&amp;IF($EV21=1,CEILING($DW21/2,1),$DW21))</f>
        <v/>
      </c>
      <c r="HB21" s="141">
        <f>IF(OR($EF21=0,$EE21=""),"","+"&amp;IF($EW21=1,CEILING($DW21/2,1),$DW21))</f>
        <v/>
      </c>
      <c r="HD21" s="114" t="inlineStr">
        <is>
          <t>cabem</t>
        </is>
      </c>
      <c r="HE21" s="141">
        <f>$HE$14+$HE$8-$HE$18-$HE$19</f>
        <v/>
      </c>
      <c r="IJ21" s="114" t="inlineStr">
        <is>
          <t>Q42</t>
        </is>
      </c>
      <c r="IK21" s="141">
        <f>IF(DADOS_AM!$HE$20=1,"⚠ ","")&amp;DADOS_AM!$HE$19</f>
        <v/>
      </c>
    </row>
    <row r="22">
      <c r="AO22" s="114" t="inlineStr">
        <is>
          <t>Cura · classes 6 e 7</t>
        </is>
      </c>
      <c r="AP22" s="114" t="inlineStr">
        <is>
          <t>Um aliado a 18 m</t>
        </is>
      </c>
      <c r="AQ22" s="114" t="inlineStr">
        <is>
          <t>Um aliado a 36 m</t>
        </is>
      </c>
      <c r="AR22" s="114" t="inlineStr">
        <is>
          <t>Um aliado a 90 m</t>
        </is>
      </c>
      <c r="AS22" s="114" t="inlineStr">
        <is>
          <t>Um aliado a o que você enxergar</t>
        </is>
      </c>
      <c r="AT22" s="114" t="inlineStr">
        <is>
          <t>Um aliado a o que você enxergar</t>
        </is>
      </c>
      <c r="AU22" s="114" t="inlineStr">
        <is>
          <t>Um aliado a o que você enxergar</t>
        </is>
      </c>
      <c r="AV22" s="114" t="inlineStr"/>
      <c r="AW22" s="114" t="inlineStr"/>
      <c r="AX22" s="114" t="inlineStr"/>
      <c r="AY22" s="114" t="inlineStr"/>
      <c r="AZ22" s="114" t="inlineStr"/>
      <c r="BA22" s="114" t="inlineStr"/>
      <c r="BC22" s="114" t="inlineStr">
        <is>
          <t>Sem Cobertura</t>
        </is>
      </c>
      <c r="BD22" s="114" t="inlineStr">
        <is>
          <t>Mira</t>
        </is>
      </c>
      <c r="BE22" s="141" t="n">
        <v>1</v>
      </c>
      <c r="BF22" s="141">
        <f>$BE22+3*IFERROR(VLOOKUP($BD22,$I$2:$L$10,3,FALSE),0)</f>
        <v/>
      </c>
      <c r="BG22" s="141">
        <f>IFERROR(VLOOKUP($BD22,$I$2:$L$10,4,FALSE),0)</f>
        <v/>
      </c>
      <c r="BH22" s="141" t="n">
        <v>0</v>
      </c>
      <c r="BI22" s="141">
        <f>IF($BG22=1,"",$BC22)</f>
        <v/>
      </c>
      <c r="BJ22" s="141">
        <f>IF(AND($BE22=1,$BG22=0),$BC22,"")</f>
        <v/>
      </c>
      <c r="BL22" s="114" t="inlineStr">
        <is>
          <t>Sem Volta</t>
        </is>
      </c>
      <c r="BM22" s="114" t="inlineStr">
        <is>
          <t>Sem Volta</t>
        </is>
      </c>
      <c r="BN22" s="141" t="n">
        <v>2</v>
      </c>
      <c r="BO22" s="141" t="n">
        <v>0</v>
      </c>
      <c r="BP22" s="114" t="inlineStr"/>
      <c r="BR22" s="114" t="inlineStr">
        <is>
          <t>Segundo Fôlego</t>
        </is>
      </c>
      <c r="BS22" s="141" t="n">
        <v>2</v>
      </c>
      <c r="BT22" s="114" t="inlineStr">
        <is>
          <t>Vale quando você chega a 0 de vida. A escolha sai de graça. Escolher Insistir não custa a sua rodada. Relógio. Uma vez por descanso longo.</t>
        </is>
      </c>
      <c r="BU22" s="141" t="n">
        <v>0</v>
      </c>
      <c r="BV22" s="141" t="n">
        <v>1</v>
      </c>
      <c r="BW22" s="141">
        <f>IF(OR(AND($A$2&lt;=2,$BU22=1),AND($A$2&gt;=2,$BV22=1)),$BR22,"")</f>
        <v/>
      </c>
      <c r="CB22" s="114" t="inlineStr">
        <is>
          <t>Presilha</t>
        </is>
      </c>
      <c r="CC22" s="114" t="inlineStr">
        <is>
          <t>Força 4</t>
        </is>
      </c>
      <c r="CD22" s="141" t="n">
        <v>2</v>
      </c>
      <c r="CE22" s="114" t="inlineStr">
        <is>
          <t>—</t>
        </is>
      </c>
      <c r="CF22" s="114" t="inlineStr">
        <is>
          <t>Quando você falha numa rolagem para agarrar, derrubar ou tirar alguém do lugar, role de novo. Uma vez por rodada.</t>
        </is>
      </c>
      <c r="CG22" s="141">
        <f>IF($CJ22=1,"",IF($A$2=4,IF($CH22=1,$CB22,""),IF(OR($CH22=1,AND($A$2=3,$CI22=1)),"",$CB22)))</f>
        <v/>
      </c>
      <c r="CH22" s="141" t="n">
        <v>1</v>
      </c>
      <c r="CI22" s="141" t="n">
        <v>0</v>
      </c>
      <c r="CJ22" s="141" t="n">
        <v>0</v>
      </c>
      <c r="DT22" s="114" t="inlineStr">
        <is>
          <t>Feitiço 21</t>
        </is>
      </c>
      <c r="DU22" s="141" t="n">
        <v>0</v>
      </c>
      <c r="DV22" s="141" t="n">
        <v>21</v>
      </c>
      <c r="DW22" s="141">
        <f>MAX(1,MIN(7,N('FICHA AMALDIÇOADA'!$P$179)))</f>
        <v/>
      </c>
      <c r="DX22" s="141">
        <f>'FICHA AMALDIÇOADA'!$Q$179&amp;""</f>
        <v/>
      </c>
      <c r="DY22" s="141">
        <f>'FICHA AMALDIÇOADA'!$P$186&amp;""</f>
        <v/>
      </c>
      <c r="DZ22" s="141">
        <f>'FICHA AMALDIÇOADA'!$Q$188&amp;""</f>
        <v/>
      </c>
      <c r="EA22" s="141">
        <f>'FICHA AMALDIÇOADA'!$Q$189&amp;""</f>
        <v/>
      </c>
      <c r="EB22" s="141">
        <f>'FICHA AMALDIÇOADA'!$Q$190&amp;""</f>
        <v/>
      </c>
      <c r="EC22" s="141">
        <f>'FICHA AMALDIÇOADA'!$Q$191&amp;""</f>
        <v/>
      </c>
      <c r="ED22" s="141">
        <f>'FICHA AMALDIÇOADA'!$Q$192&amp;""</f>
        <v/>
      </c>
      <c r="EE22" s="141">
        <f>'FICHA AMALDIÇOADA'!$Q$193&amp;""</f>
        <v/>
      </c>
      <c r="EF22" s="141">
        <f>IF($DX22&lt;&gt;"",1,0)</f>
        <v/>
      </c>
      <c r="EG22" s="141">
        <f>IFERROR(MATCH($DY22,$Y$2:$Y$11,0),0)</f>
        <v/>
      </c>
      <c r="EH22" s="141">
        <f>IF($EG22=0,0,INDEX($AB$2:$AB$11,$EG22))</f>
        <v/>
      </c>
      <c r="EI22" s="141">
        <f>IFERROR(VLOOKUP($DZ22,$BC$2:$BJ$84,4,FALSE),0)</f>
        <v/>
      </c>
      <c r="EJ22" s="141">
        <f>IFERROR(VLOOKUP($EA22,$BC$2:$BJ$84,4,FALSE),0)</f>
        <v/>
      </c>
      <c r="EK22" s="141">
        <f>IFERROR(VLOOKUP($EB22,$BC$2:$BJ$84,4,FALSE),0)</f>
        <v/>
      </c>
      <c r="EL22" s="141">
        <f>IFERROR(VLOOKUP($EC22,$BC$2:$BJ$84,4,FALSE),0)</f>
        <v/>
      </c>
      <c r="EM22" s="141">
        <f>IF($EG22=0,0,INDEX($AC$2:$AC$11,$EG22))</f>
        <v/>
      </c>
      <c r="EN22" s="141">
        <f>IFERROR(VLOOKUP($DZ22,$BC$2:$BJ$84,5,FALSE),0)</f>
        <v/>
      </c>
      <c r="EO22" s="141">
        <f>IFERROR(VLOOKUP($EA22,$BC$2:$BJ$84,5,FALSE),0)</f>
        <v/>
      </c>
      <c r="EP22" s="141">
        <f>IFERROR(VLOOKUP($EB22,$BC$2:$BJ$84,5,FALSE),0)</f>
        <v/>
      </c>
      <c r="EQ22" s="141">
        <f>IFERROR(VLOOKUP($EC22,$BC$2:$BJ$84,5,FALSE),0)</f>
        <v/>
      </c>
      <c r="ER22" s="141">
        <f>IFERROR(VLOOKUP($DZ22,$BC$2:$BJ$84,6,FALSE),0)+IFERROR(VLOOKUP($EA22,$BC$2:$BJ$84,6,FALSE),0)+IFERROR(VLOOKUP($EB22,$BC$2:$BJ$84,6,FALSE),0)+IFERROR(VLOOKUP($EC22,$BC$2:$BJ$84,6,FALSE),0)</f>
        <v/>
      </c>
      <c r="ES22" s="141">
        <f>IF($EG22=0,0,INDEX($AD$2:$AD$11,$EG22))</f>
        <v/>
      </c>
      <c r="ET22" s="141">
        <f>IF($EG22=0,0,INDEX($AE$2:$AE$11,$EG22))</f>
        <v/>
      </c>
      <c r="EU22" s="141">
        <f>IF($EG22=0,0,INDEX($AG$2:$AG$11,$EG22))</f>
        <v/>
      </c>
      <c r="EV22" s="141">
        <f>IFERROR(VLOOKUP($ED22,$BL$2:$BP$24,3,FALSE),0)</f>
        <v/>
      </c>
      <c r="EW22" s="141">
        <f>IFERROR(VLOOKUP($EE22,$BL$2:$BP$24,3,FALSE),0)</f>
        <v/>
      </c>
      <c r="EX22" s="141">
        <f>IFERROR(VLOOKUP($ED22,$BL$2:$BP$24,2,FALSE),"")</f>
        <v/>
      </c>
      <c r="EY22" s="141">
        <f>IFERROR(VLOOKUP($EE22,$BL$2:$BP$24,2,FALSE),"")</f>
        <v/>
      </c>
      <c r="EZ22" s="141">
        <f>COUNTIF($EH22:$EL22,1)</f>
        <v/>
      </c>
      <c r="FA22" s="141">
        <f>COUNTIF($EH22:$EL22,2)</f>
        <v/>
      </c>
      <c r="FB22" s="141">
        <f>COUNTIF($EH22:$EL22,3)</f>
        <v/>
      </c>
      <c r="FC22" s="141">
        <f>COUNTIF($EH22:$EL22,4)</f>
        <v/>
      </c>
      <c r="FD22" s="141">
        <f>COUNTIF($EH22:$EL22,5)</f>
        <v/>
      </c>
      <c r="FE22" s="141">
        <f>COUNTIF($EH22:$EL22,6)</f>
        <v/>
      </c>
      <c r="FF22" s="141">
        <f>COUNTIF($EV22:$EW22,1)</f>
        <v/>
      </c>
      <c r="FG22" s="141">
        <f>COUNTIF($EV22:$EW22,2)+$ES22</f>
        <v/>
      </c>
      <c r="FH22" s="141">
        <f>COUNTIF($DZ22:$EC22,"?*")</f>
        <v/>
      </c>
      <c r="FI22" s="141">
        <f>COUNTIF($ED22:$EE22,"?*")+$ES22</f>
        <v/>
      </c>
      <c r="FJ22" s="141">
        <f>SUMPRODUCT($EZ22:$FE22,INDEX($Q$2:$V$8,$DW22,0))</f>
        <v/>
      </c>
      <c r="FK22" s="141">
        <f>$FF22*CEILING($DW22/2,1)+$FG22*$DW22</f>
        <v/>
      </c>
      <c r="FL22" s="141">
        <f>MIN(2*$DW22,$FK22)</f>
        <v/>
      </c>
      <c r="FM22" s="141">
        <f>MIN($FL22,$FJ22)</f>
        <v/>
      </c>
      <c r="FN22" s="141">
        <f>$FL22-$FM22</f>
        <v/>
      </c>
      <c r="FO22" s="141">
        <f>3*$DW22-$FJ22+$FM22</f>
        <v/>
      </c>
      <c r="FP22" s="141">
        <f>MAX(0,$FO22)+$DU22*$DW22</f>
        <v/>
      </c>
      <c r="FQ22" s="141">
        <f>(IF(COUNTIF($DZ22:$EC22,"Salto")&gt;0,1,0)+IF(COUNTIF($DZ22:$EC22,"Queima")&gt;0,1,0))*FLOOR($FP22/2,1)</f>
        <v/>
      </c>
      <c r="FR22" s="141">
        <f>MAX(0,3-SUMPRODUCT($EZ22:$FE22,$Q$2:$V$2)+MIN(2,$FF22*1+$FG22*1,SUMPRODUCT($EZ22:$FE22,$Q$2:$V$2)))+$DU22*1</f>
        <v/>
      </c>
      <c r="FS22" s="141">
        <f>MAX(0,6-SUMPRODUCT($EZ22:$FE22,$Q$3:$V$3)+MIN(4,$FF22*1+$FG22*2,SUMPRODUCT($EZ22:$FE22,$Q$3:$V$3)))+$DU22*2</f>
        <v/>
      </c>
      <c r="FT22" s="141">
        <f>MAX(0,9-SUMPRODUCT($EZ22:$FE22,$Q$4:$V$4)+MIN(6,$FF22*2+$FG22*3,SUMPRODUCT($EZ22:$FE22,$Q$4:$V$4)))+$DU22*3</f>
        <v/>
      </c>
      <c r="FU22" s="141">
        <f>MAX(0,12-SUMPRODUCT($EZ22:$FE22,$Q$5:$V$5)+MIN(8,$FF22*2+$FG22*4,SUMPRODUCT($EZ22:$FE22,$Q$5:$V$5)))+$DU22*4</f>
        <v/>
      </c>
      <c r="FV22" s="141">
        <f>MAX(0,15-SUMPRODUCT($EZ22:$FE22,$Q$6:$V$6)+MIN(10,$FF22*3+$FG22*5,SUMPRODUCT($EZ22:$FE22,$Q$6:$V$6)))+$DU22*5</f>
        <v/>
      </c>
      <c r="FW22" s="141">
        <f>MAX(0,18-SUMPRODUCT($EZ22:$FE22,$Q$7:$V$7)+MIN(12,$FF22*3+$FG22*6,SUMPRODUCT($EZ22:$FE22,$Q$7:$V$7)))+$DU22*6</f>
        <v/>
      </c>
      <c r="FX22" s="141">
        <f>MAX(0,21-SUMPRODUCT($EZ22:$FE22,$Q$8:$V$8)+MIN(14,$FF22*4+$FG22*7,SUMPRODUCT($EZ22:$FE22,$Q$8:$V$8)))+$DU22*7</f>
        <v/>
      </c>
      <c r="FY22" s="141">
        <f>IF($ET22=2,3*$FR22&amp;" de vida temp.",IF($ET22=3,"sem dano",IF($FR22=0,IF($ET22=1,"sem cura","sem dano"),IF($ET22=1,"cura ","")&amp;$FR22&amp;"d8")))</f>
        <v/>
      </c>
      <c r="FZ22" s="141">
        <f>IF($ET22=2,3*$FS22&amp;" de vida temp.",IF($ET22=3,"sem dano",IF($FS22=0,IF($ET22=1,"sem cura","sem dano"),IF($ET22=1,"cura ","")&amp;$FS22&amp;"d8")))</f>
        <v/>
      </c>
      <c r="GA22" s="141">
        <f>IF($ET22=2,3*$FT22&amp;" de vida temp.",IF($ET22=3,"sem dano",IF($FT22=0,IF($ET22=1,"sem cura","sem dano"),IF($ET22=1,"cura ","")&amp;$FT22&amp;"d8")))</f>
        <v/>
      </c>
      <c r="GB22" s="141">
        <f>IF($ET22=2,3*$FU22&amp;" de vida temp.",IF($ET22=3,"sem dano",IF($FU22=0,IF($ET22=1,"sem cura","sem dano"),IF($ET22=1,"cura ","")&amp;$FU22&amp;"d8")))</f>
        <v/>
      </c>
      <c r="GC22" s="141">
        <f>IF($ET22=2,3*$FV22&amp;" de vida temp.",IF($ET22=3,"sem dano",IF($FV22=0,IF($ET22=1,"sem cura","sem dano"),IF($ET22=1,"cura ","")&amp;$FV22&amp;"d8")))</f>
        <v/>
      </c>
      <c r="GD22" s="141">
        <f>IF($ET22=2,3*$FW22&amp;" de vida temp.",IF($ET22=3,"sem dano",IF($FW22=0,IF($ET22=1,"sem cura","sem dano"),IF($ET22=1,"cura ","")&amp;$FW22&amp;"d8")))</f>
        <v/>
      </c>
      <c r="GE22" s="141">
        <f>IF($ET22=2,3*$FX22&amp;" de vida temp.",IF($ET22=3,"sem dano",IF($FX22=0,IF($ET22=1,"sem cura","sem dano"),IF($ET22=1,"cura ","")&amp;$FX22&amp;"d8")))</f>
        <v/>
      </c>
      <c r="GF22" s="141">
        <f>IF($EF22=0,"",TEXTJOIN(" · ",TRUE,IF(AND($DU22=1,$DV22&gt;$HE$9),"O nível "&amp;$HE$2&amp;" dá "&amp;$HE$9&amp;" Liberação Máxima",""),IF($DW22&gt;$HE$4,"Classe "&amp;$DW22&amp;": o nível "&amp;$HE$2&amp;" libera até a "&amp;$HE$4,""),IF($EM22=1,"Família Fechada: a Forma "&amp;$DY22,""),IF($EN22=1,"Família Fechada: "&amp;$DZ22,""),IF($EO22=1,"Família Fechada: "&amp;$EA22,""),IF($EP22=1,"Família Fechada: "&amp;$EB22,""),IF($EQ22=1,"Família Fechada: "&amp;$EC22,""),IF($FH22&gt;INDEX($W$2:$W$8,$DW22),$FH22&amp;" Melhorias: a Classe "&amp;$DW22&amp;" aceita "&amp;INDEX($W$2:$W$8,$DW22),""),IF($FI22&gt;2,$FI22&amp;" Restrições"&amp;IF($ES22=1,", contando a que a Forma "&amp;$DY22&amp;" já traz","")&amp;": o limite é 2",""),IF($FO22&lt;0,"Orçamento estourado: faltam "&amp;(-$FO22)&amp;IF($FO22&lt;-1," pontos"," ponto"),""),IF(IFERROR(VLOOKUP($ED22,$BL$2:$BP$24,4,FALSE),0)+IFERROR(VLOOKUP($EE22,$BL$2:$BP$24,4,FALSE),0)&gt;1,$EX22&amp;" e "&amp;$EY22&amp;" são as duas de frequência",""),IF(AND((COUNTIF($DZ22:$EC22,"Rápido")+COUNTIF($EX22:$EY22,"Rápido"))&gt;0,(COUNTIF($DZ22:$EC22,"Reação")+COUNTIF($EX22:$EY22,"Reação"))&gt;0),"Rápido não entra com Reação",""),IF(AND((COUNTIF($DZ22:$EC22,"Rápido")+COUNTIF($EX22:$EY22,"Rápido"))&gt;0,(COUNTIF($DZ22:$EC22,"Atrasar")+COUNTIF($EX22:$EY22,"Atrasar"))&gt;0),"Rápido não entra com Atrasar",""),IF(AND((COUNTIF($DZ22:$EC22,"Reação")+COUNTIF($EX22:$EY22,"Reação"))&gt;0,(COUNTIF($DZ22:$EC22,"Atrasar")+COUNTIF($EX22:$EY22,"Atrasar"))&gt;0),"Reação não entra com Atrasar",""),IF(AND((COUNTIF($DZ22:$EC22,"Reação")+COUNTIF($EX22:$EY22,"Reação"))&gt;0,(COUNTIF($DZ22:$EC22,"Parado")+COUNTIF($EX22:$EY22,"Parado"))&gt;0),"Reação não entra com Parado",""),IF(AND(COUNTIF($EX22:$EY22,"Corpo a Corpo")&gt;0,$ES22=0,OR($DY22="Cone",$DY22="Linha")),"Corpo a Corpo não entra em "&amp;$DY22,""),IF(AND(COUNTIF($EX22:$EY22,"Corpo a Corpo")&gt;0,$ES22=1),"A Forma "&amp;$DY22&amp;" já traz o Corpo a Corpo",""),IF(AND(COUNTIF($EX22:$EY22,"Tudo ou Nada")&gt;0,$EU22=0),"Tudo ou Nada só entra em feitiço de Teste de Resistência",""),IF(AND(COUNTIF($DZ22:$EC22,"Inescapável")&gt;0,OR($FH22&gt;1,$FI22&gt;0)),"Inescapável não aceita outra peça",""),IF(AND($DU22=1,$DW22&lt;3),"Liberação Máxima é de Classe 3 ou mais",""),IF(AND($DU22=1,OR($ET22=1,$ET22=2)),"Liberação Máxima não serve para cura",""),IF(AND($DU22=1,COUNTIF($DZ22:$EC22,"Inescapável")+COUNTIF($DZ22:$EC22,"Toca a Alma")&gt;0),"Esta peça não entra numa Liberação Máxima",""),IF($FP22+$FQ22&gt;4*$DW22,($FP22+$FQ22)&amp;" dados somando alvos e repetições: o teto da Classe "&amp;$DW22&amp;" é "&amp;4*$DW22,"")))</f>
        <v/>
      </c>
      <c r="GG22" s="141">
        <f>IF($GF22="",0,(LEN($GF22)-LEN(SUBSTITUTE($GF22," · ","")))/3+1)</f>
        <v/>
      </c>
      <c r="GH22" s="141">
        <f>IF($EF22=0,"",TEXTJOIN(" · ",TRUE,IF($FK22&gt;2*$DW22,"A devolução parou no teto de "&amp;2*$DW22,""),IF($FN22&gt;0,"Devolução perdida: "&amp;$FN22&amp;IF($FN22&gt;1," pontos"," ponto")&amp;" sem peça para pagar",""),IF(AND($ER22&gt;0,$FP22=0),"Controle sem dano: uma rodada a mais e CD +2",""),IF(AND($ER22&gt;0,$FP22&gt;0,$FP22&lt;=$DW22),"Controle com um quarto do teto: uma rodada a mais","")))</f>
        <v/>
      </c>
      <c r="GI22" s="141">
        <f>IF($GH22="",0,(LEN($GH22)-LEN(SUBSTITUTE($GH22," · ","")))/3+1)</f>
        <v/>
      </c>
      <c r="GJ22" s="141">
        <f>IF($EF22=0,IF($FH22+$FI22-$ES22&gt;0,"Dê um nome",""),IF($GG22&gt;0,"⚠ "&amp;$GG22&amp;IF($GG22&gt;1," erros"," erro"),IF($GI22&gt;0,"! "&amp;$GI22&amp;IF($GI22&gt;1," avisos"," aviso"),"Na regra")))</f>
        <v/>
      </c>
      <c r="GK22" s="141">
        <f>IF($EF22=0,"",IF($GG22+$GI22=0,"Dentro das regras que a ficha confere",$GF22&amp;IF(AND($GG22&gt;0,$GI22&gt;0)," · ","")&amp;$GH22))</f>
        <v/>
      </c>
      <c r="GL22" s="141">
        <f>IF($EF22=0,"",IF($DU22=1,CEILING(4.5*$DW22,1),3*$DW22)&amp;" PE")</f>
        <v/>
      </c>
      <c r="GM22" s="141">
        <f>IF($EF22=0,"",IF($DU22=1,"Rodada inteira",IF(COUNTIF($EX22:$EY22,"Atrasar")&gt;0,IF(COUNTIF($EX22:$EY22,"Carregar")&gt;0,"Rodada +1 turno","Rodada inteira"),IF(COUNTIF($DZ22:$EC22,"Rápido")&gt;0,"Bônus",IF(COUNTIF($DZ22:$EC22,"Reação")&gt;0,"Reação","Padrão"))&amp;IF(COUNTIF($EX22:$EY22,"Carregar")&gt;0," +1 turno",""))))</f>
        <v/>
      </c>
      <c r="GN22" s="141">
        <f>IF(OR($EF22=0,$EG22=0),"",IF(COUNTIF($DZ22:$EC22,"Inescapável")&gt;0,"Automático",IF(COUNTIF($DZ22:$EC22,"Certeiro")&gt;0,"TR para metade",INDEX($AF$2:$AF$11,$EG22))))</f>
        <v/>
      </c>
      <c r="GO22" s="141">
        <f>IF(OR($EF22=0,$EG22=0),"",IF(OR($ET22&gt;=2,$FP22=0),UPPER(LEFT(INDEX($FY22:$GE22,1,$DW22),1))&amp;MID(INDEX($FY22:$GE22,1,$DW22),2,99),UPPER(LEFT(INDEX($FY22:$GE22,1,$DW22),1))&amp;MID(INDEX($FY22:$GE22,1,$DW22),2,99)&amp;" = "&amp;FLOOR($FP22*4.5,1)&amp;IF($FQ22&gt;0," · +"&amp;$FQ22&amp;"d8","")))</f>
        <v/>
      </c>
      <c r="GP22" s="141">
        <f>COUNTIF($DZ22:$EC22,"Longe")+3*COUNTIF($DZ22:$EC22,"Muito Longe")</f>
        <v/>
      </c>
      <c r="GQ22" s="141">
        <f>COUNTIF($DZ22:$EC22,"Maior")+3*COUNTIF($DZ22:$EC22,"Muito Maior")</f>
        <v/>
      </c>
      <c r="GR22" s="141">
        <f>IF($EG22=0,0,CHOOSE(1+INDEX($AH$2:$AH$11,$EG22),0,$GP22,$GQ22,$GP22+$GQ22))</f>
        <v/>
      </c>
      <c r="GS22" s="141">
        <f>IF($EG22=0,0,CHOOSE(1+INDEX($AI$2:$AI$11,$EG22),0,$GP22,$GQ22,$GP22+$GQ22))</f>
        <v/>
      </c>
      <c r="GT22" s="141">
        <f>IF(OR($EF22=0,$EG22=0),"",INDEX($AP$2:$AU$31,($EG22-1)*3+IF($DW22&gt;=6,3,2),1+MIN(5,$GR22))&amp;INDEX($AV$2:$BA$31,($EG22-1)*3+IF($DW22&gt;=6,3,2),1+MIN(5,$GS22))&amp;IF(INDEX($AJ$2:$AJ$11,$EG22)=1,IF(COUNTIF($DZ22:$EC22,"Mais Um")&gt;0," · +"&amp;COUNTIF($DZ22:$EC22,"Mais Um")&amp;IF(COUNTIF($DZ22:$EC22,"Mais Um")&gt;1," alvos"," alvo"),"")&amp;IF(COUNTIF($DZ22:$EC22,"Rajada")&gt;0," · "&amp;($DW22+1)&amp;" tiros",""),""))</f>
        <v/>
      </c>
      <c r="GU22" s="141">
        <f>IF($EF22=0,"",3*$DW22&amp;" − "&amp;$FJ22&amp;" + "&amp;$FM22&amp;IF($DU22=1," + "&amp;$DW22,"")&amp;" = "&amp;$FP22&amp;"d8 · teto "&amp;4*$DW22&amp;IF($ES22=1," · a Forma devolve "&amp;$DW22,"")&amp;IF($FN22&gt;0," · perde "&amp;$FN22,""))</f>
        <v/>
      </c>
      <c r="GV22" s="141">
        <f>IF($EF22=0,"",IF($DW22&gt;=$HE$4,"Já está na maior Classe que o nível liberou",TEXTJOIN(" · ",TRUE,IF(AND(2&gt;$DW22,2&lt;=$HE$4),"2 → "&amp;$FZ22&amp;", "&amp;IF($DU22=1,9,6)&amp;" PE",""),IF(AND(3&gt;$DW22,3&lt;=$HE$4),"3 → "&amp;$GA22&amp;", "&amp;IF($DU22=1,14,9)&amp;" PE",""),IF(AND(4&gt;$DW22,4&lt;=$HE$4),"4 → "&amp;$GB22&amp;", "&amp;IF($DU22=1,18,12)&amp;" PE",""),IF(AND(5&gt;$DW22,5&lt;=$HE$4),"5 → "&amp;$GC22&amp;", "&amp;IF($DU22=1,23,15)&amp;" PE",""),IF(AND(6&gt;$DW22,6&lt;=$HE$4),"6 → "&amp;$GD22&amp;", "&amp;IF($DU22=1,27,18)&amp;" PE",""),IF(AND(7&gt;$DW22,7&lt;=$HE$4),"7 → "&amp;$GE22&amp;", "&amp;IF($DU22=1,32,21)&amp;" PE",""))))</f>
        <v/>
      </c>
      <c r="GW22" s="141">
        <f>IF(OR($EF22=0,$EI22=0),"","−"&amp;INDEX($Q$2:$V$8,$DW22,$EI22)&amp;" · "&amp;CHOOSE($EI22,"Leve","Média","Pesada","Leve · Livre","Média · Livre","Pesada · Livre"))</f>
        <v/>
      </c>
      <c r="GX22" s="141">
        <f>IF(OR($EF22=0,$EJ22=0),"","−"&amp;INDEX($Q$2:$V$8,$DW22,$EJ22)&amp;" · "&amp;CHOOSE($EJ22,"Leve","Média","Pesada","Leve · Livre","Média · Livre","Pesada · Livre"))</f>
        <v/>
      </c>
      <c r="GY22" s="141">
        <f>IF(OR($EF22=0,$EK22=0),"","−"&amp;INDEX($Q$2:$V$8,$DW22,$EK22)&amp;" · "&amp;CHOOSE($EK22,"Leve","Média","Pesada","Leve · Livre","Média · Livre","Pesada · Livre"))</f>
        <v/>
      </c>
      <c r="GZ22" s="141">
        <f>IF(OR($EF22=0,$EL22=0),"","−"&amp;INDEX($Q$2:$V$8,$DW22,$EL22)&amp;" · "&amp;CHOOSE($EL22,"Leve","Média","Pesada","Leve · Livre","Média · Livre","Pesada · Livre"))</f>
        <v/>
      </c>
      <c r="HA22" s="141">
        <f>IF(OR($EF22=0,$ED22=""),"","+"&amp;IF($EV22=1,CEILING($DW22/2,1),$DW22))</f>
        <v/>
      </c>
      <c r="HB22" s="141">
        <f>IF(OR($EF22=0,$EE22=""),"","+"&amp;IF($EW22=1,CEILING($DW22/2,1),$DW22))</f>
        <v/>
      </c>
      <c r="HD22" s="114" t="inlineStr">
        <is>
          <t>livres</t>
        </is>
      </c>
      <c r="HE22" s="141">
        <f>$HE$21-$HE$15</f>
        <v/>
      </c>
      <c r="IJ22" s="114" t="inlineStr">
        <is>
          <t>R42</t>
        </is>
      </c>
      <c r="IK22" s="141">
        <f>IF(DADOS_AM!$HE$22&lt;0,"⚠ ","")&amp;DADOS_AM!$HE$22</f>
        <v/>
      </c>
    </row>
    <row r="23">
      <c r="AO23" s="114" t="inlineStr">
        <is>
          <t>Apoio · classe 0</t>
        </is>
      </c>
      <c r="AP23" s="114" t="inlineStr">
        <is>
          <t>Um aliado a 4,5 m</t>
        </is>
      </c>
      <c r="AQ23" s="114" t="inlineStr">
        <is>
          <t>Um aliado a 9 m</t>
        </is>
      </c>
      <c r="AR23" s="114" t="inlineStr">
        <is>
          <t>Um aliado a 18 m</t>
        </is>
      </c>
      <c r="AS23" s="114" t="inlineStr">
        <is>
          <t>Um aliado a 36 m</t>
        </is>
      </c>
      <c r="AT23" s="114" t="inlineStr">
        <is>
          <t>Um aliado a 90 m</t>
        </is>
      </c>
      <c r="AU23" s="114" t="inlineStr">
        <is>
          <t>Um aliado a o que você enxergar</t>
        </is>
      </c>
      <c r="AV23" s="114" t="inlineStr"/>
      <c r="AW23" s="114" t="inlineStr"/>
      <c r="AX23" s="114" t="inlineStr"/>
      <c r="AY23" s="114" t="inlineStr"/>
      <c r="AZ23" s="114" t="inlineStr"/>
      <c r="BA23" s="114" t="inlineStr"/>
      <c r="BC23" s="114" t="inlineStr">
        <is>
          <t>De Novo</t>
        </is>
      </c>
      <c r="BD23" s="114" t="inlineStr">
        <is>
          <t>Mira</t>
        </is>
      </c>
      <c r="BE23" s="141" t="n">
        <v>2</v>
      </c>
      <c r="BF23" s="141">
        <f>$BE23+3*IFERROR(VLOOKUP($BD23,$I$2:$L$10,3,FALSE),0)</f>
        <v/>
      </c>
      <c r="BG23" s="141">
        <f>IFERROR(VLOOKUP($BD23,$I$2:$L$10,4,FALSE),0)</f>
        <v/>
      </c>
      <c r="BH23" s="141" t="n">
        <v>0</v>
      </c>
      <c r="BI23" s="141">
        <f>IF($BG23=1,"",$BC23)</f>
        <v/>
      </c>
      <c r="BJ23" s="141">
        <f>IF(AND($BE23=1,$BG23=0),$BC23,"")</f>
        <v/>
      </c>
      <c r="BL23" s="114" t="inlineStr">
        <is>
          <t>Restrição Própria (Leve)</t>
        </is>
      </c>
      <c r="BM23" s="114" t="inlineStr">
        <is>
          <t>Restrição Própria</t>
        </is>
      </c>
      <c r="BN23" s="141" t="n">
        <v>1</v>
      </c>
      <c r="BO23" s="141" t="n">
        <v>0</v>
      </c>
      <c r="BP23" s="114" t="inlineStr">
        <is>
          <t>Restrição Própria (Leve)</t>
        </is>
      </c>
      <c r="BR23" s="114" t="inlineStr">
        <is>
          <t>Contragolpe</t>
        </is>
      </c>
      <c r="BS23" s="141" t="n">
        <v>2</v>
      </c>
      <c r="BT23" s="114" t="inlineStr">
        <is>
          <t>Vale quando alguém erra um ataque corpo a corpo contra você. A resposta. A sua próxima Kata contra ele tem vantagem. Relógio. maestria× por cena.</t>
        </is>
      </c>
      <c r="BU23" s="141" t="n">
        <v>0</v>
      </c>
      <c r="BV23" s="141" t="n">
        <v>1</v>
      </c>
      <c r="BW23" s="141">
        <f>IF(OR(AND($A$2&lt;=2,$BU23=1),AND($A$2&gt;=2,$BV23=1)),$BR23,"")</f>
        <v/>
      </c>
      <c r="CB23" s="114" t="inlineStr">
        <is>
          <t>Vigília</t>
        </is>
      </c>
      <c r="CC23" s="114" t="inlineStr">
        <is>
          <t>—</t>
        </is>
      </c>
      <c r="CD23" s="141" t="n">
        <v>2</v>
      </c>
      <c r="CE23" s="114" t="inlineStr">
        <is>
          <t>—</t>
        </is>
      </c>
      <c r="CF23" s="114" t="inlineStr">
        <is>
          <t>Você conta um degrau de exaustão a menos do que tem, para todo efeito. O degrau continua marcado na ficha. O que muda é o que ele cobra de você.</t>
        </is>
      </c>
      <c r="CG23" s="141">
        <f>IF($CJ23=1,"",IF($A$2=4,IF($CH23=1,$CB23,""),IF(OR($CH23=1,AND($A$2=3,$CI23=1)),"",$CB23)))</f>
        <v/>
      </c>
      <c r="CH23" s="141" t="n">
        <v>1</v>
      </c>
      <c r="CI23" s="141" t="n">
        <v>0</v>
      </c>
      <c r="CJ23" s="141" t="n">
        <v>0</v>
      </c>
      <c r="DT23" s="114" t="inlineStr">
        <is>
          <t>Feitiço 22</t>
        </is>
      </c>
      <c r="DU23" s="141" t="n">
        <v>0</v>
      </c>
      <c r="DV23" s="141" t="n">
        <v>22</v>
      </c>
      <c r="DW23" s="141">
        <f>MAX(1,MIN(7,N('FICHA AMALDIÇOADA'!$D$200)))</f>
        <v/>
      </c>
      <c r="DX23" s="141">
        <f>'FICHA AMALDIÇOADA'!$E$200&amp;""</f>
        <v/>
      </c>
      <c r="DY23" s="141">
        <f>'FICHA AMALDIÇOADA'!$D$207&amp;""</f>
        <v/>
      </c>
      <c r="DZ23" s="141">
        <f>'FICHA AMALDIÇOADA'!$E$209&amp;""</f>
        <v/>
      </c>
      <c r="EA23" s="141">
        <f>'FICHA AMALDIÇOADA'!$E$210&amp;""</f>
        <v/>
      </c>
      <c r="EB23" s="141">
        <f>'FICHA AMALDIÇOADA'!$E$211&amp;""</f>
        <v/>
      </c>
      <c r="EC23" s="141">
        <f>'FICHA AMALDIÇOADA'!$E$212&amp;""</f>
        <v/>
      </c>
      <c r="ED23" s="141">
        <f>'FICHA AMALDIÇOADA'!$E$213&amp;""</f>
        <v/>
      </c>
      <c r="EE23" s="141">
        <f>'FICHA AMALDIÇOADA'!$E$214&amp;""</f>
        <v/>
      </c>
      <c r="EF23" s="141">
        <f>IF($DX23&lt;&gt;"",1,0)</f>
        <v/>
      </c>
      <c r="EG23" s="141">
        <f>IFERROR(MATCH($DY23,$Y$2:$Y$11,0),0)</f>
        <v/>
      </c>
      <c r="EH23" s="141">
        <f>IF($EG23=0,0,INDEX($AB$2:$AB$11,$EG23))</f>
        <v/>
      </c>
      <c r="EI23" s="141">
        <f>IFERROR(VLOOKUP($DZ23,$BC$2:$BJ$84,4,FALSE),0)</f>
        <v/>
      </c>
      <c r="EJ23" s="141">
        <f>IFERROR(VLOOKUP($EA23,$BC$2:$BJ$84,4,FALSE),0)</f>
        <v/>
      </c>
      <c r="EK23" s="141">
        <f>IFERROR(VLOOKUP($EB23,$BC$2:$BJ$84,4,FALSE),0)</f>
        <v/>
      </c>
      <c r="EL23" s="141">
        <f>IFERROR(VLOOKUP($EC23,$BC$2:$BJ$84,4,FALSE),0)</f>
        <v/>
      </c>
      <c r="EM23" s="141">
        <f>IF($EG23=0,0,INDEX($AC$2:$AC$11,$EG23))</f>
        <v/>
      </c>
      <c r="EN23" s="141">
        <f>IFERROR(VLOOKUP($DZ23,$BC$2:$BJ$84,5,FALSE),0)</f>
        <v/>
      </c>
      <c r="EO23" s="141">
        <f>IFERROR(VLOOKUP($EA23,$BC$2:$BJ$84,5,FALSE),0)</f>
        <v/>
      </c>
      <c r="EP23" s="141">
        <f>IFERROR(VLOOKUP($EB23,$BC$2:$BJ$84,5,FALSE),0)</f>
        <v/>
      </c>
      <c r="EQ23" s="141">
        <f>IFERROR(VLOOKUP($EC23,$BC$2:$BJ$84,5,FALSE),0)</f>
        <v/>
      </c>
      <c r="ER23" s="141">
        <f>IFERROR(VLOOKUP($DZ23,$BC$2:$BJ$84,6,FALSE),0)+IFERROR(VLOOKUP($EA23,$BC$2:$BJ$84,6,FALSE),0)+IFERROR(VLOOKUP($EB23,$BC$2:$BJ$84,6,FALSE),0)+IFERROR(VLOOKUP($EC23,$BC$2:$BJ$84,6,FALSE),0)</f>
        <v/>
      </c>
      <c r="ES23" s="141">
        <f>IF($EG23=0,0,INDEX($AD$2:$AD$11,$EG23))</f>
        <v/>
      </c>
      <c r="ET23" s="141">
        <f>IF($EG23=0,0,INDEX($AE$2:$AE$11,$EG23))</f>
        <v/>
      </c>
      <c r="EU23" s="141">
        <f>IF($EG23=0,0,INDEX($AG$2:$AG$11,$EG23))</f>
        <v/>
      </c>
      <c r="EV23" s="141">
        <f>IFERROR(VLOOKUP($ED23,$BL$2:$BP$24,3,FALSE),0)</f>
        <v/>
      </c>
      <c r="EW23" s="141">
        <f>IFERROR(VLOOKUP($EE23,$BL$2:$BP$24,3,FALSE),0)</f>
        <v/>
      </c>
      <c r="EX23" s="141">
        <f>IFERROR(VLOOKUP($ED23,$BL$2:$BP$24,2,FALSE),"")</f>
        <v/>
      </c>
      <c r="EY23" s="141">
        <f>IFERROR(VLOOKUP($EE23,$BL$2:$BP$24,2,FALSE),"")</f>
        <v/>
      </c>
      <c r="EZ23" s="141">
        <f>COUNTIF($EH23:$EL23,1)</f>
        <v/>
      </c>
      <c r="FA23" s="141">
        <f>COUNTIF($EH23:$EL23,2)</f>
        <v/>
      </c>
      <c r="FB23" s="141">
        <f>COUNTIF($EH23:$EL23,3)</f>
        <v/>
      </c>
      <c r="FC23" s="141">
        <f>COUNTIF($EH23:$EL23,4)</f>
        <v/>
      </c>
      <c r="FD23" s="141">
        <f>COUNTIF($EH23:$EL23,5)</f>
        <v/>
      </c>
      <c r="FE23" s="141">
        <f>COUNTIF($EH23:$EL23,6)</f>
        <v/>
      </c>
      <c r="FF23" s="141">
        <f>COUNTIF($EV23:$EW23,1)</f>
        <v/>
      </c>
      <c r="FG23" s="141">
        <f>COUNTIF($EV23:$EW23,2)+$ES23</f>
        <v/>
      </c>
      <c r="FH23" s="141">
        <f>COUNTIF($DZ23:$EC23,"?*")</f>
        <v/>
      </c>
      <c r="FI23" s="141">
        <f>COUNTIF($ED23:$EE23,"?*")+$ES23</f>
        <v/>
      </c>
      <c r="FJ23" s="141">
        <f>SUMPRODUCT($EZ23:$FE23,INDEX($Q$2:$V$8,$DW23,0))</f>
        <v/>
      </c>
      <c r="FK23" s="141">
        <f>$FF23*CEILING($DW23/2,1)+$FG23*$DW23</f>
        <v/>
      </c>
      <c r="FL23" s="141">
        <f>MIN(2*$DW23,$FK23)</f>
        <v/>
      </c>
      <c r="FM23" s="141">
        <f>MIN($FL23,$FJ23)</f>
        <v/>
      </c>
      <c r="FN23" s="141">
        <f>$FL23-$FM23</f>
        <v/>
      </c>
      <c r="FO23" s="141">
        <f>3*$DW23-$FJ23+$FM23</f>
        <v/>
      </c>
      <c r="FP23" s="141">
        <f>MAX(0,$FO23)+$DU23*$DW23</f>
        <v/>
      </c>
      <c r="FQ23" s="141">
        <f>(IF(COUNTIF($DZ23:$EC23,"Salto")&gt;0,1,0)+IF(COUNTIF($DZ23:$EC23,"Queima")&gt;0,1,0))*FLOOR($FP23/2,1)</f>
        <v/>
      </c>
      <c r="FR23" s="141">
        <f>MAX(0,3-SUMPRODUCT($EZ23:$FE23,$Q$2:$V$2)+MIN(2,$FF23*1+$FG23*1,SUMPRODUCT($EZ23:$FE23,$Q$2:$V$2)))+$DU23*1</f>
        <v/>
      </c>
      <c r="FS23" s="141">
        <f>MAX(0,6-SUMPRODUCT($EZ23:$FE23,$Q$3:$V$3)+MIN(4,$FF23*1+$FG23*2,SUMPRODUCT($EZ23:$FE23,$Q$3:$V$3)))+$DU23*2</f>
        <v/>
      </c>
      <c r="FT23" s="141">
        <f>MAX(0,9-SUMPRODUCT($EZ23:$FE23,$Q$4:$V$4)+MIN(6,$FF23*2+$FG23*3,SUMPRODUCT($EZ23:$FE23,$Q$4:$V$4)))+$DU23*3</f>
        <v/>
      </c>
      <c r="FU23" s="141">
        <f>MAX(0,12-SUMPRODUCT($EZ23:$FE23,$Q$5:$V$5)+MIN(8,$FF23*2+$FG23*4,SUMPRODUCT($EZ23:$FE23,$Q$5:$V$5)))+$DU23*4</f>
        <v/>
      </c>
      <c r="FV23" s="141">
        <f>MAX(0,15-SUMPRODUCT($EZ23:$FE23,$Q$6:$V$6)+MIN(10,$FF23*3+$FG23*5,SUMPRODUCT($EZ23:$FE23,$Q$6:$V$6)))+$DU23*5</f>
        <v/>
      </c>
      <c r="FW23" s="141">
        <f>MAX(0,18-SUMPRODUCT($EZ23:$FE23,$Q$7:$V$7)+MIN(12,$FF23*3+$FG23*6,SUMPRODUCT($EZ23:$FE23,$Q$7:$V$7)))+$DU23*6</f>
        <v/>
      </c>
      <c r="FX23" s="141">
        <f>MAX(0,21-SUMPRODUCT($EZ23:$FE23,$Q$8:$V$8)+MIN(14,$FF23*4+$FG23*7,SUMPRODUCT($EZ23:$FE23,$Q$8:$V$8)))+$DU23*7</f>
        <v/>
      </c>
      <c r="FY23" s="141">
        <f>IF($ET23=2,3*$FR23&amp;" de vida temp.",IF($ET23=3,"sem dano",IF($FR23=0,IF($ET23=1,"sem cura","sem dano"),IF($ET23=1,"cura ","")&amp;$FR23&amp;"d8")))</f>
        <v/>
      </c>
      <c r="FZ23" s="141">
        <f>IF($ET23=2,3*$FS23&amp;" de vida temp.",IF($ET23=3,"sem dano",IF($FS23=0,IF($ET23=1,"sem cura","sem dano"),IF($ET23=1,"cura ","")&amp;$FS23&amp;"d8")))</f>
        <v/>
      </c>
      <c r="GA23" s="141">
        <f>IF($ET23=2,3*$FT23&amp;" de vida temp.",IF($ET23=3,"sem dano",IF($FT23=0,IF($ET23=1,"sem cura","sem dano"),IF($ET23=1,"cura ","")&amp;$FT23&amp;"d8")))</f>
        <v/>
      </c>
      <c r="GB23" s="141">
        <f>IF($ET23=2,3*$FU23&amp;" de vida temp.",IF($ET23=3,"sem dano",IF($FU23=0,IF($ET23=1,"sem cura","sem dano"),IF($ET23=1,"cura ","")&amp;$FU23&amp;"d8")))</f>
        <v/>
      </c>
      <c r="GC23" s="141">
        <f>IF($ET23=2,3*$FV23&amp;" de vida temp.",IF($ET23=3,"sem dano",IF($FV23=0,IF($ET23=1,"sem cura","sem dano"),IF($ET23=1,"cura ","")&amp;$FV23&amp;"d8")))</f>
        <v/>
      </c>
      <c r="GD23" s="141">
        <f>IF($ET23=2,3*$FW23&amp;" de vida temp.",IF($ET23=3,"sem dano",IF($FW23=0,IF($ET23=1,"sem cura","sem dano"),IF($ET23=1,"cura ","")&amp;$FW23&amp;"d8")))</f>
        <v/>
      </c>
      <c r="GE23" s="141">
        <f>IF($ET23=2,3*$FX23&amp;" de vida temp.",IF($ET23=3,"sem dano",IF($FX23=0,IF($ET23=1,"sem cura","sem dano"),IF($ET23=1,"cura ","")&amp;$FX23&amp;"d8")))</f>
        <v/>
      </c>
      <c r="GF23" s="141">
        <f>IF($EF23=0,"",TEXTJOIN(" · ",TRUE,IF(AND($DU23=1,$DV23&gt;$HE$9),"O nível "&amp;$HE$2&amp;" dá "&amp;$HE$9&amp;" Liberação Máxima",""),IF($DW23&gt;$HE$4,"Classe "&amp;$DW23&amp;": o nível "&amp;$HE$2&amp;" libera até a "&amp;$HE$4,""),IF($EM23=1,"Família Fechada: a Forma "&amp;$DY23,""),IF($EN23=1,"Família Fechada: "&amp;$DZ23,""),IF($EO23=1,"Família Fechada: "&amp;$EA23,""),IF($EP23=1,"Família Fechada: "&amp;$EB23,""),IF($EQ23=1,"Família Fechada: "&amp;$EC23,""),IF($FH23&gt;INDEX($W$2:$W$8,$DW23),$FH23&amp;" Melhorias: a Classe "&amp;$DW23&amp;" aceita "&amp;INDEX($W$2:$W$8,$DW23),""),IF($FI23&gt;2,$FI23&amp;" Restrições"&amp;IF($ES23=1,", contando a que a Forma "&amp;$DY23&amp;" já traz","")&amp;": o limite é 2",""),IF($FO23&lt;0,"Orçamento estourado: faltam "&amp;(-$FO23)&amp;IF($FO23&lt;-1," pontos"," ponto"),""),IF(IFERROR(VLOOKUP($ED23,$BL$2:$BP$24,4,FALSE),0)+IFERROR(VLOOKUP($EE23,$BL$2:$BP$24,4,FALSE),0)&gt;1,$EX23&amp;" e "&amp;$EY23&amp;" são as duas de frequência",""),IF(AND((COUNTIF($DZ23:$EC23,"Rápido")+COUNTIF($EX23:$EY23,"Rápido"))&gt;0,(COUNTIF($DZ23:$EC23,"Reação")+COUNTIF($EX23:$EY23,"Reação"))&gt;0),"Rápido não entra com Reação",""),IF(AND((COUNTIF($DZ23:$EC23,"Rápido")+COUNTIF($EX23:$EY23,"Rápido"))&gt;0,(COUNTIF($DZ23:$EC23,"Atrasar")+COUNTIF($EX23:$EY23,"Atrasar"))&gt;0),"Rápido não entra com Atrasar",""),IF(AND((COUNTIF($DZ23:$EC23,"Reação")+COUNTIF($EX23:$EY23,"Reação"))&gt;0,(COUNTIF($DZ23:$EC23,"Atrasar")+COUNTIF($EX23:$EY23,"Atrasar"))&gt;0),"Reação não entra com Atrasar",""),IF(AND((COUNTIF($DZ23:$EC23,"Reação")+COUNTIF($EX23:$EY23,"Reação"))&gt;0,(COUNTIF($DZ23:$EC23,"Parado")+COUNTIF($EX23:$EY23,"Parado"))&gt;0),"Reação não entra com Parado",""),IF(AND(COUNTIF($EX23:$EY23,"Corpo a Corpo")&gt;0,$ES23=0,OR($DY23="Cone",$DY23="Linha")),"Corpo a Corpo não entra em "&amp;$DY23,""),IF(AND(COUNTIF($EX23:$EY23,"Corpo a Corpo")&gt;0,$ES23=1),"A Forma "&amp;$DY23&amp;" já traz o Corpo a Corpo",""),IF(AND(COUNTIF($EX23:$EY23,"Tudo ou Nada")&gt;0,$EU23=0),"Tudo ou Nada só entra em feitiço de Teste de Resistência",""),IF(AND(COUNTIF($DZ23:$EC23,"Inescapável")&gt;0,OR($FH23&gt;1,$FI23&gt;0)),"Inescapável não aceita outra peça",""),IF(AND($DU23=1,$DW23&lt;3),"Liberação Máxima é de Classe 3 ou mais",""),IF(AND($DU23=1,OR($ET23=1,$ET23=2)),"Liberação Máxima não serve para cura",""),IF(AND($DU23=1,COUNTIF($DZ23:$EC23,"Inescapável")+COUNTIF($DZ23:$EC23,"Toca a Alma")&gt;0),"Esta peça não entra numa Liberação Máxima",""),IF($FP23+$FQ23&gt;4*$DW23,($FP23+$FQ23)&amp;" dados somando alvos e repetições: o teto da Classe "&amp;$DW23&amp;" é "&amp;4*$DW23,"")))</f>
        <v/>
      </c>
      <c r="GG23" s="141">
        <f>IF($GF23="",0,(LEN($GF23)-LEN(SUBSTITUTE($GF23," · ","")))/3+1)</f>
        <v/>
      </c>
      <c r="GH23" s="141">
        <f>IF($EF23=0,"",TEXTJOIN(" · ",TRUE,IF($FK23&gt;2*$DW23,"A devolução parou no teto de "&amp;2*$DW23,""),IF($FN23&gt;0,"Devolução perdida: "&amp;$FN23&amp;IF($FN23&gt;1," pontos"," ponto")&amp;" sem peça para pagar",""),IF(AND($ER23&gt;0,$FP23=0),"Controle sem dano: uma rodada a mais e CD +2",""),IF(AND($ER23&gt;0,$FP23&gt;0,$FP23&lt;=$DW23),"Controle com um quarto do teto: uma rodada a mais","")))</f>
        <v/>
      </c>
      <c r="GI23" s="141">
        <f>IF($GH23="",0,(LEN($GH23)-LEN(SUBSTITUTE($GH23," · ","")))/3+1)</f>
        <v/>
      </c>
      <c r="GJ23" s="141">
        <f>IF($EF23=0,IF($FH23+$FI23-$ES23&gt;0,"Dê um nome",""),IF($GG23&gt;0,"⚠ "&amp;$GG23&amp;IF($GG23&gt;1," erros"," erro"),IF($GI23&gt;0,"! "&amp;$GI23&amp;IF($GI23&gt;1," avisos"," aviso"),"Na regra")))</f>
        <v/>
      </c>
      <c r="GK23" s="141">
        <f>IF($EF23=0,"",IF($GG23+$GI23=0,"Dentro das regras que a ficha confere",$GF23&amp;IF(AND($GG23&gt;0,$GI23&gt;0)," · ","")&amp;$GH23))</f>
        <v/>
      </c>
      <c r="GL23" s="141">
        <f>IF($EF23=0,"",IF($DU23=1,CEILING(4.5*$DW23,1),3*$DW23)&amp;" PE")</f>
        <v/>
      </c>
      <c r="GM23" s="141">
        <f>IF($EF23=0,"",IF($DU23=1,"Rodada inteira",IF(COUNTIF($EX23:$EY23,"Atrasar")&gt;0,IF(COUNTIF($EX23:$EY23,"Carregar")&gt;0,"Rodada +1 turno","Rodada inteira"),IF(COUNTIF($DZ23:$EC23,"Rápido")&gt;0,"Bônus",IF(COUNTIF($DZ23:$EC23,"Reação")&gt;0,"Reação","Padrão"))&amp;IF(COUNTIF($EX23:$EY23,"Carregar")&gt;0," +1 turno",""))))</f>
        <v/>
      </c>
      <c r="GN23" s="141">
        <f>IF(OR($EF23=0,$EG23=0),"",IF(COUNTIF($DZ23:$EC23,"Inescapável")&gt;0,"Automático",IF(COUNTIF($DZ23:$EC23,"Certeiro")&gt;0,"TR para metade",INDEX($AF$2:$AF$11,$EG23))))</f>
        <v/>
      </c>
      <c r="GO23" s="141">
        <f>IF(OR($EF23=0,$EG23=0),"",IF(OR($ET23&gt;=2,$FP23=0),UPPER(LEFT(INDEX($FY23:$GE23,1,$DW23),1))&amp;MID(INDEX($FY23:$GE23,1,$DW23),2,99),UPPER(LEFT(INDEX($FY23:$GE23,1,$DW23),1))&amp;MID(INDEX($FY23:$GE23,1,$DW23),2,99)&amp;" = "&amp;FLOOR($FP23*4.5,1)&amp;IF($FQ23&gt;0," · +"&amp;$FQ23&amp;"d8","")))</f>
        <v/>
      </c>
      <c r="GP23" s="141">
        <f>COUNTIF($DZ23:$EC23,"Longe")+3*COUNTIF($DZ23:$EC23,"Muito Longe")</f>
        <v/>
      </c>
      <c r="GQ23" s="141">
        <f>COUNTIF($DZ23:$EC23,"Maior")+3*COUNTIF($DZ23:$EC23,"Muito Maior")</f>
        <v/>
      </c>
      <c r="GR23" s="141">
        <f>IF($EG23=0,0,CHOOSE(1+INDEX($AH$2:$AH$11,$EG23),0,$GP23,$GQ23,$GP23+$GQ23))</f>
        <v/>
      </c>
      <c r="GS23" s="141">
        <f>IF($EG23=0,0,CHOOSE(1+INDEX($AI$2:$AI$11,$EG23),0,$GP23,$GQ23,$GP23+$GQ23))</f>
        <v/>
      </c>
      <c r="GT23" s="141">
        <f>IF(OR($EF23=0,$EG23=0),"",INDEX($AP$2:$AU$31,($EG23-1)*3+IF($DW23&gt;=6,3,2),1+MIN(5,$GR23))&amp;INDEX($AV$2:$BA$31,($EG23-1)*3+IF($DW23&gt;=6,3,2),1+MIN(5,$GS23))&amp;IF(INDEX($AJ$2:$AJ$11,$EG23)=1,IF(COUNTIF($DZ23:$EC23,"Mais Um")&gt;0," · +"&amp;COUNTIF($DZ23:$EC23,"Mais Um")&amp;IF(COUNTIF($DZ23:$EC23,"Mais Um")&gt;1," alvos"," alvo"),"")&amp;IF(COUNTIF($DZ23:$EC23,"Rajada")&gt;0," · "&amp;($DW23+1)&amp;" tiros",""),""))</f>
        <v/>
      </c>
      <c r="GU23" s="141">
        <f>IF($EF23=0,"",3*$DW23&amp;" − "&amp;$FJ23&amp;" + "&amp;$FM23&amp;IF($DU23=1," + "&amp;$DW23,"")&amp;" = "&amp;$FP23&amp;"d8 · teto "&amp;4*$DW23&amp;IF($ES23=1," · a Forma devolve "&amp;$DW23,"")&amp;IF($FN23&gt;0," · perde "&amp;$FN23,""))</f>
        <v/>
      </c>
      <c r="GV23" s="141">
        <f>IF($EF23=0,"",IF($DW23&gt;=$HE$4,"Já está na maior Classe que o nível liberou",TEXTJOIN(" · ",TRUE,IF(AND(2&gt;$DW23,2&lt;=$HE$4),"2 → "&amp;$FZ23&amp;", "&amp;IF($DU23=1,9,6)&amp;" PE",""),IF(AND(3&gt;$DW23,3&lt;=$HE$4),"3 → "&amp;$GA23&amp;", "&amp;IF($DU23=1,14,9)&amp;" PE",""),IF(AND(4&gt;$DW23,4&lt;=$HE$4),"4 → "&amp;$GB23&amp;", "&amp;IF($DU23=1,18,12)&amp;" PE",""),IF(AND(5&gt;$DW23,5&lt;=$HE$4),"5 → "&amp;$GC23&amp;", "&amp;IF($DU23=1,23,15)&amp;" PE",""),IF(AND(6&gt;$DW23,6&lt;=$HE$4),"6 → "&amp;$GD23&amp;", "&amp;IF($DU23=1,27,18)&amp;" PE",""),IF(AND(7&gt;$DW23,7&lt;=$HE$4),"7 → "&amp;$GE23&amp;", "&amp;IF($DU23=1,32,21)&amp;" PE",""))))</f>
        <v/>
      </c>
      <c r="GW23" s="141">
        <f>IF(OR($EF23=0,$EI23=0),"","−"&amp;INDEX($Q$2:$V$8,$DW23,$EI23)&amp;" · "&amp;CHOOSE($EI23,"Leve","Média","Pesada","Leve · Livre","Média · Livre","Pesada · Livre"))</f>
        <v/>
      </c>
      <c r="GX23" s="141">
        <f>IF(OR($EF23=0,$EJ23=0),"","−"&amp;INDEX($Q$2:$V$8,$DW23,$EJ23)&amp;" · "&amp;CHOOSE($EJ23,"Leve","Média","Pesada","Leve · Livre","Média · Livre","Pesada · Livre"))</f>
        <v/>
      </c>
      <c r="GY23" s="141">
        <f>IF(OR($EF23=0,$EK23=0),"","−"&amp;INDEX($Q$2:$V$8,$DW23,$EK23)&amp;" · "&amp;CHOOSE($EK23,"Leve","Média","Pesada","Leve · Livre","Média · Livre","Pesada · Livre"))</f>
        <v/>
      </c>
      <c r="GZ23" s="141">
        <f>IF(OR($EF23=0,$EL23=0),"","−"&amp;INDEX($Q$2:$V$8,$DW23,$EL23)&amp;" · "&amp;CHOOSE($EL23,"Leve","Média","Pesada","Leve · Livre","Média · Livre","Pesada · Livre"))</f>
        <v/>
      </c>
      <c r="HA23" s="141">
        <f>IF(OR($EF23=0,$ED23=""),"","+"&amp;IF($EV23=1,CEILING($DW23/2,1),$DW23))</f>
        <v/>
      </c>
      <c r="HB23" s="141">
        <f>IF(OR($EF23=0,$EE23=""),"","+"&amp;IF($EW23=1,CEILING($DW23/2,1),$DW23))</f>
        <v/>
      </c>
      <c r="HD23" s="114" t="inlineStr">
        <is>
          <t>passivas pagas</t>
        </is>
      </c>
      <c r="HE23" s="141">
        <f>IF('FICHA AMALDIÇOADA'!$D$379&lt;&gt;"",1,0)+IF('FICHA AMALDIÇOADA'!$J$379&lt;&gt;"",1,0)+IF('FICHA AMALDIÇOADA'!$P$379&lt;&gt;"",1,0)+IF('FICHA AMALDIÇOADA'!$D$387&lt;&gt;"",1,0)+IF('FICHA AMALDIÇOADA'!$J$387&lt;&gt;"",1,0)</f>
        <v/>
      </c>
      <c r="IJ23" s="114" t="inlineStr">
        <is>
          <t>E46</t>
        </is>
      </c>
      <c r="IK23" s="141">
        <f>3*DADOS_AM!$HE$29</f>
        <v/>
      </c>
    </row>
    <row r="24">
      <c r="AO24" s="114" t="inlineStr">
        <is>
          <t>Apoio · classes 1 a 5</t>
        </is>
      </c>
      <c r="AP24" s="114" t="inlineStr">
        <is>
          <t>Um aliado a 9 m</t>
        </is>
      </c>
      <c r="AQ24" s="114" t="inlineStr">
        <is>
          <t>Um aliado a 18 m</t>
        </is>
      </c>
      <c r="AR24" s="114" t="inlineStr">
        <is>
          <t>Um aliado a 36 m</t>
        </is>
      </c>
      <c r="AS24" s="114" t="inlineStr">
        <is>
          <t>Um aliado a 90 m</t>
        </is>
      </c>
      <c r="AT24" s="114" t="inlineStr">
        <is>
          <t>Um aliado a o que você enxergar</t>
        </is>
      </c>
      <c r="AU24" s="114" t="inlineStr">
        <is>
          <t>Um aliado a o que você enxergar</t>
        </is>
      </c>
      <c r="AV24" s="114" t="inlineStr"/>
      <c r="AW24" s="114" t="inlineStr"/>
      <c r="AX24" s="114" t="inlineStr"/>
      <c r="AY24" s="114" t="inlineStr"/>
      <c r="AZ24" s="114" t="inlineStr"/>
      <c r="BA24" s="114" t="inlineStr"/>
      <c r="BC24" s="114" t="inlineStr">
        <is>
          <t>Toca a Alma</t>
        </is>
      </c>
      <c r="BD24" s="114" t="inlineStr">
        <is>
          <t>Mira</t>
        </is>
      </c>
      <c r="BE24" s="141" t="n">
        <v>1</v>
      </c>
      <c r="BF24" s="141">
        <f>$BE24+3*IFERROR(VLOOKUP($BD24,$I$2:$L$10,3,FALSE),0)</f>
        <v/>
      </c>
      <c r="BG24" s="141">
        <f>IFERROR(VLOOKUP($BD24,$I$2:$L$10,4,FALSE),0)</f>
        <v/>
      </c>
      <c r="BH24" s="141" t="n">
        <v>0</v>
      </c>
      <c r="BI24" s="141">
        <f>IF($BG24=1,"",$BC24)</f>
        <v/>
      </c>
      <c r="BJ24" s="141">
        <f>IF(AND($BE24=1,$BG24=0),$BC24,"")</f>
        <v/>
      </c>
      <c r="BL24" s="114" t="inlineStr">
        <is>
          <t>Restrição Própria (Média)</t>
        </is>
      </c>
      <c r="BM24" s="114" t="inlineStr">
        <is>
          <t>Restrição Própria</t>
        </is>
      </c>
      <c r="BN24" s="141" t="n">
        <v>2</v>
      </c>
      <c r="BO24" s="141" t="n">
        <v>0</v>
      </c>
      <c r="BP24" s="114" t="inlineStr"/>
      <c r="BR24" s="114" t="inlineStr">
        <is>
          <t>Aliança</t>
        </is>
      </c>
      <c r="BS24" s="141" t="n">
        <v>3</v>
      </c>
      <c r="BT24" s="114" t="inlineStr">
        <is>
          <t>Vale sobre a sua arma (uma arma), o tempo todo. Desarmar. A sua arma nunca é desarmada. Quem empunha. Ninguém além de você a empunha.</t>
        </is>
      </c>
      <c r="BU24" s="141" t="n">
        <v>0</v>
      </c>
      <c r="BV24" s="141" t="n">
        <v>1</v>
      </c>
      <c r="BW24" s="141">
        <f>IF(OR(AND($A$2&lt;=2,$BU24=1),AND($A$2&gt;=2,$BV24=1)),$BR24,"")</f>
        <v/>
      </c>
      <c r="CB24" s="114" t="inlineStr">
        <is>
          <t>Esteio</t>
        </is>
      </c>
      <c r="CC24" s="114" t="inlineStr">
        <is>
          <t>—</t>
        </is>
      </c>
      <c r="CD24" s="141" t="n">
        <v>3</v>
      </c>
      <c r="CE24" s="114" t="inlineStr">
        <is>
          <t>—</t>
        </is>
      </c>
      <c r="CF24" s="114" t="inlineStr">
        <is>
          <t>Escolha um atributo na hora de pegar esta Bênção. Num Teste de Resistência daquele atributo, se o d20 sair abaixo da sua Lapidação, ele vale a sua Lapidação. Teto. Ele nunca passa do atributo escolhido mais 2, então o máximo dele é 8.</t>
        </is>
      </c>
      <c r="CG24" s="141">
        <f>IF($CJ24=1,"",IF($A$2=4,IF($CH24=1,$CB24,""),IF(OR($CH24=1,AND($A$2=3,$CI24=1)),"",$CB24)))</f>
        <v/>
      </c>
      <c r="CH24" s="141" t="n">
        <v>1</v>
      </c>
      <c r="CI24" s="141" t="n">
        <v>0</v>
      </c>
      <c r="CJ24" s="141" t="n">
        <v>0</v>
      </c>
      <c r="DT24" s="114" t="inlineStr">
        <is>
          <t>Feitiço 23</t>
        </is>
      </c>
      <c r="DU24" s="141" t="n">
        <v>0</v>
      </c>
      <c r="DV24" s="141" t="n">
        <v>23</v>
      </c>
      <c r="DW24" s="141">
        <f>MAX(1,MIN(7,N('FICHA AMALDIÇOADA'!$J$200)))</f>
        <v/>
      </c>
      <c r="DX24" s="141">
        <f>'FICHA AMALDIÇOADA'!$K$200&amp;""</f>
        <v/>
      </c>
      <c r="DY24" s="141">
        <f>'FICHA AMALDIÇOADA'!$J$207&amp;""</f>
        <v/>
      </c>
      <c r="DZ24" s="141">
        <f>'FICHA AMALDIÇOADA'!$K$209&amp;""</f>
        <v/>
      </c>
      <c r="EA24" s="141">
        <f>'FICHA AMALDIÇOADA'!$K$210&amp;""</f>
        <v/>
      </c>
      <c r="EB24" s="141">
        <f>'FICHA AMALDIÇOADA'!$K$211&amp;""</f>
        <v/>
      </c>
      <c r="EC24" s="141">
        <f>'FICHA AMALDIÇOADA'!$K$212&amp;""</f>
        <v/>
      </c>
      <c r="ED24" s="141">
        <f>'FICHA AMALDIÇOADA'!$K$213&amp;""</f>
        <v/>
      </c>
      <c r="EE24" s="141">
        <f>'FICHA AMALDIÇOADA'!$K$214&amp;""</f>
        <v/>
      </c>
      <c r="EF24" s="141">
        <f>IF($DX24&lt;&gt;"",1,0)</f>
        <v/>
      </c>
      <c r="EG24" s="141">
        <f>IFERROR(MATCH($DY24,$Y$2:$Y$11,0),0)</f>
        <v/>
      </c>
      <c r="EH24" s="141">
        <f>IF($EG24=0,0,INDEX($AB$2:$AB$11,$EG24))</f>
        <v/>
      </c>
      <c r="EI24" s="141">
        <f>IFERROR(VLOOKUP($DZ24,$BC$2:$BJ$84,4,FALSE),0)</f>
        <v/>
      </c>
      <c r="EJ24" s="141">
        <f>IFERROR(VLOOKUP($EA24,$BC$2:$BJ$84,4,FALSE),0)</f>
        <v/>
      </c>
      <c r="EK24" s="141">
        <f>IFERROR(VLOOKUP($EB24,$BC$2:$BJ$84,4,FALSE),0)</f>
        <v/>
      </c>
      <c r="EL24" s="141">
        <f>IFERROR(VLOOKUP($EC24,$BC$2:$BJ$84,4,FALSE),0)</f>
        <v/>
      </c>
      <c r="EM24" s="141">
        <f>IF($EG24=0,0,INDEX($AC$2:$AC$11,$EG24))</f>
        <v/>
      </c>
      <c r="EN24" s="141">
        <f>IFERROR(VLOOKUP($DZ24,$BC$2:$BJ$84,5,FALSE),0)</f>
        <v/>
      </c>
      <c r="EO24" s="141">
        <f>IFERROR(VLOOKUP($EA24,$BC$2:$BJ$84,5,FALSE),0)</f>
        <v/>
      </c>
      <c r="EP24" s="141">
        <f>IFERROR(VLOOKUP($EB24,$BC$2:$BJ$84,5,FALSE),0)</f>
        <v/>
      </c>
      <c r="EQ24" s="141">
        <f>IFERROR(VLOOKUP($EC24,$BC$2:$BJ$84,5,FALSE),0)</f>
        <v/>
      </c>
      <c r="ER24" s="141">
        <f>IFERROR(VLOOKUP($DZ24,$BC$2:$BJ$84,6,FALSE),0)+IFERROR(VLOOKUP($EA24,$BC$2:$BJ$84,6,FALSE),0)+IFERROR(VLOOKUP($EB24,$BC$2:$BJ$84,6,FALSE),0)+IFERROR(VLOOKUP($EC24,$BC$2:$BJ$84,6,FALSE),0)</f>
        <v/>
      </c>
      <c r="ES24" s="141">
        <f>IF($EG24=0,0,INDEX($AD$2:$AD$11,$EG24))</f>
        <v/>
      </c>
      <c r="ET24" s="141">
        <f>IF($EG24=0,0,INDEX($AE$2:$AE$11,$EG24))</f>
        <v/>
      </c>
      <c r="EU24" s="141">
        <f>IF($EG24=0,0,INDEX($AG$2:$AG$11,$EG24))</f>
        <v/>
      </c>
      <c r="EV24" s="141">
        <f>IFERROR(VLOOKUP($ED24,$BL$2:$BP$24,3,FALSE),0)</f>
        <v/>
      </c>
      <c r="EW24" s="141">
        <f>IFERROR(VLOOKUP($EE24,$BL$2:$BP$24,3,FALSE),0)</f>
        <v/>
      </c>
      <c r="EX24" s="141">
        <f>IFERROR(VLOOKUP($ED24,$BL$2:$BP$24,2,FALSE),"")</f>
        <v/>
      </c>
      <c r="EY24" s="141">
        <f>IFERROR(VLOOKUP($EE24,$BL$2:$BP$24,2,FALSE),"")</f>
        <v/>
      </c>
      <c r="EZ24" s="141">
        <f>COUNTIF($EH24:$EL24,1)</f>
        <v/>
      </c>
      <c r="FA24" s="141">
        <f>COUNTIF($EH24:$EL24,2)</f>
        <v/>
      </c>
      <c r="FB24" s="141">
        <f>COUNTIF($EH24:$EL24,3)</f>
        <v/>
      </c>
      <c r="FC24" s="141">
        <f>COUNTIF($EH24:$EL24,4)</f>
        <v/>
      </c>
      <c r="FD24" s="141">
        <f>COUNTIF($EH24:$EL24,5)</f>
        <v/>
      </c>
      <c r="FE24" s="141">
        <f>COUNTIF($EH24:$EL24,6)</f>
        <v/>
      </c>
      <c r="FF24" s="141">
        <f>COUNTIF($EV24:$EW24,1)</f>
        <v/>
      </c>
      <c r="FG24" s="141">
        <f>COUNTIF($EV24:$EW24,2)+$ES24</f>
        <v/>
      </c>
      <c r="FH24" s="141">
        <f>COUNTIF($DZ24:$EC24,"?*")</f>
        <v/>
      </c>
      <c r="FI24" s="141">
        <f>COUNTIF($ED24:$EE24,"?*")+$ES24</f>
        <v/>
      </c>
      <c r="FJ24" s="141">
        <f>SUMPRODUCT($EZ24:$FE24,INDEX($Q$2:$V$8,$DW24,0))</f>
        <v/>
      </c>
      <c r="FK24" s="141">
        <f>$FF24*CEILING($DW24/2,1)+$FG24*$DW24</f>
        <v/>
      </c>
      <c r="FL24" s="141">
        <f>MIN(2*$DW24,$FK24)</f>
        <v/>
      </c>
      <c r="FM24" s="141">
        <f>MIN($FL24,$FJ24)</f>
        <v/>
      </c>
      <c r="FN24" s="141">
        <f>$FL24-$FM24</f>
        <v/>
      </c>
      <c r="FO24" s="141">
        <f>3*$DW24-$FJ24+$FM24</f>
        <v/>
      </c>
      <c r="FP24" s="141">
        <f>MAX(0,$FO24)+$DU24*$DW24</f>
        <v/>
      </c>
      <c r="FQ24" s="141">
        <f>(IF(COUNTIF($DZ24:$EC24,"Salto")&gt;0,1,0)+IF(COUNTIF($DZ24:$EC24,"Queima")&gt;0,1,0))*FLOOR($FP24/2,1)</f>
        <v/>
      </c>
      <c r="FR24" s="141">
        <f>MAX(0,3-SUMPRODUCT($EZ24:$FE24,$Q$2:$V$2)+MIN(2,$FF24*1+$FG24*1,SUMPRODUCT($EZ24:$FE24,$Q$2:$V$2)))+$DU24*1</f>
        <v/>
      </c>
      <c r="FS24" s="141">
        <f>MAX(0,6-SUMPRODUCT($EZ24:$FE24,$Q$3:$V$3)+MIN(4,$FF24*1+$FG24*2,SUMPRODUCT($EZ24:$FE24,$Q$3:$V$3)))+$DU24*2</f>
        <v/>
      </c>
      <c r="FT24" s="141">
        <f>MAX(0,9-SUMPRODUCT($EZ24:$FE24,$Q$4:$V$4)+MIN(6,$FF24*2+$FG24*3,SUMPRODUCT($EZ24:$FE24,$Q$4:$V$4)))+$DU24*3</f>
        <v/>
      </c>
      <c r="FU24" s="141">
        <f>MAX(0,12-SUMPRODUCT($EZ24:$FE24,$Q$5:$V$5)+MIN(8,$FF24*2+$FG24*4,SUMPRODUCT($EZ24:$FE24,$Q$5:$V$5)))+$DU24*4</f>
        <v/>
      </c>
      <c r="FV24" s="141">
        <f>MAX(0,15-SUMPRODUCT($EZ24:$FE24,$Q$6:$V$6)+MIN(10,$FF24*3+$FG24*5,SUMPRODUCT($EZ24:$FE24,$Q$6:$V$6)))+$DU24*5</f>
        <v/>
      </c>
      <c r="FW24" s="141">
        <f>MAX(0,18-SUMPRODUCT($EZ24:$FE24,$Q$7:$V$7)+MIN(12,$FF24*3+$FG24*6,SUMPRODUCT($EZ24:$FE24,$Q$7:$V$7)))+$DU24*6</f>
        <v/>
      </c>
      <c r="FX24" s="141">
        <f>MAX(0,21-SUMPRODUCT($EZ24:$FE24,$Q$8:$V$8)+MIN(14,$FF24*4+$FG24*7,SUMPRODUCT($EZ24:$FE24,$Q$8:$V$8)))+$DU24*7</f>
        <v/>
      </c>
      <c r="FY24" s="141">
        <f>IF($ET24=2,3*$FR24&amp;" de vida temp.",IF($ET24=3,"sem dano",IF($FR24=0,IF($ET24=1,"sem cura","sem dano"),IF($ET24=1,"cura ","")&amp;$FR24&amp;"d8")))</f>
        <v/>
      </c>
      <c r="FZ24" s="141">
        <f>IF($ET24=2,3*$FS24&amp;" de vida temp.",IF($ET24=3,"sem dano",IF($FS24=0,IF($ET24=1,"sem cura","sem dano"),IF($ET24=1,"cura ","")&amp;$FS24&amp;"d8")))</f>
        <v/>
      </c>
      <c r="GA24" s="141">
        <f>IF($ET24=2,3*$FT24&amp;" de vida temp.",IF($ET24=3,"sem dano",IF($FT24=0,IF($ET24=1,"sem cura","sem dano"),IF($ET24=1,"cura ","")&amp;$FT24&amp;"d8")))</f>
        <v/>
      </c>
      <c r="GB24" s="141">
        <f>IF($ET24=2,3*$FU24&amp;" de vida temp.",IF($ET24=3,"sem dano",IF($FU24=0,IF($ET24=1,"sem cura","sem dano"),IF($ET24=1,"cura ","")&amp;$FU24&amp;"d8")))</f>
        <v/>
      </c>
      <c r="GC24" s="141">
        <f>IF($ET24=2,3*$FV24&amp;" de vida temp.",IF($ET24=3,"sem dano",IF($FV24=0,IF($ET24=1,"sem cura","sem dano"),IF($ET24=1,"cura ","")&amp;$FV24&amp;"d8")))</f>
        <v/>
      </c>
      <c r="GD24" s="141">
        <f>IF($ET24=2,3*$FW24&amp;" de vida temp.",IF($ET24=3,"sem dano",IF($FW24=0,IF($ET24=1,"sem cura","sem dano"),IF($ET24=1,"cura ","")&amp;$FW24&amp;"d8")))</f>
        <v/>
      </c>
      <c r="GE24" s="141">
        <f>IF($ET24=2,3*$FX24&amp;" de vida temp.",IF($ET24=3,"sem dano",IF($FX24=0,IF($ET24=1,"sem cura","sem dano"),IF($ET24=1,"cura ","")&amp;$FX24&amp;"d8")))</f>
        <v/>
      </c>
      <c r="GF24" s="141">
        <f>IF($EF24=0,"",TEXTJOIN(" · ",TRUE,IF(AND($DU24=1,$DV24&gt;$HE$9),"O nível "&amp;$HE$2&amp;" dá "&amp;$HE$9&amp;" Liberação Máxima",""),IF($DW24&gt;$HE$4,"Classe "&amp;$DW24&amp;": o nível "&amp;$HE$2&amp;" libera até a "&amp;$HE$4,""),IF($EM24=1,"Família Fechada: a Forma "&amp;$DY24,""),IF($EN24=1,"Família Fechada: "&amp;$DZ24,""),IF($EO24=1,"Família Fechada: "&amp;$EA24,""),IF($EP24=1,"Família Fechada: "&amp;$EB24,""),IF($EQ24=1,"Família Fechada: "&amp;$EC24,""),IF($FH24&gt;INDEX($W$2:$W$8,$DW24),$FH24&amp;" Melhorias: a Classe "&amp;$DW24&amp;" aceita "&amp;INDEX($W$2:$W$8,$DW24),""),IF($FI24&gt;2,$FI24&amp;" Restrições"&amp;IF($ES24=1,", contando a que a Forma "&amp;$DY24&amp;" já traz","")&amp;": o limite é 2",""),IF($FO24&lt;0,"Orçamento estourado: faltam "&amp;(-$FO24)&amp;IF($FO24&lt;-1," pontos"," ponto"),""),IF(IFERROR(VLOOKUP($ED24,$BL$2:$BP$24,4,FALSE),0)+IFERROR(VLOOKUP($EE24,$BL$2:$BP$24,4,FALSE),0)&gt;1,$EX24&amp;" e "&amp;$EY24&amp;" são as duas de frequência",""),IF(AND((COUNTIF($DZ24:$EC24,"Rápido")+COUNTIF($EX24:$EY24,"Rápido"))&gt;0,(COUNTIF($DZ24:$EC24,"Reação")+COUNTIF($EX24:$EY24,"Reação"))&gt;0),"Rápido não entra com Reação",""),IF(AND((COUNTIF($DZ24:$EC24,"Rápido")+COUNTIF($EX24:$EY24,"Rápido"))&gt;0,(COUNTIF($DZ24:$EC24,"Atrasar")+COUNTIF($EX24:$EY24,"Atrasar"))&gt;0),"Rápido não entra com Atrasar",""),IF(AND((COUNTIF($DZ24:$EC24,"Reação")+COUNTIF($EX24:$EY24,"Reação"))&gt;0,(COUNTIF($DZ24:$EC24,"Atrasar")+COUNTIF($EX24:$EY24,"Atrasar"))&gt;0),"Reação não entra com Atrasar",""),IF(AND((COUNTIF($DZ24:$EC24,"Reação")+COUNTIF($EX24:$EY24,"Reação"))&gt;0,(COUNTIF($DZ24:$EC24,"Parado")+COUNTIF($EX24:$EY24,"Parado"))&gt;0),"Reação não entra com Parado",""),IF(AND(COUNTIF($EX24:$EY24,"Corpo a Corpo")&gt;0,$ES24=0,OR($DY24="Cone",$DY24="Linha")),"Corpo a Corpo não entra em "&amp;$DY24,""),IF(AND(COUNTIF($EX24:$EY24,"Corpo a Corpo")&gt;0,$ES24=1),"A Forma "&amp;$DY24&amp;" já traz o Corpo a Corpo",""),IF(AND(COUNTIF($EX24:$EY24,"Tudo ou Nada")&gt;0,$EU24=0),"Tudo ou Nada só entra em feitiço de Teste de Resistência",""),IF(AND(COUNTIF($DZ24:$EC24,"Inescapável")&gt;0,OR($FH24&gt;1,$FI24&gt;0)),"Inescapável não aceita outra peça",""),IF(AND($DU24=1,$DW24&lt;3),"Liberação Máxima é de Classe 3 ou mais",""),IF(AND($DU24=1,OR($ET24=1,$ET24=2)),"Liberação Máxima não serve para cura",""),IF(AND($DU24=1,COUNTIF($DZ24:$EC24,"Inescapável")+COUNTIF($DZ24:$EC24,"Toca a Alma")&gt;0),"Esta peça não entra numa Liberação Máxima",""),IF($FP24+$FQ24&gt;4*$DW24,($FP24+$FQ24)&amp;" dados somando alvos e repetições: o teto da Classe "&amp;$DW24&amp;" é "&amp;4*$DW24,"")))</f>
        <v/>
      </c>
      <c r="GG24" s="141">
        <f>IF($GF24="",0,(LEN($GF24)-LEN(SUBSTITUTE($GF24," · ","")))/3+1)</f>
        <v/>
      </c>
      <c r="GH24" s="141">
        <f>IF($EF24=0,"",TEXTJOIN(" · ",TRUE,IF($FK24&gt;2*$DW24,"A devolução parou no teto de "&amp;2*$DW24,""),IF($FN24&gt;0,"Devolução perdida: "&amp;$FN24&amp;IF($FN24&gt;1," pontos"," ponto")&amp;" sem peça para pagar",""),IF(AND($ER24&gt;0,$FP24=0),"Controle sem dano: uma rodada a mais e CD +2",""),IF(AND($ER24&gt;0,$FP24&gt;0,$FP24&lt;=$DW24),"Controle com um quarto do teto: uma rodada a mais","")))</f>
        <v/>
      </c>
      <c r="GI24" s="141">
        <f>IF($GH24="",0,(LEN($GH24)-LEN(SUBSTITUTE($GH24," · ","")))/3+1)</f>
        <v/>
      </c>
      <c r="GJ24" s="141">
        <f>IF($EF24=0,IF($FH24+$FI24-$ES24&gt;0,"Dê um nome",""),IF($GG24&gt;0,"⚠ "&amp;$GG24&amp;IF($GG24&gt;1," erros"," erro"),IF($GI24&gt;0,"! "&amp;$GI24&amp;IF($GI24&gt;1," avisos"," aviso"),"Na regra")))</f>
        <v/>
      </c>
      <c r="GK24" s="141">
        <f>IF($EF24=0,"",IF($GG24+$GI24=0,"Dentro das regras que a ficha confere",$GF24&amp;IF(AND($GG24&gt;0,$GI24&gt;0)," · ","")&amp;$GH24))</f>
        <v/>
      </c>
      <c r="GL24" s="141">
        <f>IF($EF24=0,"",IF($DU24=1,CEILING(4.5*$DW24,1),3*$DW24)&amp;" PE")</f>
        <v/>
      </c>
      <c r="GM24" s="141">
        <f>IF($EF24=0,"",IF($DU24=1,"Rodada inteira",IF(COUNTIF($EX24:$EY24,"Atrasar")&gt;0,IF(COUNTIF($EX24:$EY24,"Carregar")&gt;0,"Rodada +1 turno","Rodada inteira"),IF(COUNTIF($DZ24:$EC24,"Rápido")&gt;0,"Bônus",IF(COUNTIF($DZ24:$EC24,"Reação")&gt;0,"Reação","Padrão"))&amp;IF(COUNTIF($EX24:$EY24,"Carregar")&gt;0," +1 turno",""))))</f>
        <v/>
      </c>
      <c r="GN24" s="141">
        <f>IF(OR($EF24=0,$EG24=0),"",IF(COUNTIF($DZ24:$EC24,"Inescapável")&gt;0,"Automático",IF(COUNTIF($DZ24:$EC24,"Certeiro")&gt;0,"TR para metade",INDEX($AF$2:$AF$11,$EG24))))</f>
        <v/>
      </c>
      <c r="GO24" s="141">
        <f>IF(OR($EF24=0,$EG24=0),"",IF(OR($ET24&gt;=2,$FP24=0),UPPER(LEFT(INDEX($FY24:$GE24,1,$DW24),1))&amp;MID(INDEX($FY24:$GE24,1,$DW24),2,99),UPPER(LEFT(INDEX($FY24:$GE24,1,$DW24),1))&amp;MID(INDEX($FY24:$GE24,1,$DW24),2,99)&amp;" = "&amp;FLOOR($FP24*4.5,1)&amp;IF($FQ24&gt;0," · +"&amp;$FQ24&amp;"d8","")))</f>
        <v/>
      </c>
      <c r="GP24" s="141">
        <f>COUNTIF($DZ24:$EC24,"Longe")+3*COUNTIF($DZ24:$EC24,"Muito Longe")</f>
        <v/>
      </c>
      <c r="GQ24" s="141">
        <f>COUNTIF($DZ24:$EC24,"Maior")+3*COUNTIF($DZ24:$EC24,"Muito Maior")</f>
        <v/>
      </c>
      <c r="GR24" s="141">
        <f>IF($EG24=0,0,CHOOSE(1+INDEX($AH$2:$AH$11,$EG24),0,$GP24,$GQ24,$GP24+$GQ24))</f>
        <v/>
      </c>
      <c r="GS24" s="141">
        <f>IF($EG24=0,0,CHOOSE(1+INDEX($AI$2:$AI$11,$EG24),0,$GP24,$GQ24,$GP24+$GQ24))</f>
        <v/>
      </c>
      <c r="GT24" s="141">
        <f>IF(OR($EF24=0,$EG24=0),"",INDEX($AP$2:$AU$31,($EG24-1)*3+IF($DW24&gt;=6,3,2),1+MIN(5,$GR24))&amp;INDEX($AV$2:$BA$31,($EG24-1)*3+IF($DW24&gt;=6,3,2),1+MIN(5,$GS24))&amp;IF(INDEX($AJ$2:$AJ$11,$EG24)=1,IF(COUNTIF($DZ24:$EC24,"Mais Um")&gt;0," · +"&amp;COUNTIF($DZ24:$EC24,"Mais Um")&amp;IF(COUNTIF($DZ24:$EC24,"Mais Um")&gt;1," alvos"," alvo"),"")&amp;IF(COUNTIF($DZ24:$EC24,"Rajada")&gt;0," · "&amp;($DW24+1)&amp;" tiros",""),""))</f>
        <v/>
      </c>
      <c r="GU24" s="141">
        <f>IF($EF24=0,"",3*$DW24&amp;" − "&amp;$FJ24&amp;" + "&amp;$FM24&amp;IF($DU24=1," + "&amp;$DW24,"")&amp;" = "&amp;$FP24&amp;"d8 · teto "&amp;4*$DW24&amp;IF($ES24=1," · a Forma devolve "&amp;$DW24,"")&amp;IF($FN24&gt;0," · perde "&amp;$FN24,""))</f>
        <v/>
      </c>
      <c r="GV24" s="141">
        <f>IF($EF24=0,"",IF($DW24&gt;=$HE$4,"Já está na maior Classe que o nível liberou",TEXTJOIN(" · ",TRUE,IF(AND(2&gt;$DW24,2&lt;=$HE$4),"2 → "&amp;$FZ24&amp;", "&amp;IF($DU24=1,9,6)&amp;" PE",""),IF(AND(3&gt;$DW24,3&lt;=$HE$4),"3 → "&amp;$GA24&amp;", "&amp;IF($DU24=1,14,9)&amp;" PE",""),IF(AND(4&gt;$DW24,4&lt;=$HE$4),"4 → "&amp;$GB24&amp;", "&amp;IF($DU24=1,18,12)&amp;" PE",""),IF(AND(5&gt;$DW24,5&lt;=$HE$4),"5 → "&amp;$GC24&amp;", "&amp;IF($DU24=1,23,15)&amp;" PE",""),IF(AND(6&gt;$DW24,6&lt;=$HE$4),"6 → "&amp;$GD24&amp;", "&amp;IF($DU24=1,27,18)&amp;" PE",""),IF(AND(7&gt;$DW24,7&lt;=$HE$4),"7 → "&amp;$GE24&amp;", "&amp;IF($DU24=1,32,21)&amp;" PE",""))))</f>
        <v/>
      </c>
      <c r="GW24" s="141">
        <f>IF(OR($EF24=0,$EI24=0),"","−"&amp;INDEX($Q$2:$V$8,$DW24,$EI24)&amp;" · "&amp;CHOOSE($EI24,"Leve","Média","Pesada","Leve · Livre","Média · Livre","Pesada · Livre"))</f>
        <v/>
      </c>
      <c r="GX24" s="141">
        <f>IF(OR($EF24=0,$EJ24=0),"","−"&amp;INDEX($Q$2:$V$8,$DW24,$EJ24)&amp;" · "&amp;CHOOSE($EJ24,"Leve","Média","Pesada","Leve · Livre","Média · Livre","Pesada · Livre"))</f>
        <v/>
      </c>
      <c r="GY24" s="141">
        <f>IF(OR($EF24=0,$EK24=0),"","−"&amp;INDEX($Q$2:$V$8,$DW24,$EK24)&amp;" · "&amp;CHOOSE($EK24,"Leve","Média","Pesada","Leve · Livre","Média · Livre","Pesada · Livre"))</f>
        <v/>
      </c>
      <c r="GZ24" s="141">
        <f>IF(OR($EF24=0,$EL24=0),"","−"&amp;INDEX($Q$2:$V$8,$DW24,$EL24)&amp;" · "&amp;CHOOSE($EL24,"Leve","Média","Pesada","Leve · Livre","Média · Livre","Pesada · Livre"))</f>
        <v/>
      </c>
      <c r="HA24" s="141">
        <f>IF(OR($EF24=0,$ED24=""),"","+"&amp;IF($EV24=1,CEILING($DW24/2,1),$DW24))</f>
        <v/>
      </c>
      <c r="HB24" s="141">
        <f>IF(OR($EF24=0,$EE24=""),"","+"&amp;IF($EW24=1,CEILING($DW24/2,1),$DW24))</f>
        <v/>
      </c>
      <c r="HD24" s="114" t="inlineStr">
        <is>
          <t>passivas do Leque</t>
        </is>
      </c>
      <c r="HE24" s="141">
        <f>IF('FICHA AMALDIÇOADA'!$D$397&lt;&gt;"",1,0)+IF('FICHA AMALDIÇOADA'!$J$397&lt;&gt;"",1,0)+IF('FICHA AMALDIÇOADA'!$P$397&lt;&gt;"",1,0)+IF('FICHA AMALDIÇOADA'!$D$405&lt;&gt;"",1,0)+IF('FICHA AMALDIÇOADA'!$J$405&lt;&gt;"",1,0)+IF('FICHA AMALDIÇOADA'!$P$405&lt;&gt;"",1,0)+IF('FICHA AMALDIÇOADA'!$D$413&lt;&gt;"",1,0)</f>
        <v/>
      </c>
      <c r="IJ24" s="114" t="inlineStr">
        <is>
          <t>F46</t>
        </is>
      </c>
      <c r="IK24" s="141">
        <f>INDEX(DADOS_AM!$P$2:$W$8,DADOS_AM!$HE$29,2)</f>
        <v/>
      </c>
    </row>
    <row r="25">
      <c r="AO25" s="114" t="inlineStr">
        <is>
          <t>Apoio · classes 6 e 7</t>
        </is>
      </c>
      <c r="AP25" s="114" t="inlineStr">
        <is>
          <t>Um aliado a 18 m</t>
        </is>
      </c>
      <c r="AQ25" s="114" t="inlineStr">
        <is>
          <t>Um aliado a 36 m</t>
        </is>
      </c>
      <c r="AR25" s="114" t="inlineStr">
        <is>
          <t>Um aliado a 90 m</t>
        </is>
      </c>
      <c r="AS25" s="114" t="inlineStr">
        <is>
          <t>Um aliado a o que você enxergar</t>
        </is>
      </c>
      <c r="AT25" s="114" t="inlineStr">
        <is>
          <t>Um aliado a o que você enxergar</t>
        </is>
      </c>
      <c r="AU25" s="114" t="inlineStr">
        <is>
          <t>Um aliado a o que você enxergar</t>
        </is>
      </c>
      <c r="AV25" s="114" t="inlineStr"/>
      <c r="AW25" s="114" t="inlineStr"/>
      <c r="AX25" s="114" t="inlineStr"/>
      <c r="AY25" s="114" t="inlineStr"/>
      <c r="AZ25" s="114" t="inlineStr"/>
      <c r="BA25" s="114" t="inlineStr"/>
      <c r="BC25" s="114" t="inlineStr">
        <is>
          <t>Terreno</t>
        </is>
      </c>
      <c r="BD25" s="114" t="inlineStr">
        <is>
          <t>Controle</t>
        </is>
      </c>
      <c r="BE25" s="141" t="n">
        <v>1</v>
      </c>
      <c r="BF25" s="141">
        <f>$BE25+3*IFERROR(VLOOKUP($BD25,$I$2:$L$10,3,FALSE),0)</f>
        <v/>
      </c>
      <c r="BG25" s="141">
        <f>IFERROR(VLOOKUP($BD25,$I$2:$L$10,4,FALSE),0)</f>
        <v/>
      </c>
      <c r="BH25" s="141" t="n">
        <v>1</v>
      </c>
      <c r="BI25" s="141">
        <f>IF($BG25=1,"",$BC25)</f>
        <v/>
      </c>
      <c r="BJ25" s="141">
        <f>IF(AND($BE25=1,$BG25=0),$BC25,"")</f>
        <v/>
      </c>
      <c r="CB25" s="114" t="inlineStr">
        <is>
          <t>Faro</t>
        </is>
      </c>
      <c r="CC25" s="114" t="inlineStr">
        <is>
          <t>—</t>
        </is>
      </c>
      <c r="CD25" s="141" t="n">
        <v>1</v>
      </c>
      <c r="CE25" s="114" t="inlineStr">
        <is>
          <t>—</t>
        </is>
      </c>
      <c r="CF25" s="114" t="inlineStr">
        <is>
          <t>Você segue rastro de feiticeiro e de maldição pelo rastro que eles deixaram: cheiro, marca, o que ficou fora do lugar. Vestígio de técnica. Encostando no que uma técnica fez, você sabe o superficial do que ela fez ali: o tipo de coisa que aconteceu, e nunca o detalhe nem de quem é.</t>
        </is>
      </c>
      <c r="CG25" s="141">
        <f>IF($CJ25=1,"",IF($A$2=4,IF($CH25=1,$CB25,""),IF(OR($CH25=1,AND($A$2=3,$CI25=1)),"",$CB25)))</f>
        <v/>
      </c>
      <c r="CH25" s="141" t="n">
        <v>1</v>
      </c>
      <c r="CI25" s="141" t="n">
        <v>0</v>
      </c>
      <c r="CJ25" s="141" t="n">
        <v>0</v>
      </c>
      <c r="DT25" s="114" t="inlineStr">
        <is>
          <t>Feitiço 24</t>
        </is>
      </c>
      <c r="DU25" s="141" t="n">
        <v>0</v>
      </c>
      <c r="DV25" s="141" t="n">
        <v>24</v>
      </c>
      <c r="DW25" s="141">
        <f>MAX(1,MIN(7,N('FICHA AMALDIÇOADA'!$P$200)))</f>
        <v/>
      </c>
      <c r="DX25" s="141">
        <f>'FICHA AMALDIÇOADA'!$Q$200&amp;""</f>
        <v/>
      </c>
      <c r="DY25" s="141">
        <f>'FICHA AMALDIÇOADA'!$P$207&amp;""</f>
        <v/>
      </c>
      <c r="DZ25" s="141">
        <f>'FICHA AMALDIÇOADA'!$Q$209&amp;""</f>
        <v/>
      </c>
      <c r="EA25" s="141">
        <f>'FICHA AMALDIÇOADA'!$Q$210&amp;""</f>
        <v/>
      </c>
      <c r="EB25" s="141">
        <f>'FICHA AMALDIÇOADA'!$Q$211&amp;""</f>
        <v/>
      </c>
      <c r="EC25" s="141">
        <f>'FICHA AMALDIÇOADA'!$Q$212&amp;""</f>
        <v/>
      </c>
      <c r="ED25" s="141">
        <f>'FICHA AMALDIÇOADA'!$Q$213&amp;""</f>
        <v/>
      </c>
      <c r="EE25" s="141">
        <f>'FICHA AMALDIÇOADA'!$Q$214&amp;""</f>
        <v/>
      </c>
      <c r="EF25" s="141">
        <f>IF($DX25&lt;&gt;"",1,0)</f>
        <v/>
      </c>
      <c r="EG25" s="141">
        <f>IFERROR(MATCH($DY25,$Y$2:$Y$11,0),0)</f>
        <v/>
      </c>
      <c r="EH25" s="141">
        <f>IF($EG25=0,0,INDEX($AB$2:$AB$11,$EG25))</f>
        <v/>
      </c>
      <c r="EI25" s="141">
        <f>IFERROR(VLOOKUP($DZ25,$BC$2:$BJ$84,4,FALSE),0)</f>
        <v/>
      </c>
      <c r="EJ25" s="141">
        <f>IFERROR(VLOOKUP($EA25,$BC$2:$BJ$84,4,FALSE),0)</f>
        <v/>
      </c>
      <c r="EK25" s="141">
        <f>IFERROR(VLOOKUP($EB25,$BC$2:$BJ$84,4,FALSE),0)</f>
        <v/>
      </c>
      <c r="EL25" s="141">
        <f>IFERROR(VLOOKUP($EC25,$BC$2:$BJ$84,4,FALSE),0)</f>
        <v/>
      </c>
      <c r="EM25" s="141">
        <f>IF($EG25=0,0,INDEX($AC$2:$AC$11,$EG25))</f>
        <v/>
      </c>
      <c r="EN25" s="141">
        <f>IFERROR(VLOOKUP($DZ25,$BC$2:$BJ$84,5,FALSE),0)</f>
        <v/>
      </c>
      <c r="EO25" s="141">
        <f>IFERROR(VLOOKUP($EA25,$BC$2:$BJ$84,5,FALSE),0)</f>
        <v/>
      </c>
      <c r="EP25" s="141">
        <f>IFERROR(VLOOKUP($EB25,$BC$2:$BJ$84,5,FALSE),0)</f>
        <v/>
      </c>
      <c r="EQ25" s="141">
        <f>IFERROR(VLOOKUP($EC25,$BC$2:$BJ$84,5,FALSE),0)</f>
        <v/>
      </c>
      <c r="ER25" s="141">
        <f>IFERROR(VLOOKUP($DZ25,$BC$2:$BJ$84,6,FALSE),0)+IFERROR(VLOOKUP($EA25,$BC$2:$BJ$84,6,FALSE),0)+IFERROR(VLOOKUP($EB25,$BC$2:$BJ$84,6,FALSE),0)+IFERROR(VLOOKUP($EC25,$BC$2:$BJ$84,6,FALSE),0)</f>
        <v/>
      </c>
      <c r="ES25" s="141">
        <f>IF($EG25=0,0,INDEX($AD$2:$AD$11,$EG25))</f>
        <v/>
      </c>
      <c r="ET25" s="141">
        <f>IF($EG25=0,0,INDEX($AE$2:$AE$11,$EG25))</f>
        <v/>
      </c>
      <c r="EU25" s="141">
        <f>IF($EG25=0,0,INDEX($AG$2:$AG$11,$EG25))</f>
        <v/>
      </c>
      <c r="EV25" s="141">
        <f>IFERROR(VLOOKUP($ED25,$BL$2:$BP$24,3,FALSE),0)</f>
        <v/>
      </c>
      <c r="EW25" s="141">
        <f>IFERROR(VLOOKUP($EE25,$BL$2:$BP$24,3,FALSE),0)</f>
        <v/>
      </c>
      <c r="EX25" s="141">
        <f>IFERROR(VLOOKUP($ED25,$BL$2:$BP$24,2,FALSE),"")</f>
        <v/>
      </c>
      <c r="EY25" s="141">
        <f>IFERROR(VLOOKUP($EE25,$BL$2:$BP$24,2,FALSE),"")</f>
        <v/>
      </c>
      <c r="EZ25" s="141">
        <f>COUNTIF($EH25:$EL25,1)</f>
        <v/>
      </c>
      <c r="FA25" s="141">
        <f>COUNTIF($EH25:$EL25,2)</f>
        <v/>
      </c>
      <c r="FB25" s="141">
        <f>COUNTIF($EH25:$EL25,3)</f>
        <v/>
      </c>
      <c r="FC25" s="141">
        <f>COUNTIF($EH25:$EL25,4)</f>
        <v/>
      </c>
      <c r="FD25" s="141">
        <f>COUNTIF($EH25:$EL25,5)</f>
        <v/>
      </c>
      <c r="FE25" s="141">
        <f>COUNTIF($EH25:$EL25,6)</f>
        <v/>
      </c>
      <c r="FF25" s="141">
        <f>COUNTIF($EV25:$EW25,1)</f>
        <v/>
      </c>
      <c r="FG25" s="141">
        <f>COUNTIF($EV25:$EW25,2)+$ES25</f>
        <v/>
      </c>
      <c r="FH25" s="141">
        <f>COUNTIF($DZ25:$EC25,"?*")</f>
        <v/>
      </c>
      <c r="FI25" s="141">
        <f>COUNTIF($ED25:$EE25,"?*")+$ES25</f>
        <v/>
      </c>
      <c r="FJ25" s="141">
        <f>SUMPRODUCT($EZ25:$FE25,INDEX($Q$2:$V$8,$DW25,0))</f>
        <v/>
      </c>
      <c r="FK25" s="141">
        <f>$FF25*CEILING($DW25/2,1)+$FG25*$DW25</f>
        <v/>
      </c>
      <c r="FL25" s="141">
        <f>MIN(2*$DW25,$FK25)</f>
        <v/>
      </c>
      <c r="FM25" s="141">
        <f>MIN($FL25,$FJ25)</f>
        <v/>
      </c>
      <c r="FN25" s="141">
        <f>$FL25-$FM25</f>
        <v/>
      </c>
      <c r="FO25" s="141">
        <f>3*$DW25-$FJ25+$FM25</f>
        <v/>
      </c>
      <c r="FP25" s="141">
        <f>MAX(0,$FO25)+$DU25*$DW25</f>
        <v/>
      </c>
      <c r="FQ25" s="141">
        <f>(IF(COUNTIF($DZ25:$EC25,"Salto")&gt;0,1,0)+IF(COUNTIF($DZ25:$EC25,"Queima")&gt;0,1,0))*FLOOR($FP25/2,1)</f>
        <v/>
      </c>
      <c r="FR25" s="141">
        <f>MAX(0,3-SUMPRODUCT($EZ25:$FE25,$Q$2:$V$2)+MIN(2,$FF25*1+$FG25*1,SUMPRODUCT($EZ25:$FE25,$Q$2:$V$2)))+$DU25*1</f>
        <v/>
      </c>
      <c r="FS25" s="141">
        <f>MAX(0,6-SUMPRODUCT($EZ25:$FE25,$Q$3:$V$3)+MIN(4,$FF25*1+$FG25*2,SUMPRODUCT($EZ25:$FE25,$Q$3:$V$3)))+$DU25*2</f>
        <v/>
      </c>
      <c r="FT25" s="141">
        <f>MAX(0,9-SUMPRODUCT($EZ25:$FE25,$Q$4:$V$4)+MIN(6,$FF25*2+$FG25*3,SUMPRODUCT($EZ25:$FE25,$Q$4:$V$4)))+$DU25*3</f>
        <v/>
      </c>
      <c r="FU25" s="141">
        <f>MAX(0,12-SUMPRODUCT($EZ25:$FE25,$Q$5:$V$5)+MIN(8,$FF25*2+$FG25*4,SUMPRODUCT($EZ25:$FE25,$Q$5:$V$5)))+$DU25*4</f>
        <v/>
      </c>
      <c r="FV25" s="141">
        <f>MAX(0,15-SUMPRODUCT($EZ25:$FE25,$Q$6:$V$6)+MIN(10,$FF25*3+$FG25*5,SUMPRODUCT($EZ25:$FE25,$Q$6:$V$6)))+$DU25*5</f>
        <v/>
      </c>
      <c r="FW25" s="141">
        <f>MAX(0,18-SUMPRODUCT($EZ25:$FE25,$Q$7:$V$7)+MIN(12,$FF25*3+$FG25*6,SUMPRODUCT($EZ25:$FE25,$Q$7:$V$7)))+$DU25*6</f>
        <v/>
      </c>
      <c r="FX25" s="141">
        <f>MAX(0,21-SUMPRODUCT($EZ25:$FE25,$Q$8:$V$8)+MIN(14,$FF25*4+$FG25*7,SUMPRODUCT($EZ25:$FE25,$Q$8:$V$8)))+$DU25*7</f>
        <v/>
      </c>
      <c r="FY25" s="141">
        <f>IF($ET25=2,3*$FR25&amp;" de vida temp.",IF($ET25=3,"sem dano",IF($FR25=0,IF($ET25=1,"sem cura","sem dano"),IF($ET25=1,"cura ","")&amp;$FR25&amp;"d8")))</f>
        <v/>
      </c>
      <c r="FZ25" s="141">
        <f>IF($ET25=2,3*$FS25&amp;" de vida temp.",IF($ET25=3,"sem dano",IF($FS25=0,IF($ET25=1,"sem cura","sem dano"),IF($ET25=1,"cura ","")&amp;$FS25&amp;"d8")))</f>
        <v/>
      </c>
      <c r="GA25" s="141">
        <f>IF($ET25=2,3*$FT25&amp;" de vida temp.",IF($ET25=3,"sem dano",IF($FT25=0,IF($ET25=1,"sem cura","sem dano"),IF($ET25=1,"cura ","")&amp;$FT25&amp;"d8")))</f>
        <v/>
      </c>
      <c r="GB25" s="141">
        <f>IF($ET25=2,3*$FU25&amp;" de vida temp.",IF($ET25=3,"sem dano",IF($FU25=0,IF($ET25=1,"sem cura","sem dano"),IF($ET25=1,"cura ","")&amp;$FU25&amp;"d8")))</f>
        <v/>
      </c>
      <c r="GC25" s="141">
        <f>IF($ET25=2,3*$FV25&amp;" de vida temp.",IF($ET25=3,"sem dano",IF($FV25=0,IF($ET25=1,"sem cura","sem dano"),IF($ET25=1,"cura ","")&amp;$FV25&amp;"d8")))</f>
        <v/>
      </c>
      <c r="GD25" s="141">
        <f>IF($ET25=2,3*$FW25&amp;" de vida temp.",IF($ET25=3,"sem dano",IF($FW25=0,IF($ET25=1,"sem cura","sem dano"),IF($ET25=1,"cura ","")&amp;$FW25&amp;"d8")))</f>
        <v/>
      </c>
      <c r="GE25" s="141">
        <f>IF($ET25=2,3*$FX25&amp;" de vida temp.",IF($ET25=3,"sem dano",IF($FX25=0,IF($ET25=1,"sem cura","sem dano"),IF($ET25=1,"cura ","")&amp;$FX25&amp;"d8")))</f>
        <v/>
      </c>
      <c r="GF25" s="141">
        <f>IF($EF25=0,"",TEXTJOIN(" · ",TRUE,IF(AND($DU25=1,$DV25&gt;$HE$9),"O nível "&amp;$HE$2&amp;" dá "&amp;$HE$9&amp;" Liberação Máxima",""),IF($DW25&gt;$HE$4,"Classe "&amp;$DW25&amp;": o nível "&amp;$HE$2&amp;" libera até a "&amp;$HE$4,""),IF($EM25=1,"Família Fechada: a Forma "&amp;$DY25,""),IF($EN25=1,"Família Fechada: "&amp;$DZ25,""),IF($EO25=1,"Família Fechada: "&amp;$EA25,""),IF($EP25=1,"Família Fechada: "&amp;$EB25,""),IF($EQ25=1,"Família Fechada: "&amp;$EC25,""),IF($FH25&gt;INDEX($W$2:$W$8,$DW25),$FH25&amp;" Melhorias: a Classe "&amp;$DW25&amp;" aceita "&amp;INDEX($W$2:$W$8,$DW25),""),IF($FI25&gt;2,$FI25&amp;" Restrições"&amp;IF($ES25=1,", contando a que a Forma "&amp;$DY25&amp;" já traz","")&amp;": o limite é 2",""),IF($FO25&lt;0,"Orçamento estourado: faltam "&amp;(-$FO25)&amp;IF($FO25&lt;-1," pontos"," ponto"),""),IF(IFERROR(VLOOKUP($ED25,$BL$2:$BP$24,4,FALSE),0)+IFERROR(VLOOKUP($EE25,$BL$2:$BP$24,4,FALSE),0)&gt;1,$EX25&amp;" e "&amp;$EY25&amp;" são as duas de frequência",""),IF(AND((COUNTIF($DZ25:$EC25,"Rápido")+COUNTIF($EX25:$EY25,"Rápido"))&gt;0,(COUNTIF($DZ25:$EC25,"Reação")+COUNTIF($EX25:$EY25,"Reação"))&gt;0),"Rápido não entra com Reação",""),IF(AND((COUNTIF($DZ25:$EC25,"Rápido")+COUNTIF($EX25:$EY25,"Rápido"))&gt;0,(COUNTIF($DZ25:$EC25,"Atrasar")+COUNTIF($EX25:$EY25,"Atrasar"))&gt;0),"Rápido não entra com Atrasar",""),IF(AND((COUNTIF($DZ25:$EC25,"Reação")+COUNTIF($EX25:$EY25,"Reação"))&gt;0,(COUNTIF($DZ25:$EC25,"Atrasar")+COUNTIF($EX25:$EY25,"Atrasar"))&gt;0),"Reação não entra com Atrasar",""),IF(AND((COUNTIF($DZ25:$EC25,"Reação")+COUNTIF($EX25:$EY25,"Reação"))&gt;0,(COUNTIF($DZ25:$EC25,"Parado")+COUNTIF($EX25:$EY25,"Parado"))&gt;0),"Reação não entra com Parado",""),IF(AND(COUNTIF($EX25:$EY25,"Corpo a Corpo")&gt;0,$ES25=0,OR($DY25="Cone",$DY25="Linha")),"Corpo a Corpo não entra em "&amp;$DY25,""),IF(AND(COUNTIF($EX25:$EY25,"Corpo a Corpo")&gt;0,$ES25=1),"A Forma "&amp;$DY25&amp;" já traz o Corpo a Corpo",""),IF(AND(COUNTIF($EX25:$EY25,"Tudo ou Nada")&gt;0,$EU25=0),"Tudo ou Nada só entra em feitiço de Teste de Resistência",""),IF(AND(COUNTIF($DZ25:$EC25,"Inescapável")&gt;0,OR($FH25&gt;1,$FI25&gt;0)),"Inescapável não aceita outra peça",""),IF(AND($DU25=1,$DW25&lt;3),"Liberação Máxima é de Classe 3 ou mais",""),IF(AND($DU25=1,OR($ET25=1,$ET25=2)),"Liberação Máxima não serve para cura",""),IF(AND($DU25=1,COUNTIF($DZ25:$EC25,"Inescapável")+COUNTIF($DZ25:$EC25,"Toca a Alma")&gt;0),"Esta peça não entra numa Liberação Máxima",""),IF($FP25+$FQ25&gt;4*$DW25,($FP25+$FQ25)&amp;" dados somando alvos e repetições: o teto da Classe "&amp;$DW25&amp;" é "&amp;4*$DW25,"")))</f>
        <v/>
      </c>
      <c r="GG25" s="141">
        <f>IF($GF25="",0,(LEN($GF25)-LEN(SUBSTITUTE($GF25," · ","")))/3+1)</f>
        <v/>
      </c>
      <c r="GH25" s="141">
        <f>IF($EF25=0,"",TEXTJOIN(" · ",TRUE,IF($FK25&gt;2*$DW25,"A devolução parou no teto de "&amp;2*$DW25,""),IF($FN25&gt;0,"Devolução perdida: "&amp;$FN25&amp;IF($FN25&gt;1," pontos"," ponto")&amp;" sem peça para pagar",""),IF(AND($ER25&gt;0,$FP25=0),"Controle sem dano: uma rodada a mais e CD +2",""),IF(AND($ER25&gt;0,$FP25&gt;0,$FP25&lt;=$DW25),"Controle com um quarto do teto: uma rodada a mais","")))</f>
        <v/>
      </c>
      <c r="GI25" s="141">
        <f>IF($GH25="",0,(LEN($GH25)-LEN(SUBSTITUTE($GH25," · ","")))/3+1)</f>
        <v/>
      </c>
      <c r="GJ25" s="141">
        <f>IF($EF25=0,IF($FH25+$FI25-$ES25&gt;0,"Dê um nome",""),IF($GG25&gt;0,"⚠ "&amp;$GG25&amp;IF($GG25&gt;1," erros"," erro"),IF($GI25&gt;0,"! "&amp;$GI25&amp;IF($GI25&gt;1," avisos"," aviso"),"Na regra")))</f>
        <v/>
      </c>
      <c r="GK25" s="141">
        <f>IF($EF25=0,"",IF($GG25+$GI25=0,"Dentro das regras que a ficha confere",$GF25&amp;IF(AND($GG25&gt;0,$GI25&gt;0)," · ","")&amp;$GH25))</f>
        <v/>
      </c>
      <c r="GL25" s="141">
        <f>IF($EF25=0,"",IF($DU25=1,CEILING(4.5*$DW25,1),3*$DW25)&amp;" PE")</f>
        <v/>
      </c>
      <c r="GM25" s="141">
        <f>IF($EF25=0,"",IF($DU25=1,"Rodada inteira",IF(COUNTIF($EX25:$EY25,"Atrasar")&gt;0,IF(COUNTIF($EX25:$EY25,"Carregar")&gt;0,"Rodada +1 turno","Rodada inteira"),IF(COUNTIF($DZ25:$EC25,"Rápido")&gt;0,"Bônus",IF(COUNTIF($DZ25:$EC25,"Reação")&gt;0,"Reação","Padrão"))&amp;IF(COUNTIF($EX25:$EY25,"Carregar")&gt;0," +1 turno",""))))</f>
        <v/>
      </c>
      <c r="GN25" s="141">
        <f>IF(OR($EF25=0,$EG25=0),"",IF(COUNTIF($DZ25:$EC25,"Inescapável")&gt;0,"Automático",IF(COUNTIF($DZ25:$EC25,"Certeiro")&gt;0,"TR para metade",INDEX($AF$2:$AF$11,$EG25))))</f>
        <v/>
      </c>
      <c r="GO25" s="141">
        <f>IF(OR($EF25=0,$EG25=0),"",IF(OR($ET25&gt;=2,$FP25=0),UPPER(LEFT(INDEX($FY25:$GE25,1,$DW25),1))&amp;MID(INDEX($FY25:$GE25,1,$DW25),2,99),UPPER(LEFT(INDEX($FY25:$GE25,1,$DW25),1))&amp;MID(INDEX($FY25:$GE25,1,$DW25),2,99)&amp;" = "&amp;FLOOR($FP25*4.5,1)&amp;IF($FQ25&gt;0," · +"&amp;$FQ25&amp;"d8","")))</f>
        <v/>
      </c>
      <c r="GP25" s="141">
        <f>COUNTIF($DZ25:$EC25,"Longe")+3*COUNTIF($DZ25:$EC25,"Muito Longe")</f>
        <v/>
      </c>
      <c r="GQ25" s="141">
        <f>COUNTIF($DZ25:$EC25,"Maior")+3*COUNTIF($DZ25:$EC25,"Muito Maior")</f>
        <v/>
      </c>
      <c r="GR25" s="141">
        <f>IF($EG25=0,0,CHOOSE(1+INDEX($AH$2:$AH$11,$EG25),0,$GP25,$GQ25,$GP25+$GQ25))</f>
        <v/>
      </c>
      <c r="GS25" s="141">
        <f>IF($EG25=0,0,CHOOSE(1+INDEX($AI$2:$AI$11,$EG25),0,$GP25,$GQ25,$GP25+$GQ25))</f>
        <v/>
      </c>
      <c r="GT25" s="141">
        <f>IF(OR($EF25=0,$EG25=0),"",INDEX($AP$2:$AU$31,($EG25-1)*3+IF($DW25&gt;=6,3,2),1+MIN(5,$GR25))&amp;INDEX($AV$2:$BA$31,($EG25-1)*3+IF($DW25&gt;=6,3,2),1+MIN(5,$GS25))&amp;IF(INDEX($AJ$2:$AJ$11,$EG25)=1,IF(COUNTIF($DZ25:$EC25,"Mais Um")&gt;0," · +"&amp;COUNTIF($DZ25:$EC25,"Mais Um")&amp;IF(COUNTIF($DZ25:$EC25,"Mais Um")&gt;1," alvos"," alvo"),"")&amp;IF(COUNTIF($DZ25:$EC25,"Rajada")&gt;0," · "&amp;($DW25+1)&amp;" tiros",""),""))</f>
        <v/>
      </c>
      <c r="GU25" s="141">
        <f>IF($EF25=0,"",3*$DW25&amp;" − "&amp;$FJ25&amp;" + "&amp;$FM25&amp;IF($DU25=1," + "&amp;$DW25,"")&amp;" = "&amp;$FP25&amp;"d8 · teto "&amp;4*$DW25&amp;IF($ES25=1," · a Forma devolve "&amp;$DW25,"")&amp;IF($FN25&gt;0," · perde "&amp;$FN25,""))</f>
        <v/>
      </c>
      <c r="GV25" s="141">
        <f>IF($EF25=0,"",IF($DW25&gt;=$HE$4,"Já está na maior Classe que o nível liberou",TEXTJOIN(" · ",TRUE,IF(AND(2&gt;$DW25,2&lt;=$HE$4),"2 → "&amp;$FZ25&amp;", "&amp;IF($DU25=1,9,6)&amp;" PE",""),IF(AND(3&gt;$DW25,3&lt;=$HE$4),"3 → "&amp;$GA25&amp;", "&amp;IF($DU25=1,14,9)&amp;" PE",""),IF(AND(4&gt;$DW25,4&lt;=$HE$4),"4 → "&amp;$GB25&amp;", "&amp;IF($DU25=1,18,12)&amp;" PE",""),IF(AND(5&gt;$DW25,5&lt;=$HE$4),"5 → "&amp;$GC25&amp;", "&amp;IF($DU25=1,23,15)&amp;" PE",""),IF(AND(6&gt;$DW25,6&lt;=$HE$4),"6 → "&amp;$GD25&amp;", "&amp;IF($DU25=1,27,18)&amp;" PE",""),IF(AND(7&gt;$DW25,7&lt;=$HE$4),"7 → "&amp;$GE25&amp;", "&amp;IF($DU25=1,32,21)&amp;" PE",""))))</f>
        <v/>
      </c>
      <c r="GW25" s="141">
        <f>IF(OR($EF25=0,$EI25=0),"","−"&amp;INDEX($Q$2:$V$8,$DW25,$EI25)&amp;" · "&amp;CHOOSE($EI25,"Leve","Média","Pesada","Leve · Livre","Média · Livre","Pesada · Livre"))</f>
        <v/>
      </c>
      <c r="GX25" s="141">
        <f>IF(OR($EF25=0,$EJ25=0),"","−"&amp;INDEX($Q$2:$V$8,$DW25,$EJ25)&amp;" · "&amp;CHOOSE($EJ25,"Leve","Média","Pesada","Leve · Livre","Média · Livre","Pesada · Livre"))</f>
        <v/>
      </c>
      <c r="GY25" s="141">
        <f>IF(OR($EF25=0,$EK25=0),"","−"&amp;INDEX($Q$2:$V$8,$DW25,$EK25)&amp;" · "&amp;CHOOSE($EK25,"Leve","Média","Pesada","Leve · Livre","Média · Livre","Pesada · Livre"))</f>
        <v/>
      </c>
      <c r="GZ25" s="141">
        <f>IF(OR($EF25=0,$EL25=0),"","−"&amp;INDEX($Q$2:$V$8,$DW25,$EL25)&amp;" · "&amp;CHOOSE($EL25,"Leve","Média","Pesada","Leve · Livre","Média · Livre","Pesada · Livre"))</f>
        <v/>
      </c>
      <c r="HA25" s="141">
        <f>IF(OR($EF25=0,$ED25=""),"","+"&amp;IF($EV25=1,CEILING($DW25/2,1),$DW25))</f>
        <v/>
      </c>
      <c r="HB25" s="141">
        <f>IF(OR($EF25=0,$EE25=""),"","+"&amp;IF($EW25=1,CEILING($DW25/2,1),$DW25))</f>
        <v/>
      </c>
      <c r="HD25" s="114" t="inlineStr">
        <is>
          <t>aptidões anotadas</t>
        </is>
      </c>
      <c r="HE25" s="141">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IJ25" s="114" t="inlineStr">
        <is>
          <t>G46</t>
        </is>
      </c>
      <c r="IK25" s="141">
        <f>INDEX(DADOS_AM!$P$2:$W$8,DADOS_AM!$HE$29,3)</f>
        <v/>
      </c>
    </row>
    <row r="26">
      <c r="AO26" s="114" t="inlineStr">
        <is>
          <t>Onda · classe 0</t>
        </is>
      </c>
      <c r="AP26" s="114" t="inlineStr">
        <is>
          <t>Raio 3 m, em você</t>
        </is>
      </c>
      <c r="AQ26" s="114" t="inlineStr">
        <is>
          <t>Raio 4,5 m, em você</t>
        </is>
      </c>
      <c r="AR26" s="114" t="inlineStr">
        <is>
          <t>Raio 6 m, em você</t>
        </is>
      </c>
      <c r="AS26" s="114" t="inlineStr">
        <is>
          <t>Raio 9 m, em você</t>
        </is>
      </c>
      <c r="AT26" s="114" t="inlineStr">
        <is>
          <t>Raio 15 m, em você</t>
        </is>
      </c>
      <c r="AU26" s="114" t="inlineStr">
        <is>
          <t>Raio 15 m, em você</t>
        </is>
      </c>
      <c r="AV26" s="114" t="inlineStr"/>
      <c r="AW26" s="114" t="inlineStr"/>
      <c r="AX26" s="114" t="inlineStr"/>
      <c r="AY26" s="114" t="inlineStr"/>
      <c r="AZ26" s="114" t="inlineStr"/>
      <c r="BA26" s="114" t="inlineStr"/>
      <c r="BC26" s="114" t="inlineStr">
        <is>
          <t>Anteparo</t>
        </is>
      </c>
      <c r="BD26" s="114" t="inlineStr">
        <is>
          <t>Controle</t>
        </is>
      </c>
      <c r="BE26" s="141" t="n">
        <v>2</v>
      </c>
      <c r="BF26" s="141">
        <f>$BE26+3*IFERROR(VLOOKUP($BD26,$I$2:$L$10,3,FALSE),0)</f>
        <v/>
      </c>
      <c r="BG26" s="141">
        <f>IFERROR(VLOOKUP($BD26,$I$2:$L$10,4,FALSE),0)</f>
        <v/>
      </c>
      <c r="BH26" s="141" t="n">
        <v>1</v>
      </c>
      <c r="BI26" s="141">
        <f>IF($BG26=1,"",$BC26)</f>
        <v/>
      </c>
      <c r="BJ26" s="141">
        <f>IF(AND($BE26=1,$BG26=0),$BC26,"")</f>
        <v/>
      </c>
      <c r="CB26" s="114" t="inlineStr">
        <is>
          <t>Sem Pegada</t>
        </is>
      </c>
      <c r="CC26" s="114" t="inlineStr">
        <is>
          <t>—</t>
        </is>
      </c>
      <c r="CD26" s="141" t="n">
        <v>1</v>
      </c>
      <c r="CE26" s="114" t="inlineStr">
        <is>
          <t>—</t>
        </is>
      </c>
      <c r="CF26" s="114" t="inlineStr">
        <is>
          <t>Você não deixa rastro físico: pegada, cheiro, marca, som de passo. Nem Faro, nem cão, nem técnica de rastreamento acham por onde você passou.</t>
        </is>
      </c>
      <c r="CG26" s="141">
        <f>IF($CJ26=1,"",IF($A$2=4,IF($CH26=1,$CB26,""),IF(OR($CH26=1,AND($A$2=3,$CI26=1)),"",$CB26)))</f>
        <v/>
      </c>
      <c r="CH26" s="141" t="n">
        <v>1</v>
      </c>
      <c r="CI26" s="141" t="n">
        <v>0</v>
      </c>
      <c r="CJ26" s="141" t="n">
        <v>0</v>
      </c>
      <c r="DT26" s="114" t="inlineStr">
        <is>
          <t>Feitiço 25</t>
        </is>
      </c>
      <c r="DU26" s="141" t="n">
        <v>0</v>
      </c>
      <c r="DV26" s="141" t="n">
        <v>25</v>
      </c>
      <c r="DW26" s="141">
        <f>MAX(1,MIN(7,N('FICHA AMALDIÇOADA'!$D$223)))</f>
        <v/>
      </c>
      <c r="DX26" s="141">
        <f>'FICHA AMALDIÇOADA'!$E$223&amp;""</f>
        <v/>
      </c>
      <c r="DY26" s="141">
        <f>'FICHA AMALDIÇOADA'!$D$230&amp;""</f>
        <v/>
      </c>
      <c r="DZ26" s="141">
        <f>'FICHA AMALDIÇOADA'!$E$232&amp;""</f>
        <v/>
      </c>
      <c r="EA26" s="141">
        <f>'FICHA AMALDIÇOADA'!$E$233&amp;""</f>
        <v/>
      </c>
      <c r="EB26" s="141">
        <f>'FICHA AMALDIÇOADA'!$E$234&amp;""</f>
        <v/>
      </c>
      <c r="EC26" s="141">
        <f>'FICHA AMALDIÇOADA'!$E$235&amp;""</f>
        <v/>
      </c>
      <c r="ED26" s="141">
        <f>'FICHA AMALDIÇOADA'!$E$236&amp;""</f>
        <v/>
      </c>
      <c r="EE26" s="141">
        <f>'FICHA AMALDIÇOADA'!$E$237&amp;""</f>
        <v/>
      </c>
      <c r="EF26" s="141">
        <f>IF($DX26&lt;&gt;"",1,0)</f>
        <v/>
      </c>
      <c r="EG26" s="141">
        <f>IFERROR(MATCH($DY26,$Y$2:$Y$11,0),0)</f>
        <v/>
      </c>
      <c r="EH26" s="141">
        <f>IF($EG26=0,0,INDEX($AB$2:$AB$11,$EG26))</f>
        <v/>
      </c>
      <c r="EI26" s="141">
        <f>IFERROR(VLOOKUP($DZ26,$BC$2:$BJ$84,4,FALSE),0)</f>
        <v/>
      </c>
      <c r="EJ26" s="141">
        <f>IFERROR(VLOOKUP($EA26,$BC$2:$BJ$84,4,FALSE),0)</f>
        <v/>
      </c>
      <c r="EK26" s="141">
        <f>IFERROR(VLOOKUP($EB26,$BC$2:$BJ$84,4,FALSE),0)</f>
        <v/>
      </c>
      <c r="EL26" s="141">
        <f>IFERROR(VLOOKUP($EC26,$BC$2:$BJ$84,4,FALSE),0)</f>
        <v/>
      </c>
      <c r="EM26" s="141">
        <f>IF($EG26=0,0,INDEX($AC$2:$AC$11,$EG26))</f>
        <v/>
      </c>
      <c r="EN26" s="141">
        <f>IFERROR(VLOOKUP($DZ26,$BC$2:$BJ$84,5,FALSE),0)</f>
        <v/>
      </c>
      <c r="EO26" s="141">
        <f>IFERROR(VLOOKUP($EA26,$BC$2:$BJ$84,5,FALSE),0)</f>
        <v/>
      </c>
      <c r="EP26" s="141">
        <f>IFERROR(VLOOKUP($EB26,$BC$2:$BJ$84,5,FALSE),0)</f>
        <v/>
      </c>
      <c r="EQ26" s="141">
        <f>IFERROR(VLOOKUP($EC26,$BC$2:$BJ$84,5,FALSE),0)</f>
        <v/>
      </c>
      <c r="ER26" s="141">
        <f>IFERROR(VLOOKUP($DZ26,$BC$2:$BJ$84,6,FALSE),0)+IFERROR(VLOOKUP($EA26,$BC$2:$BJ$84,6,FALSE),0)+IFERROR(VLOOKUP($EB26,$BC$2:$BJ$84,6,FALSE),0)+IFERROR(VLOOKUP($EC26,$BC$2:$BJ$84,6,FALSE),0)</f>
        <v/>
      </c>
      <c r="ES26" s="141">
        <f>IF($EG26=0,0,INDEX($AD$2:$AD$11,$EG26))</f>
        <v/>
      </c>
      <c r="ET26" s="141">
        <f>IF($EG26=0,0,INDEX($AE$2:$AE$11,$EG26))</f>
        <v/>
      </c>
      <c r="EU26" s="141">
        <f>IF($EG26=0,0,INDEX($AG$2:$AG$11,$EG26))</f>
        <v/>
      </c>
      <c r="EV26" s="141">
        <f>IFERROR(VLOOKUP($ED26,$BL$2:$BP$24,3,FALSE),0)</f>
        <v/>
      </c>
      <c r="EW26" s="141">
        <f>IFERROR(VLOOKUP($EE26,$BL$2:$BP$24,3,FALSE),0)</f>
        <v/>
      </c>
      <c r="EX26" s="141">
        <f>IFERROR(VLOOKUP($ED26,$BL$2:$BP$24,2,FALSE),"")</f>
        <v/>
      </c>
      <c r="EY26" s="141">
        <f>IFERROR(VLOOKUP($EE26,$BL$2:$BP$24,2,FALSE),"")</f>
        <v/>
      </c>
      <c r="EZ26" s="141">
        <f>COUNTIF($EH26:$EL26,1)</f>
        <v/>
      </c>
      <c r="FA26" s="141">
        <f>COUNTIF($EH26:$EL26,2)</f>
        <v/>
      </c>
      <c r="FB26" s="141">
        <f>COUNTIF($EH26:$EL26,3)</f>
        <v/>
      </c>
      <c r="FC26" s="141">
        <f>COUNTIF($EH26:$EL26,4)</f>
        <v/>
      </c>
      <c r="FD26" s="141">
        <f>COUNTIF($EH26:$EL26,5)</f>
        <v/>
      </c>
      <c r="FE26" s="141">
        <f>COUNTIF($EH26:$EL26,6)</f>
        <v/>
      </c>
      <c r="FF26" s="141">
        <f>COUNTIF($EV26:$EW26,1)</f>
        <v/>
      </c>
      <c r="FG26" s="141">
        <f>COUNTIF($EV26:$EW26,2)+$ES26</f>
        <v/>
      </c>
      <c r="FH26" s="141">
        <f>COUNTIF($DZ26:$EC26,"?*")</f>
        <v/>
      </c>
      <c r="FI26" s="141">
        <f>COUNTIF($ED26:$EE26,"?*")+$ES26</f>
        <v/>
      </c>
      <c r="FJ26" s="141">
        <f>SUMPRODUCT($EZ26:$FE26,INDEX($Q$2:$V$8,$DW26,0))</f>
        <v/>
      </c>
      <c r="FK26" s="141">
        <f>$FF26*CEILING($DW26/2,1)+$FG26*$DW26</f>
        <v/>
      </c>
      <c r="FL26" s="141">
        <f>MIN(2*$DW26,$FK26)</f>
        <v/>
      </c>
      <c r="FM26" s="141">
        <f>MIN($FL26,$FJ26)</f>
        <v/>
      </c>
      <c r="FN26" s="141">
        <f>$FL26-$FM26</f>
        <v/>
      </c>
      <c r="FO26" s="141">
        <f>3*$DW26-$FJ26+$FM26</f>
        <v/>
      </c>
      <c r="FP26" s="141">
        <f>MAX(0,$FO26)+$DU26*$DW26</f>
        <v/>
      </c>
      <c r="FQ26" s="141">
        <f>(IF(COUNTIF($DZ26:$EC26,"Salto")&gt;0,1,0)+IF(COUNTIF($DZ26:$EC26,"Queima")&gt;0,1,0))*FLOOR($FP26/2,1)</f>
        <v/>
      </c>
      <c r="FR26" s="141">
        <f>MAX(0,3-SUMPRODUCT($EZ26:$FE26,$Q$2:$V$2)+MIN(2,$FF26*1+$FG26*1,SUMPRODUCT($EZ26:$FE26,$Q$2:$V$2)))+$DU26*1</f>
        <v/>
      </c>
      <c r="FS26" s="141">
        <f>MAX(0,6-SUMPRODUCT($EZ26:$FE26,$Q$3:$V$3)+MIN(4,$FF26*1+$FG26*2,SUMPRODUCT($EZ26:$FE26,$Q$3:$V$3)))+$DU26*2</f>
        <v/>
      </c>
      <c r="FT26" s="141">
        <f>MAX(0,9-SUMPRODUCT($EZ26:$FE26,$Q$4:$V$4)+MIN(6,$FF26*2+$FG26*3,SUMPRODUCT($EZ26:$FE26,$Q$4:$V$4)))+$DU26*3</f>
        <v/>
      </c>
      <c r="FU26" s="141">
        <f>MAX(0,12-SUMPRODUCT($EZ26:$FE26,$Q$5:$V$5)+MIN(8,$FF26*2+$FG26*4,SUMPRODUCT($EZ26:$FE26,$Q$5:$V$5)))+$DU26*4</f>
        <v/>
      </c>
      <c r="FV26" s="141">
        <f>MAX(0,15-SUMPRODUCT($EZ26:$FE26,$Q$6:$V$6)+MIN(10,$FF26*3+$FG26*5,SUMPRODUCT($EZ26:$FE26,$Q$6:$V$6)))+$DU26*5</f>
        <v/>
      </c>
      <c r="FW26" s="141">
        <f>MAX(0,18-SUMPRODUCT($EZ26:$FE26,$Q$7:$V$7)+MIN(12,$FF26*3+$FG26*6,SUMPRODUCT($EZ26:$FE26,$Q$7:$V$7)))+$DU26*6</f>
        <v/>
      </c>
      <c r="FX26" s="141">
        <f>MAX(0,21-SUMPRODUCT($EZ26:$FE26,$Q$8:$V$8)+MIN(14,$FF26*4+$FG26*7,SUMPRODUCT($EZ26:$FE26,$Q$8:$V$8)))+$DU26*7</f>
        <v/>
      </c>
      <c r="FY26" s="141">
        <f>IF($ET26=2,3*$FR26&amp;" de vida temp.",IF($ET26=3,"sem dano",IF($FR26=0,IF($ET26=1,"sem cura","sem dano"),IF($ET26=1,"cura ","")&amp;$FR26&amp;"d8")))</f>
        <v/>
      </c>
      <c r="FZ26" s="141">
        <f>IF($ET26=2,3*$FS26&amp;" de vida temp.",IF($ET26=3,"sem dano",IF($FS26=0,IF($ET26=1,"sem cura","sem dano"),IF($ET26=1,"cura ","")&amp;$FS26&amp;"d8")))</f>
        <v/>
      </c>
      <c r="GA26" s="141">
        <f>IF($ET26=2,3*$FT26&amp;" de vida temp.",IF($ET26=3,"sem dano",IF($FT26=0,IF($ET26=1,"sem cura","sem dano"),IF($ET26=1,"cura ","")&amp;$FT26&amp;"d8")))</f>
        <v/>
      </c>
      <c r="GB26" s="141">
        <f>IF($ET26=2,3*$FU26&amp;" de vida temp.",IF($ET26=3,"sem dano",IF($FU26=0,IF($ET26=1,"sem cura","sem dano"),IF($ET26=1,"cura ","")&amp;$FU26&amp;"d8")))</f>
        <v/>
      </c>
      <c r="GC26" s="141">
        <f>IF($ET26=2,3*$FV26&amp;" de vida temp.",IF($ET26=3,"sem dano",IF($FV26=0,IF($ET26=1,"sem cura","sem dano"),IF($ET26=1,"cura ","")&amp;$FV26&amp;"d8")))</f>
        <v/>
      </c>
      <c r="GD26" s="141">
        <f>IF($ET26=2,3*$FW26&amp;" de vida temp.",IF($ET26=3,"sem dano",IF($FW26=0,IF($ET26=1,"sem cura","sem dano"),IF($ET26=1,"cura ","")&amp;$FW26&amp;"d8")))</f>
        <v/>
      </c>
      <c r="GE26" s="141">
        <f>IF($ET26=2,3*$FX26&amp;" de vida temp.",IF($ET26=3,"sem dano",IF($FX26=0,IF($ET26=1,"sem cura","sem dano"),IF($ET26=1,"cura ","")&amp;$FX26&amp;"d8")))</f>
        <v/>
      </c>
      <c r="GF26" s="141">
        <f>IF($EF26=0,"",TEXTJOIN(" · ",TRUE,IF(AND($DU26=1,$DV26&gt;$HE$9),"O nível "&amp;$HE$2&amp;" dá "&amp;$HE$9&amp;" Liberação Máxima",""),IF($DW26&gt;$HE$4,"Classe "&amp;$DW26&amp;": o nível "&amp;$HE$2&amp;" libera até a "&amp;$HE$4,""),IF($EM26=1,"Família Fechada: a Forma "&amp;$DY26,""),IF($EN26=1,"Família Fechada: "&amp;$DZ26,""),IF($EO26=1,"Família Fechada: "&amp;$EA26,""),IF($EP26=1,"Família Fechada: "&amp;$EB26,""),IF($EQ26=1,"Família Fechada: "&amp;$EC26,""),IF($FH26&gt;INDEX($W$2:$W$8,$DW26),$FH26&amp;" Melhorias: a Classe "&amp;$DW26&amp;" aceita "&amp;INDEX($W$2:$W$8,$DW26),""),IF($FI26&gt;2,$FI26&amp;" Restrições"&amp;IF($ES26=1,", contando a que a Forma "&amp;$DY26&amp;" já traz","")&amp;": o limite é 2",""),IF($FO26&lt;0,"Orçamento estourado: faltam "&amp;(-$FO26)&amp;IF($FO26&lt;-1," pontos"," ponto"),""),IF(IFERROR(VLOOKUP($ED26,$BL$2:$BP$24,4,FALSE),0)+IFERROR(VLOOKUP($EE26,$BL$2:$BP$24,4,FALSE),0)&gt;1,$EX26&amp;" e "&amp;$EY26&amp;" são as duas de frequência",""),IF(AND((COUNTIF($DZ26:$EC26,"Rápido")+COUNTIF($EX26:$EY26,"Rápido"))&gt;0,(COUNTIF($DZ26:$EC26,"Reação")+COUNTIF($EX26:$EY26,"Reação"))&gt;0),"Rápido não entra com Reação",""),IF(AND((COUNTIF($DZ26:$EC26,"Rápido")+COUNTIF($EX26:$EY26,"Rápido"))&gt;0,(COUNTIF($DZ26:$EC26,"Atrasar")+COUNTIF($EX26:$EY26,"Atrasar"))&gt;0),"Rápido não entra com Atrasar",""),IF(AND((COUNTIF($DZ26:$EC26,"Reação")+COUNTIF($EX26:$EY26,"Reação"))&gt;0,(COUNTIF($DZ26:$EC26,"Atrasar")+COUNTIF($EX26:$EY26,"Atrasar"))&gt;0),"Reação não entra com Atrasar",""),IF(AND((COUNTIF($DZ26:$EC26,"Reação")+COUNTIF($EX26:$EY26,"Reação"))&gt;0,(COUNTIF($DZ26:$EC26,"Parado")+COUNTIF($EX26:$EY26,"Parado"))&gt;0),"Reação não entra com Parado",""),IF(AND(COUNTIF($EX26:$EY26,"Corpo a Corpo")&gt;0,$ES26=0,OR($DY26="Cone",$DY26="Linha")),"Corpo a Corpo não entra em "&amp;$DY26,""),IF(AND(COUNTIF($EX26:$EY26,"Corpo a Corpo")&gt;0,$ES26=1),"A Forma "&amp;$DY26&amp;" já traz o Corpo a Corpo",""),IF(AND(COUNTIF($EX26:$EY26,"Tudo ou Nada")&gt;0,$EU26=0),"Tudo ou Nada só entra em feitiço de Teste de Resistência",""),IF(AND(COUNTIF($DZ26:$EC26,"Inescapável")&gt;0,OR($FH26&gt;1,$FI26&gt;0)),"Inescapável não aceita outra peça",""),IF(AND($DU26=1,$DW26&lt;3),"Liberação Máxima é de Classe 3 ou mais",""),IF(AND($DU26=1,OR($ET26=1,$ET26=2)),"Liberação Máxima não serve para cura",""),IF(AND($DU26=1,COUNTIF($DZ26:$EC26,"Inescapável")+COUNTIF($DZ26:$EC26,"Toca a Alma")&gt;0),"Esta peça não entra numa Liberação Máxima",""),IF($FP26+$FQ26&gt;4*$DW26,($FP26+$FQ26)&amp;" dados somando alvos e repetições: o teto da Classe "&amp;$DW26&amp;" é "&amp;4*$DW26,"")))</f>
        <v/>
      </c>
      <c r="GG26" s="141">
        <f>IF($GF26="",0,(LEN($GF26)-LEN(SUBSTITUTE($GF26," · ","")))/3+1)</f>
        <v/>
      </c>
      <c r="GH26" s="141">
        <f>IF($EF26=0,"",TEXTJOIN(" · ",TRUE,IF($FK26&gt;2*$DW26,"A devolução parou no teto de "&amp;2*$DW26,""),IF($FN26&gt;0,"Devolução perdida: "&amp;$FN26&amp;IF($FN26&gt;1," pontos"," ponto")&amp;" sem peça para pagar",""),IF(AND($ER26&gt;0,$FP26=0),"Controle sem dano: uma rodada a mais e CD +2",""),IF(AND($ER26&gt;0,$FP26&gt;0,$FP26&lt;=$DW26),"Controle com um quarto do teto: uma rodada a mais","")))</f>
        <v/>
      </c>
      <c r="GI26" s="141">
        <f>IF($GH26="",0,(LEN($GH26)-LEN(SUBSTITUTE($GH26," · ","")))/3+1)</f>
        <v/>
      </c>
      <c r="GJ26" s="141">
        <f>IF($EF26=0,IF($FH26+$FI26-$ES26&gt;0,"Dê um nome",""),IF($GG26&gt;0,"⚠ "&amp;$GG26&amp;IF($GG26&gt;1," erros"," erro"),IF($GI26&gt;0,"! "&amp;$GI26&amp;IF($GI26&gt;1," avisos"," aviso"),"Na regra")))</f>
        <v/>
      </c>
      <c r="GK26" s="141">
        <f>IF($EF26=0,"",IF($GG26+$GI26=0,"Dentro das regras que a ficha confere",$GF26&amp;IF(AND($GG26&gt;0,$GI26&gt;0)," · ","")&amp;$GH26))</f>
        <v/>
      </c>
      <c r="GL26" s="141">
        <f>IF($EF26=0,"",IF($DU26=1,CEILING(4.5*$DW26,1),3*$DW26)&amp;" PE")</f>
        <v/>
      </c>
      <c r="GM26" s="141">
        <f>IF($EF26=0,"",IF($DU26=1,"Rodada inteira",IF(COUNTIF($EX26:$EY26,"Atrasar")&gt;0,IF(COUNTIF($EX26:$EY26,"Carregar")&gt;0,"Rodada +1 turno","Rodada inteira"),IF(COUNTIF($DZ26:$EC26,"Rápido")&gt;0,"Bônus",IF(COUNTIF($DZ26:$EC26,"Reação")&gt;0,"Reação","Padrão"))&amp;IF(COUNTIF($EX26:$EY26,"Carregar")&gt;0," +1 turno",""))))</f>
        <v/>
      </c>
      <c r="GN26" s="141">
        <f>IF(OR($EF26=0,$EG26=0),"",IF(COUNTIF($DZ26:$EC26,"Inescapável")&gt;0,"Automático",IF(COUNTIF($DZ26:$EC26,"Certeiro")&gt;0,"TR para metade",INDEX($AF$2:$AF$11,$EG26))))</f>
        <v/>
      </c>
      <c r="GO26" s="141">
        <f>IF(OR($EF26=0,$EG26=0),"",IF(OR($ET26&gt;=2,$FP26=0),UPPER(LEFT(INDEX($FY26:$GE26,1,$DW26),1))&amp;MID(INDEX($FY26:$GE26,1,$DW26),2,99),UPPER(LEFT(INDEX($FY26:$GE26,1,$DW26),1))&amp;MID(INDEX($FY26:$GE26,1,$DW26),2,99)&amp;" = "&amp;FLOOR($FP26*4.5,1)&amp;IF($FQ26&gt;0," · +"&amp;$FQ26&amp;"d8","")))</f>
        <v/>
      </c>
      <c r="GP26" s="141">
        <f>COUNTIF($DZ26:$EC26,"Longe")+3*COUNTIF($DZ26:$EC26,"Muito Longe")</f>
        <v/>
      </c>
      <c r="GQ26" s="141">
        <f>COUNTIF($DZ26:$EC26,"Maior")+3*COUNTIF($DZ26:$EC26,"Muito Maior")</f>
        <v/>
      </c>
      <c r="GR26" s="141">
        <f>IF($EG26=0,0,CHOOSE(1+INDEX($AH$2:$AH$11,$EG26),0,$GP26,$GQ26,$GP26+$GQ26))</f>
        <v/>
      </c>
      <c r="GS26" s="141">
        <f>IF($EG26=0,0,CHOOSE(1+INDEX($AI$2:$AI$11,$EG26),0,$GP26,$GQ26,$GP26+$GQ26))</f>
        <v/>
      </c>
      <c r="GT26" s="141">
        <f>IF(OR($EF26=0,$EG26=0),"",INDEX($AP$2:$AU$31,($EG26-1)*3+IF($DW26&gt;=6,3,2),1+MIN(5,$GR26))&amp;INDEX($AV$2:$BA$31,($EG26-1)*3+IF($DW26&gt;=6,3,2),1+MIN(5,$GS26))&amp;IF(INDEX($AJ$2:$AJ$11,$EG26)=1,IF(COUNTIF($DZ26:$EC26,"Mais Um")&gt;0," · +"&amp;COUNTIF($DZ26:$EC26,"Mais Um")&amp;IF(COUNTIF($DZ26:$EC26,"Mais Um")&gt;1," alvos"," alvo"),"")&amp;IF(COUNTIF($DZ26:$EC26,"Rajada")&gt;0," · "&amp;($DW26+1)&amp;" tiros",""),""))</f>
        <v/>
      </c>
      <c r="GU26" s="141">
        <f>IF($EF26=0,"",3*$DW26&amp;" − "&amp;$FJ26&amp;" + "&amp;$FM26&amp;IF($DU26=1," + "&amp;$DW26,"")&amp;" = "&amp;$FP26&amp;"d8 · teto "&amp;4*$DW26&amp;IF($ES26=1," · a Forma devolve "&amp;$DW26,"")&amp;IF($FN26&gt;0," · perde "&amp;$FN26,""))</f>
        <v/>
      </c>
      <c r="GV26" s="141">
        <f>IF($EF26=0,"",IF($DW26&gt;=$HE$4,"Já está na maior Classe que o nível liberou",TEXTJOIN(" · ",TRUE,IF(AND(2&gt;$DW26,2&lt;=$HE$4),"2 → "&amp;$FZ26&amp;", "&amp;IF($DU26=1,9,6)&amp;" PE",""),IF(AND(3&gt;$DW26,3&lt;=$HE$4),"3 → "&amp;$GA26&amp;", "&amp;IF($DU26=1,14,9)&amp;" PE",""),IF(AND(4&gt;$DW26,4&lt;=$HE$4),"4 → "&amp;$GB26&amp;", "&amp;IF($DU26=1,18,12)&amp;" PE",""),IF(AND(5&gt;$DW26,5&lt;=$HE$4),"5 → "&amp;$GC26&amp;", "&amp;IF($DU26=1,23,15)&amp;" PE",""),IF(AND(6&gt;$DW26,6&lt;=$HE$4),"6 → "&amp;$GD26&amp;", "&amp;IF($DU26=1,27,18)&amp;" PE",""),IF(AND(7&gt;$DW26,7&lt;=$HE$4),"7 → "&amp;$GE26&amp;", "&amp;IF($DU26=1,32,21)&amp;" PE",""))))</f>
        <v/>
      </c>
      <c r="GW26" s="141">
        <f>IF(OR($EF26=0,$EI26=0),"","−"&amp;INDEX($Q$2:$V$8,$DW26,$EI26)&amp;" · "&amp;CHOOSE($EI26,"Leve","Média","Pesada","Leve · Livre","Média · Livre","Pesada · Livre"))</f>
        <v/>
      </c>
      <c r="GX26" s="141">
        <f>IF(OR($EF26=0,$EJ26=0),"","−"&amp;INDEX($Q$2:$V$8,$DW26,$EJ26)&amp;" · "&amp;CHOOSE($EJ26,"Leve","Média","Pesada","Leve · Livre","Média · Livre","Pesada · Livre"))</f>
        <v/>
      </c>
      <c r="GY26" s="141">
        <f>IF(OR($EF26=0,$EK26=0),"","−"&amp;INDEX($Q$2:$V$8,$DW26,$EK26)&amp;" · "&amp;CHOOSE($EK26,"Leve","Média","Pesada","Leve · Livre","Média · Livre","Pesada · Livre"))</f>
        <v/>
      </c>
      <c r="GZ26" s="141">
        <f>IF(OR($EF26=0,$EL26=0),"","−"&amp;INDEX($Q$2:$V$8,$DW26,$EL26)&amp;" · "&amp;CHOOSE($EL26,"Leve","Média","Pesada","Leve · Livre","Média · Livre","Pesada · Livre"))</f>
        <v/>
      </c>
      <c r="HA26" s="141">
        <f>IF(OR($EF26=0,$ED26=""),"","+"&amp;IF($EV26=1,CEILING($DW26/2,1),$DW26))</f>
        <v/>
      </c>
      <c r="HB26" s="141">
        <f>IF(OR($EF26=0,$EE26=""),"","+"&amp;IF($EW26=1,CEILING($DW26/2,1),$DW26))</f>
        <v/>
      </c>
      <c r="HD26" s="114" t="inlineStr">
        <is>
          <t>aptidões compráveis</t>
        </is>
      </c>
      <c r="HE26" s="141">
        <f>MAX(0,N(DADOS!$AK$36)-2)</f>
        <v/>
      </c>
      <c r="IJ26" s="114" t="inlineStr">
        <is>
          <t>J46</t>
        </is>
      </c>
      <c r="IK26" s="141">
        <f>INDEX(DADOS_AM!$P$2:$W$8,DADOS_AM!$HE$29,4)</f>
        <v/>
      </c>
    </row>
    <row r="27">
      <c r="AO27" s="114" t="inlineStr">
        <is>
          <t>Onda · classes 1 a 5</t>
        </is>
      </c>
      <c r="AP27" s="114" t="inlineStr">
        <is>
          <t>Raio 3 m, em você</t>
        </is>
      </c>
      <c r="AQ27" s="114" t="inlineStr">
        <is>
          <t>Raio 4,5 m, em você</t>
        </is>
      </c>
      <c r="AR27" s="114" t="inlineStr">
        <is>
          <t>Raio 6 m, em você</t>
        </is>
      </c>
      <c r="AS27" s="114" t="inlineStr">
        <is>
          <t>Raio 9 m, em você</t>
        </is>
      </c>
      <c r="AT27" s="114" t="inlineStr">
        <is>
          <t>Raio 15 m, em você</t>
        </is>
      </c>
      <c r="AU27" s="114" t="inlineStr">
        <is>
          <t>Raio 15 m, em você</t>
        </is>
      </c>
      <c r="AV27" s="114" t="inlineStr"/>
      <c r="AW27" s="114" t="inlineStr"/>
      <c r="AX27" s="114" t="inlineStr"/>
      <c r="AY27" s="114" t="inlineStr"/>
      <c r="AZ27" s="114" t="inlineStr"/>
      <c r="BA27" s="114" t="inlineStr"/>
      <c r="BC27" s="114" t="inlineStr">
        <is>
          <t>Prende</t>
        </is>
      </c>
      <c r="BD27" s="114" t="inlineStr">
        <is>
          <t>Controle</t>
        </is>
      </c>
      <c r="BE27" s="141" t="n">
        <v>2</v>
      </c>
      <c r="BF27" s="141">
        <f>$BE27+3*IFERROR(VLOOKUP($BD27,$I$2:$L$10,3,FALSE),0)</f>
        <v/>
      </c>
      <c r="BG27" s="141">
        <f>IFERROR(VLOOKUP($BD27,$I$2:$L$10,4,FALSE),0)</f>
        <v/>
      </c>
      <c r="BH27" s="141" t="n">
        <v>1</v>
      </c>
      <c r="BI27" s="141">
        <f>IF($BG27=1,"",$BC27)</f>
        <v/>
      </c>
      <c r="BJ27" s="141">
        <f>IF(AND($BE27=1,$BG27=0),$BC27,"")</f>
        <v/>
      </c>
      <c r="CB27" s="114" t="inlineStr">
        <is>
          <t>Vulto</t>
        </is>
      </c>
      <c r="CC27" s="114" t="inlineStr">
        <is>
          <t>—</t>
        </is>
      </c>
      <c r="CD27" s="141" t="n">
        <v>2</v>
      </c>
      <c r="CE27" s="114" t="inlineStr">
        <is>
          <t>—</t>
        </is>
      </c>
      <c r="CF27" s="114" t="inlineStr">
        <is>
          <t>Você percebe tudo o que estiver a 1,5 m × metade da Lapidação de você sem precisar estar com os olhos abertos, só por som e movimento. É visão às cegas.</t>
        </is>
      </c>
      <c r="CG27" s="141">
        <f>IF($CJ27=1,"",IF($A$2=4,IF($CH27=1,$CB27,""),IF(OR($CH27=1,AND($A$2=3,$CI27=1)),"",$CB27)))</f>
        <v/>
      </c>
      <c r="CH27" s="141" t="n">
        <v>1</v>
      </c>
      <c r="CI27" s="141" t="n">
        <v>0</v>
      </c>
      <c r="CJ27" s="141" t="n">
        <v>0</v>
      </c>
      <c r="DT27" s="114" t="inlineStr">
        <is>
          <t>Feitiço 26</t>
        </is>
      </c>
      <c r="DU27" s="141" t="n">
        <v>0</v>
      </c>
      <c r="DV27" s="141" t="n">
        <v>26</v>
      </c>
      <c r="DW27" s="141">
        <f>MAX(1,MIN(7,N('FICHA AMALDIÇOADA'!$J$223)))</f>
        <v/>
      </c>
      <c r="DX27" s="141">
        <f>'FICHA AMALDIÇOADA'!$K$223&amp;""</f>
        <v/>
      </c>
      <c r="DY27" s="141">
        <f>'FICHA AMALDIÇOADA'!$J$230&amp;""</f>
        <v/>
      </c>
      <c r="DZ27" s="141">
        <f>'FICHA AMALDIÇOADA'!$K$232&amp;""</f>
        <v/>
      </c>
      <c r="EA27" s="141">
        <f>'FICHA AMALDIÇOADA'!$K$233&amp;""</f>
        <v/>
      </c>
      <c r="EB27" s="141">
        <f>'FICHA AMALDIÇOADA'!$K$234&amp;""</f>
        <v/>
      </c>
      <c r="EC27" s="141">
        <f>'FICHA AMALDIÇOADA'!$K$235&amp;""</f>
        <v/>
      </c>
      <c r="ED27" s="141">
        <f>'FICHA AMALDIÇOADA'!$K$236&amp;""</f>
        <v/>
      </c>
      <c r="EE27" s="141">
        <f>'FICHA AMALDIÇOADA'!$K$237&amp;""</f>
        <v/>
      </c>
      <c r="EF27" s="141">
        <f>IF($DX27&lt;&gt;"",1,0)</f>
        <v/>
      </c>
      <c r="EG27" s="141">
        <f>IFERROR(MATCH($DY27,$Y$2:$Y$11,0),0)</f>
        <v/>
      </c>
      <c r="EH27" s="141">
        <f>IF($EG27=0,0,INDEX($AB$2:$AB$11,$EG27))</f>
        <v/>
      </c>
      <c r="EI27" s="141">
        <f>IFERROR(VLOOKUP($DZ27,$BC$2:$BJ$84,4,FALSE),0)</f>
        <v/>
      </c>
      <c r="EJ27" s="141">
        <f>IFERROR(VLOOKUP($EA27,$BC$2:$BJ$84,4,FALSE),0)</f>
        <v/>
      </c>
      <c r="EK27" s="141">
        <f>IFERROR(VLOOKUP($EB27,$BC$2:$BJ$84,4,FALSE),0)</f>
        <v/>
      </c>
      <c r="EL27" s="141">
        <f>IFERROR(VLOOKUP($EC27,$BC$2:$BJ$84,4,FALSE),0)</f>
        <v/>
      </c>
      <c r="EM27" s="141">
        <f>IF($EG27=0,0,INDEX($AC$2:$AC$11,$EG27))</f>
        <v/>
      </c>
      <c r="EN27" s="141">
        <f>IFERROR(VLOOKUP($DZ27,$BC$2:$BJ$84,5,FALSE),0)</f>
        <v/>
      </c>
      <c r="EO27" s="141">
        <f>IFERROR(VLOOKUP($EA27,$BC$2:$BJ$84,5,FALSE),0)</f>
        <v/>
      </c>
      <c r="EP27" s="141">
        <f>IFERROR(VLOOKUP($EB27,$BC$2:$BJ$84,5,FALSE),0)</f>
        <v/>
      </c>
      <c r="EQ27" s="141">
        <f>IFERROR(VLOOKUP($EC27,$BC$2:$BJ$84,5,FALSE),0)</f>
        <v/>
      </c>
      <c r="ER27" s="141">
        <f>IFERROR(VLOOKUP($DZ27,$BC$2:$BJ$84,6,FALSE),0)+IFERROR(VLOOKUP($EA27,$BC$2:$BJ$84,6,FALSE),0)+IFERROR(VLOOKUP($EB27,$BC$2:$BJ$84,6,FALSE),0)+IFERROR(VLOOKUP($EC27,$BC$2:$BJ$84,6,FALSE),0)</f>
        <v/>
      </c>
      <c r="ES27" s="141">
        <f>IF($EG27=0,0,INDEX($AD$2:$AD$11,$EG27))</f>
        <v/>
      </c>
      <c r="ET27" s="141">
        <f>IF($EG27=0,0,INDEX($AE$2:$AE$11,$EG27))</f>
        <v/>
      </c>
      <c r="EU27" s="141">
        <f>IF($EG27=0,0,INDEX($AG$2:$AG$11,$EG27))</f>
        <v/>
      </c>
      <c r="EV27" s="141">
        <f>IFERROR(VLOOKUP($ED27,$BL$2:$BP$24,3,FALSE),0)</f>
        <v/>
      </c>
      <c r="EW27" s="141">
        <f>IFERROR(VLOOKUP($EE27,$BL$2:$BP$24,3,FALSE),0)</f>
        <v/>
      </c>
      <c r="EX27" s="141">
        <f>IFERROR(VLOOKUP($ED27,$BL$2:$BP$24,2,FALSE),"")</f>
        <v/>
      </c>
      <c r="EY27" s="141">
        <f>IFERROR(VLOOKUP($EE27,$BL$2:$BP$24,2,FALSE),"")</f>
        <v/>
      </c>
      <c r="EZ27" s="141">
        <f>COUNTIF($EH27:$EL27,1)</f>
        <v/>
      </c>
      <c r="FA27" s="141">
        <f>COUNTIF($EH27:$EL27,2)</f>
        <v/>
      </c>
      <c r="FB27" s="141">
        <f>COUNTIF($EH27:$EL27,3)</f>
        <v/>
      </c>
      <c r="FC27" s="141">
        <f>COUNTIF($EH27:$EL27,4)</f>
        <v/>
      </c>
      <c r="FD27" s="141">
        <f>COUNTIF($EH27:$EL27,5)</f>
        <v/>
      </c>
      <c r="FE27" s="141">
        <f>COUNTIF($EH27:$EL27,6)</f>
        <v/>
      </c>
      <c r="FF27" s="141">
        <f>COUNTIF($EV27:$EW27,1)</f>
        <v/>
      </c>
      <c r="FG27" s="141">
        <f>COUNTIF($EV27:$EW27,2)+$ES27</f>
        <v/>
      </c>
      <c r="FH27" s="141">
        <f>COUNTIF($DZ27:$EC27,"?*")</f>
        <v/>
      </c>
      <c r="FI27" s="141">
        <f>COUNTIF($ED27:$EE27,"?*")+$ES27</f>
        <v/>
      </c>
      <c r="FJ27" s="141">
        <f>SUMPRODUCT($EZ27:$FE27,INDEX($Q$2:$V$8,$DW27,0))</f>
        <v/>
      </c>
      <c r="FK27" s="141">
        <f>$FF27*CEILING($DW27/2,1)+$FG27*$DW27</f>
        <v/>
      </c>
      <c r="FL27" s="141">
        <f>MIN(2*$DW27,$FK27)</f>
        <v/>
      </c>
      <c r="FM27" s="141">
        <f>MIN($FL27,$FJ27)</f>
        <v/>
      </c>
      <c r="FN27" s="141">
        <f>$FL27-$FM27</f>
        <v/>
      </c>
      <c r="FO27" s="141">
        <f>3*$DW27-$FJ27+$FM27</f>
        <v/>
      </c>
      <c r="FP27" s="141">
        <f>MAX(0,$FO27)+$DU27*$DW27</f>
        <v/>
      </c>
      <c r="FQ27" s="141">
        <f>(IF(COUNTIF($DZ27:$EC27,"Salto")&gt;0,1,0)+IF(COUNTIF($DZ27:$EC27,"Queima")&gt;0,1,0))*FLOOR($FP27/2,1)</f>
        <v/>
      </c>
      <c r="FR27" s="141">
        <f>MAX(0,3-SUMPRODUCT($EZ27:$FE27,$Q$2:$V$2)+MIN(2,$FF27*1+$FG27*1,SUMPRODUCT($EZ27:$FE27,$Q$2:$V$2)))+$DU27*1</f>
        <v/>
      </c>
      <c r="FS27" s="141">
        <f>MAX(0,6-SUMPRODUCT($EZ27:$FE27,$Q$3:$V$3)+MIN(4,$FF27*1+$FG27*2,SUMPRODUCT($EZ27:$FE27,$Q$3:$V$3)))+$DU27*2</f>
        <v/>
      </c>
      <c r="FT27" s="141">
        <f>MAX(0,9-SUMPRODUCT($EZ27:$FE27,$Q$4:$V$4)+MIN(6,$FF27*2+$FG27*3,SUMPRODUCT($EZ27:$FE27,$Q$4:$V$4)))+$DU27*3</f>
        <v/>
      </c>
      <c r="FU27" s="141">
        <f>MAX(0,12-SUMPRODUCT($EZ27:$FE27,$Q$5:$V$5)+MIN(8,$FF27*2+$FG27*4,SUMPRODUCT($EZ27:$FE27,$Q$5:$V$5)))+$DU27*4</f>
        <v/>
      </c>
      <c r="FV27" s="141">
        <f>MAX(0,15-SUMPRODUCT($EZ27:$FE27,$Q$6:$V$6)+MIN(10,$FF27*3+$FG27*5,SUMPRODUCT($EZ27:$FE27,$Q$6:$V$6)))+$DU27*5</f>
        <v/>
      </c>
      <c r="FW27" s="141">
        <f>MAX(0,18-SUMPRODUCT($EZ27:$FE27,$Q$7:$V$7)+MIN(12,$FF27*3+$FG27*6,SUMPRODUCT($EZ27:$FE27,$Q$7:$V$7)))+$DU27*6</f>
        <v/>
      </c>
      <c r="FX27" s="141">
        <f>MAX(0,21-SUMPRODUCT($EZ27:$FE27,$Q$8:$V$8)+MIN(14,$FF27*4+$FG27*7,SUMPRODUCT($EZ27:$FE27,$Q$8:$V$8)))+$DU27*7</f>
        <v/>
      </c>
      <c r="FY27" s="141">
        <f>IF($ET27=2,3*$FR27&amp;" de vida temp.",IF($ET27=3,"sem dano",IF($FR27=0,IF($ET27=1,"sem cura","sem dano"),IF($ET27=1,"cura ","")&amp;$FR27&amp;"d8")))</f>
        <v/>
      </c>
      <c r="FZ27" s="141">
        <f>IF($ET27=2,3*$FS27&amp;" de vida temp.",IF($ET27=3,"sem dano",IF($FS27=0,IF($ET27=1,"sem cura","sem dano"),IF($ET27=1,"cura ","")&amp;$FS27&amp;"d8")))</f>
        <v/>
      </c>
      <c r="GA27" s="141">
        <f>IF($ET27=2,3*$FT27&amp;" de vida temp.",IF($ET27=3,"sem dano",IF($FT27=0,IF($ET27=1,"sem cura","sem dano"),IF($ET27=1,"cura ","")&amp;$FT27&amp;"d8")))</f>
        <v/>
      </c>
      <c r="GB27" s="141">
        <f>IF($ET27=2,3*$FU27&amp;" de vida temp.",IF($ET27=3,"sem dano",IF($FU27=0,IF($ET27=1,"sem cura","sem dano"),IF($ET27=1,"cura ","")&amp;$FU27&amp;"d8")))</f>
        <v/>
      </c>
      <c r="GC27" s="141">
        <f>IF($ET27=2,3*$FV27&amp;" de vida temp.",IF($ET27=3,"sem dano",IF($FV27=0,IF($ET27=1,"sem cura","sem dano"),IF($ET27=1,"cura ","")&amp;$FV27&amp;"d8")))</f>
        <v/>
      </c>
      <c r="GD27" s="141">
        <f>IF($ET27=2,3*$FW27&amp;" de vida temp.",IF($ET27=3,"sem dano",IF($FW27=0,IF($ET27=1,"sem cura","sem dano"),IF($ET27=1,"cura ","")&amp;$FW27&amp;"d8")))</f>
        <v/>
      </c>
      <c r="GE27" s="141">
        <f>IF($ET27=2,3*$FX27&amp;" de vida temp.",IF($ET27=3,"sem dano",IF($FX27=0,IF($ET27=1,"sem cura","sem dano"),IF($ET27=1,"cura ","")&amp;$FX27&amp;"d8")))</f>
        <v/>
      </c>
      <c r="GF27" s="141">
        <f>IF($EF27=0,"",TEXTJOIN(" · ",TRUE,IF(AND($DU27=1,$DV27&gt;$HE$9),"O nível "&amp;$HE$2&amp;" dá "&amp;$HE$9&amp;" Liberação Máxima",""),IF($DW27&gt;$HE$4,"Classe "&amp;$DW27&amp;": o nível "&amp;$HE$2&amp;" libera até a "&amp;$HE$4,""),IF($EM27=1,"Família Fechada: a Forma "&amp;$DY27,""),IF($EN27=1,"Família Fechada: "&amp;$DZ27,""),IF($EO27=1,"Família Fechada: "&amp;$EA27,""),IF($EP27=1,"Família Fechada: "&amp;$EB27,""),IF($EQ27=1,"Família Fechada: "&amp;$EC27,""),IF($FH27&gt;INDEX($W$2:$W$8,$DW27),$FH27&amp;" Melhorias: a Classe "&amp;$DW27&amp;" aceita "&amp;INDEX($W$2:$W$8,$DW27),""),IF($FI27&gt;2,$FI27&amp;" Restrições"&amp;IF($ES27=1,", contando a que a Forma "&amp;$DY27&amp;" já traz","")&amp;": o limite é 2",""),IF($FO27&lt;0,"Orçamento estourado: faltam "&amp;(-$FO27)&amp;IF($FO27&lt;-1," pontos"," ponto"),""),IF(IFERROR(VLOOKUP($ED27,$BL$2:$BP$24,4,FALSE),0)+IFERROR(VLOOKUP($EE27,$BL$2:$BP$24,4,FALSE),0)&gt;1,$EX27&amp;" e "&amp;$EY27&amp;" são as duas de frequência",""),IF(AND((COUNTIF($DZ27:$EC27,"Rápido")+COUNTIF($EX27:$EY27,"Rápido"))&gt;0,(COUNTIF($DZ27:$EC27,"Reação")+COUNTIF($EX27:$EY27,"Reação"))&gt;0),"Rápido não entra com Reação",""),IF(AND((COUNTIF($DZ27:$EC27,"Rápido")+COUNTIF($EX27:$EY27,"Rápido"))&gt;0,(COUNTIF($DZ27:$EC27,"Atrasar")+COUNTIF($EX27:$EY27,"Atrasar"))&gt;0),"Rápido não entra com Atrasar",""),IF(AND((COUNTIF($DZ27:$EC27,"Reação")+COUNTIF($EX27:$EY27,"Reação"))&gt;0,(COUNTIF($DZ27:$EC27,"Atrasar")+COUNTIF($EX27:$EY27,"Atrasar"))&gt;0),"Reação não entra com Atrasar",""),IF(AND((COUNTIF($DZ27:$EC27,"Reação")+COUNTIF($EX27:$EY27,"Reação"))&gt;0,(COUNTIF($DZ27:$EC27,"Parado")+COUNTIF($EX27:$EY27,"Parado"))&gt;0),"Reação não entra com Parado",""),IF(AND(COUNTIF($EX27:$EY27,"Corpo a Corpo")&gt;0,$ES27=0,OR($DY27="Cone",$DY27="Linha")),"Corpo a Corpo não entra em "&amp;$DY27,""),IF(AND(COUNTIF($EX27:$EY27,"Corpo a Corpo")&gt;0,$ES27=1),"A Forma "&amp;$DY27&amp;" já traz o Corpo a Corpo",""),IF(AND(COUNTIF($EX27:$EY27,"Tudo ou Nada")&gt;0,$EU27=0),"Tudo ou Nada só entra em feitiço de Teste de Resistência",""),IF(AND(COUNTIF($DZ27:$EC27,"Inescapável")&gt;0,OR($FH27&gt;1,$FI27&gt;0)),"Inescapável não aceita outra peça",""),IF(AND($DU27=1,$DW27&lt;3),"Liberação Máxima é de Classe 3 ou mais",""),IF(AND($DU27=1,OR($ET27=1,$ET27=2)),"Liberação Máxima não serve para cura",""),IF(AND($DU27=1,COUNTIF($DZ27:$EC27,"Inescapável")+COUNTIF($DZ27:$EC27,"Toca a Alma")&gt;0),"Esta peça não entra numa Liberação Máxima",""),IF($FP27+$FQ27&gt;4*$DW27,($FP27+$FQ27)&amp;" dados somando alvos e repetições: o teto da Classe "&amp;$DW27&amp;" é "&amp;4*$DW27,"")))</f>
        <v/>
      </c>
      <c r="GG27" s="141">
        <f>IF($GF27="",0,(LEN($GF27)-LEN(SUBSTITUTE($GF27," · ","")))/3+1)</f>
        <v/>
      </c>
      <c r="GH27" s="141">
        <f>IF($EF27=0,"",TEXTJOIN(" · ",TRUE,IF($FK27&gt;2*$DW27,"A devolução parou no teto de "&amp;2*$DW27,""),IF($FN27&gt;0,"Devolução perdida: "&amp;$FN27&amp;IF($FN27&gt;1," pontos"," ponto")&amp;" sem peça para pagar",""),IF(AND($ER27&gt;0,$FP27=0),"Controle sem dano: uma rodada a mais e CD +2",""),IF(AND($ER27&gt;0,$FP27&gt;0,$FP27&lt;=$DW27),"Controle com um quarto do teto: uma rodada a mais","")))</f>
        <v/>
      </c>
      <c r="GI27" s="141">
        <f>IF($GH27="",0,(LEN($GH27)-LEN(SUBSTITUTE($GH27," · ","")))/3+1)</f>
        <v/>
      </c>
      <c r="GJ27" s="141">
        <f>IF($EF27=0,IF($FH27+$FI27-$ES27&gt;0,"Dê um nome",""),IF($GG27&gt;0,"⚠ "&amp;$GG27&amp;IF($GG27&gt;1," erros"," erro"),IF($GI27&gt;0,"! "&amp;$GI27&amp;IF($GI27&gt;1," avisos"," aviso"),"Na regra")))</f>
        <v/>
      </c>
      <c r="GK27" s="141">
        <f>IF($EF27=0,"",IF($GG27+$GI27=0,"Dentro das regras que a ficha confere",$GF27&amp;IF(AND($GG27&gt;0,$GI27&gt;0)," · ","")&amp;$GH27))</f>
        <v/>
      </c>
      <c r="GL27" s="141">
        <f>IF($EF27=0,"",IF($DU27=1,CEILING(4.5*$DW27,1),3*$DW27)&amp;" PE")</f>
        <v/>
      </c>
      <c r="GM27" s="141">
        <f>IF($EF27=0,"",IF($DU27=1,"Rodada inteira",IF(COUNTIF($EX27:$EY27,"Atrasar")&gt;0,IF(COUNTIF($EX27:$EY27,"Carregar")&gt;0,"Rodada +1 turno","Rodada inteira"),IF(COUNTIF($DZ27:$EC27,"Rápido")&gt;0,"Bônus",IF(COUNTIF($DZ27:$EC27,"Reação")&gt;0,"Reação","Padrão"))&amp;IF(COUNTIF($EX27:$EY27,"Carregar")&gt;0," +1 turno",""))))</f>
        <v/>
      </c>
      <c r="GN27" s="141">
        <f>IF(OR($EF27=0,$EG27=0),"",IF(COUNTIF($DZ27:$EC27,"Inescapável")&gt;0,"Automático",IF(COUNTIF($DZ27:$EC27,"Certeiro")&gt;0,"TR para metade",INDEX($AF$2:$AF$11,$EG27))))</f>
        <v/>
      </c>
      <c r="GO27" s="141">
        <f>IF(OR($EF27=0,$EG27=0),"",IF(OR($ET27&gt;=2,$FP27=0),UPPER(LEFT(INDEX($FY27:$GE27,1,$DW27),1))&amp;MID(INDEX($FY27:$GE27,1,$DW27),2,99),UPPER(LEFT(INDEX($FY27:$GE27,1,$DW27),1))&amp;MID(INDEX($FY27:$GE27,1,$DW27),2,99)&amp;" = "&amp;FLOOR($FP27*4.5,1)&amp;IF($FQ27&gt;0," · +"&amp;$FQ27&amp;"d8","")))</f>
        <v/>
      </c>
      <c r="GP27" s="141">
        <f>COUNTIF($DZ27:$EC27,"Longe")+3*COUNTIF($DZ27:$EC27,"Muito Longe")</f>
        <v/>
      </c>
      <c r="GQ27" s="141">
        <f>COUNTIF($DZ27:$EC27,"Maior")+3*COUNTIF($DZ27:$EC27,"Muito Maior")</f>
        <v/>
      </c>
      <c r="GR27" s="141">
        <f>IF($EG27=0,0,CHOOSE(1+INDEX($AH$2:$AH$11,$EG27),0,$GP27,$GQ27,$GP27+$GQ27))</f>
        <v/>
      </c>
      <c r="GS27" s="141">
        <f>IF($EG27=0,0,CHOOSE(1+INDEX($AI$2:$AI$11,$EG27),0,$GP27,$GQ27,$GP27+$GQ27))</f>
        <v/>
      </c>
      <c r="GT27" s="141">
        <f>IF(OR($EF27=0,$EG27=0),"",INDEX($AP$2:$AU$31,($EG27-1)*3+IF($DW27&gt;=6,3,2),1+MIN(5,$GR27))&amp;INDEX($AV$2:$BA$31,($EG27-1)*3+IF($DW27&gt;=6,3,2),1+MIN(5,$GS27))&amp;IF(INDEX($AJ$2:$AJ$11,$EG27)=1,IF(COUNTIF($DZ27:$EC27,"Mais Um")&gt;0," · +"&amp;COUNTIF($DZ27:$EC27,"Mais Um")&amp;IF(COUNTIF($DZ27:$EC27,"Mais Um")&gt;1," alvos"," alvo"),"")&amp;IF(COUNTIF($DZ27:$EC27,"Rajada")&gt;0," · "&amp;($DW27+1)&amp;" tiros",""),""))</f>
        <v/>
      </c>
      <c r="GU27" s="141">
        <f>IF($EF27=0,"",3*$DW27&amp;" − "&amp;$FJ27&amp;" + "&amp;$FM27&amp;IF($DU27=1," + "&amp;$DW27,"")&amp;" = "&amp;$FP27&amp;"d8 · teto "&amp;4*$DW27&amp;IF($ES27=1," · a Forma devolve "&amp;$DW27,"")&amp;IF($FN27&gt;0," · perde "&amp;$FN27,""))</f>
        <v/>
      </c>
      <c r="GV27" s="141">
        <f>IF($EF27=0,"",IF($DW27&gt;=$HE$4,"Já está na maior Classe que o nível liberou",TEXTJOIN(" · ",TRUE,IF(AND(2&gt;$DW27,2&lt;=$HE$4),"2 → "&amp;$FZ27&amp;", "&amp;IF($DU27=1,9,6)&amp;" PE",""),IF(AND(3&gt;$DW27,3&lt;=$HE$4),"3 → "&amp;$GA27&amp;", "&amp;IF($DU27=1,14,9)&amp;" PE",""),IF(AND(4&gt;$DW27,4&lt;=$HE$4),"4 → "&amp;$GB27&amp;", "&amp;IF($DU27=1,18,12)&amp;" PE",""),IF(AND(5&gt;$DW27,5&lt;=$HE$4),"5 → "&amp;$GC27&amp;", "&amp;IF($DU27=1,23,15)&amp;" PE",""),IF(AND(6&gt;$DW27,6&lt;=$HE$4),"6 → "&amp;$GD27&amp;", "&amp;IF($DU27=1,27,18)&amp;" PE",""),IF(AND(7&gt;$DW27,7&lt;=$HE$4),"7 → "&amp;$GE27&amp;", "&amp;IF($DU27=1,32,21)&amp;" PE",""))))</f>
        <v/>
      </c>
      <c r="GW27" s="141">
        <f>IF(OR($EF27=0,$EI27=0),"","−"&amp;INDEX($Q$2:$V$8,$DW27,$EI27)&amp;" · "&amp;CHOOSE($EI27,"Leve","Média","Pesada","Leve · Livre","Média · Livre","Pesada · Livre"))</f>
        <v/>
      </c>
      <c r="GX27" s="141">
        <f>IF(OR($EF27=0,$EJ27=0),"","−"&amp;INDEX($Q$2:$V$8,$DW27,$EJ27)&amp;" · "&amp;CHOOSE($EJ27,"Leve","Média","Pesada","Leve · Livre","Média · Livre","Pesada · Livre"))</f>
        <v/>
      </c>
      <c r="GY27" s="141">
        <f>IF(OR($EF27=0,$EK27=0),"","−"&amp;INDEX($Q$2:$V$8,$DW27,$EK27)&amp;" · "&amp;CHOOSE($EK27,"Leve","Média","Pesada","Leve · Livre","Média · Livre","Pesada · Livre"))</f>
        <v/>
      </c>
      <c r="GZ27" s="141">
        <f>IF(OR($EF27=0,$EL27=0),"","−"&amp;INDEX($Q$2:$V$8,$DW27,$EL27)&amp;" · "&amp;CHOOSE($EL27,"Leve","Média","Pesada","Leve · Livre","Média · Livre","Pesada · Livre"))</f>
        <v/>
      </c>
      <c r="HA27" s="141">
        <f>IF(OR($EF27=0,$ED27=""),"","+"&amp;IF($EV27=1,CEILING($DW27/2,1),$DW27))</f>
        <v/>
      </c>
      <c r="HB27" s="141">
        <f>IF(OR($EF27=0,$EE27=""),"","+"&amp;IF($EW27=1,CEILING($DW27/2,1),$DW27))</f>
        <v/>
      </c>
      <c r="HD27" s="114" t="inlineStr">
        <is>
          <t>pactos permanentes</t>
        </is>
      </c>
      <c r="HE27" s="141">
        <f>IF('FICHA AMALDIÇOADA'!$L$518="Permanente",1,0)+IF('FICHA AMALDIÇOADA'!$L$528="Permanente",1,0)+IF('FICHA AMALDIÇOADA'!$L$538="Permanente",1,0)</f>
        <v/>
      </c>
      <c r="IJ27" s="114" t="inlineStr">
        <is>
          <t>K46</t>
        </is>
      </c>
      <c r="IK27" s="141">
        <f>2*DADOS_AM!$HE$29</f>
        <v/>
      </c>
    </row>
    <row r="28">
      <c r="AO28" s="114" t="inlineStr">
        <is>
          <t>Onda · classes 6 e 7</t>
        </is>
      </c>
      <c r="AP28" s="114" t="inlineStr">
        <is>
          <t>Raio 3 m, em você</t>
        </is>
      </c>
      <c r="AQ28" s="114" t="inlineStr">
        <is>
          <t>Raio 4,5 m, em você</t>
        </is>
      </c>
      <c r="AR28" s="114" t="inlineStr">
        <is>
          <t>Raio 6 m, em você</t>
        </is>
      </c>
      <c r="AS28" s="114" t="inlineStr">
        <is>
          <t>Raio 9 m, em você</t>
        </is>
      </c>
      <c r="AT28" s="114" t="inlineStr">
        <is>
          <t>Raio 15 m, em você</t>
        </is>
      </c>
      <c r="AU28" s="114" t="inlineStr">
        <is>
          <t>Raio 15 m, em você</t>
        </is>
      </c>
      <c r="AV28" s="114" t="inlineStr"/>
      <c r="AW28" s="114" t="inlineStr"/>
      <c r="AX28" s="114" t="inlineStr"/>
      <c r="AY28" s="114" t="inlineStr"/>
      <c r="AZ28" s="114" t="inlineStr"/>
      <c r="BA28" s="114" t="inlineStr"/>
      <c r="BC28" s="114" t="inlineStr">
        <is>
          <t>Cerca</t>
        </is>
      </c>
      <c r="BD28" s="114" t="inlineStr">
        <is>
          <t>Controle</t>
        </is>
      </c>
      <c r="BE28" s="141" t="n">
        <v>1</v>
      </c>
      <c r="BF28" s="141">
        <f>$BE28+3*IFERROR(VLOOKUP($BD28,$I$2:$L$10,3,FALSE),0)</f>
        <v/>
      </c>
      <c r="BG28" s="141">
        <f>IFERROR(VLOOKUP($BD28,$I$2:$L$10,4,FALSE),0)</f>
        <v/>
      </c>
      <c r="BH28" s="141" t="n">
        <v>1</v>
      </c>
      <c r="BI28" s="141">
        <f>IF($BG28=1,"",$BC28)</f>
        <v/>
      </c>
      <c r="BJ28" s="141">
        <f>IF(AND($BE28=1,$BG28=0),$BC28,"")</f>
        <v/>
      </c>
      <c r="CB28" s="114" t="inlineStr">
        <is>
          <t>Antecipar</t>
        </is>
      </c>
      <c r="CC28" s="114" t="inlineStr">
        <is>
          <t>Inteligência 4</t>
        </is>
      </c>
      <c r="CD28" s="141" t="n">
        <v>2</v>
      </c>
      <c r="CE28" s="114" t="inlineStr">
        <is>
          <t>—</t>
        </is>
      </c>
      <c r="CF28" s="114" t="inlineStr">
        <is>
          <t>Quando você falha num Teste de Resistência contra um efeito, você passa a rolar com vantagem contra aquele mesmo efeito pelo resto da cena.</t>
        </is>
      </c>
      <c r="CG28" s="141">
        <f>IF($CJ28=1,"",IF($A$2=4,IF($CH28=1,$CB28,""),IF(OR($CH28=1,AND($A$2=3,$CI28=1)),"",$CB28)))</f>
        <v/>
      </c>
      <c r="CH28" s="141" t="n">
        <v>1</v>
      </c>
      <c r="CI28" s="141" t="n">
        <v>0</v>
      </c>
      <c r="CJ28" s="141" t="n">
        <v>0</v>
      </c>
      <c r="DT28" s="114" t="inlineStr">
        <is>
          <t>Feitiço 27</t>
        </is>
      </c>
      <c r="DU28" s="141" t="n">
        <v>0</v>
      </c>
      <c r="DV28" s="141" t="n">
        <v>27</v>
      </c>
      <c r="DW28" s="141">
        <f>MAX(1,MIN(7,N('FICHA AMALDIÇOADA'!$P$223)))</f>
        <v/>
      </c>
      <c r="DX28" s="141">
        <f>'FICHA AMALDIÇOADA'!$Q$223&amp;""</f>
        <v/>
      </c>
      <c r="DY28" s="141">
        <f>'FICHA AMALDIÇOADA'!$P$230&amp;""</f>
        <v/>
      </c>
      <c r="DZ28" s="141">
        <f>'FICHA AMALDIÇOADA'!$Q$232&amp;""</f>
        <v/>
      </c>
      <c r="EA28" s="141">
        <f>'FICHA AMALDIÇOADA'!$Q$233&amp;""</f>
        <v/>
      </c>
      <c r="EB28" s="141">
        <f>'FICHA AMALDIÇOADA'!$Q$234&amp;""</f>
        <v/>
      </c>
      <c r="EC28" s="141">
        <f>'FICHA AMALDIÇOADA'!$Q$235&amp;""</f>
        <v/>
      </c>
      <c r="ED28" s="141">
        <f>'FICHA AMALDIÇOADA'!$Q$236&amp;""</f>
        <v/>
      </c>
      <c r="EE28" s="141">
        <f>'FICHA AMALDIÇOADA'!$Q$237&amp;""</f>
        <v/>
      </c>
      <c r="EF28" s="141">
        <f>IF($DX28&lt;&gt;"",1,0)</f>
        <v/>
      </c>
      <c r="EG28" s="141">
        <f>IFERROR(MATCH($DY28,$Y$2:$Y$11,0),0)</f>
        <v/>
      </c>
      <c r="EH28" s="141">
        <f>IF($EG28=0,0,INDEX($AB$2:$AB$11,$EG28))</f>
        <v/>
      </c>
      <c r="EI28" s="141">
        <f>IFERROR(VLOOKUP($DZ28,$BC$2:$BJ$84,4,FALSE),0)</f>
        <v/>
      </c>
      <c r="EJ28" s="141">
        <f>IFERROR(VLOOKUP($EA28,$BC$2:$BJ$84,4,FALSE),0)</f>
        <v/>
      </c>
      <c r="EK28" s="141">
        <f>IFERROR(VLOOKUP($EB28,$BC$2:$BJ$84,4,FALSE),0)</f>
        <v/>
      </c>
      <c r="EL28" s="141">
        <f>IFERROR(VLOOKUP($EC28,$BC$2:$BJ$84,4,FALSE),0)</f>
        <v/>
      </c>
      <c r="EM28" s="141">
        <f>IF($EG28=0,0,INDEX($AC$2:$AC$11,$EG28))</f>
        <v/>
      </c>
      <c r="EN28" s="141">
        <f>IFERROR(VLOOKUP($DZ28,$BC$2:$BJ$84,5,FALSE),0)</f>
        <v/>
      </c>
      <c r="EO28" s="141">
        <f>IFERROR(VLOOKUP($EA28,$BC$2:$BJ$84,5,FALSE),0)</f>
        <v/>
      </c>
      <c r="EP28" s="141">
        <f>IFERROR(VLOOKUP($EB28,$BC$2:$BJ$84,5,FALSE),0)</f>
        <v/>
      </c>
      <c r="EQ28" s="141">
        <f>IFERROR(VLOOKUP($EC28,$BC$2:$BJ$84,5,FALSE),0)</f>
        <v/>
      </c>
      <c r="ER28" s="141">
        <f>IFERROR(VLOOKUP($DZ28,$BC$2:$BJ$84,6,FALSE),0)+IFERROR(VLOOKUP($EA28,$BC$2:$BJ$84,6,FALSE),0)+IFERROR(VLOOKUP($EB28,$BC$2:$BJ$84,6,FALSE),0)+IFERROR(VLOOKUP($EC28,$BC$2:$BJ$84,6,FALSE),0)</f>
        <v/>
      </c>
      <c r="ES28" s="141">
        <f>IF($EG28=0,0,INDEX($AD$2:$AD$11,$EG28))</f>
        <v/>
      </c>
      <c r="ET28" s="141">
        <f>IF($EG28=0,0,INDEX($AE$2:$AE$11,$EG28))</f>
        <v/>
      </c>
      <c r="EU28" s="141">
        <f>IF($EG28=0,0,INDEX($AG$2:$AG$11,$EG28))</f>
        <v/>
      </c>
      <c r="EV28" s="141">
        <f>IFERROR(VLOOKUP($ED28,$BL$2:$BP$24,3,FALSE),0)</f>
        <v/>
      </c>
      <c r="EW28" s="141">
        <f>IFERROR(VLOOKUP($EE28,$BL$2:$BP$24,3,FALSE),0)</f>
        <v/>
      </c>
      <c r="EX28" s="141">
        <f>IFERROR(VLOOKUP($ED28,$BL$2:$BP$24,2,FALSE),"")</f>
        <v/>
      </c>
      <c r="EY28" s="141">
        <f>IFERROR(VLOOKUP($EE28,$BL$2:$BP$24,2,FALSE),"")</f>
        <v/>
      </c>
      <c r="EZ28" s="141">
        <f>COUNTIF($EH28:$EL28,1)</f>
        <v/>
      </c>
      <c r="FA28" s="141">
        <f>COUNTIF($EH28:$EL28,2)</f>
        <v/>
      </c>
      <c r="FB28" s="141">
        <f>COUNTIF($EH28:$EL28,3)</f>
        <v/>
      </c>
      <c r="FC28" s="141">
        <f>COUNTIF($EH28:$EL28,4)</f>
        <v/>
      </c>
      <c r="FD28" s="141">
        <f>COUNTIF($EH28:$EL28,5)</f>
        <v/>
      </c>
      <c r="FE28" s="141">
        <f>COUNTIF($EH28:$EL28,6)</f>
        <v/>
      </c>
      <c r="FF28" s="141">
        <f>COUNTIF($EV28:$EW28,1)</f>
        <v/>
      </c>
      <c r="FG28" s="141">
        <f>COUNTIF($EV28:$EW28,2)+$ES28</f>
        <v/>
      </c>
      <c r="FH28" s="141">
        <f>COUNTIF($DZ28:$EC28,"?*")</f>
        <v/>
      </c>
      <c r="FI28" s="141">
        <f>COUNTIF($ED28:$EE28,"?*")+$ES28</f>
        <v/>
      </c>
      <c r="FJ28" s="141">
        <f>SUMPRODUCT($EZ28:$FE28,INDEX($Q$2:$V$8,$DW28,0))</f>
        <v/>
      </c>
      <c r="FK28" s="141">
        <f>$FF28*CEILING($DW28/2,1)+$FG28*$DW28</f>
        <v/>
      </c>
      <c r="FL28" s="141">
        <f>MIN(2*$DW28,$FK28)</f>
        <v/>
      </c>
      <c r="FM28" s="141">
        <f>MIN($FL28,$FJ28)</f>
        <v/>
      </c>
      <c r="FN28" s="141">
        <f>$FL28-$FM28</f>
        <v/>
      </c>
      <c r="FO28" s="141">
        <f>3*$DW28-$FJ28+$FM28</f>
        <v/>
      </c>
      <c r="FP28" s="141">
        <f>MAX(0,$FO28)+$DU28*$DW28</f>
        <v/>
      </c>
      <c r="FQ28" s="141">
        <f>(IF(COUNTIF($DZ28:$EC28,"Salto")&gt;0,1,0)+IF(COUNTIF($DZ28:$EC28,"Queima")&gt;0,1,0))*FLOOR($FP28/2,1)</f>
        <v/>
      </c>
      <c r="FR28" s="141">
        <f>MAX(0,3-SUMPRODUCT($EZ28:$FE28,$Q$2:$V$2)+MIN(2,$FF28*1+$FG28*1,SUMPRODUCT($EZ28:$FE28,$Q$2:$V$2)))+$DU28*1</f>
        <v/>
      </c>
      <c r="FS28" s="141">
        <f>MAX(0,6-SUMPRODUCT($EZ28:$FE28,$Q$3:$V$3)+MIN(4,$FF28*1+$FG28*2,SUMPRODUCT($EZ28:$FE28,$Q$3:$V$3)))+$DU28*2</f>
        <v/>
      </c>
      <c r="FT28" s="141">
        <f>MAX(0,9-SUMPRODUCT($EZ28:$FE28,$Q$4:$V$4)+MIN(6,$FF28*2+$FG28*3,SUMPRODUCT($EZ28:$FE28,$Q$4:$V$4)))+$DU28*3</f>
        <v/>
      </c>
      <c r="FU28" s="141">
        <f>MAX(0,12-SUMPRODUCT($EZ28:$FE28,$Q$5:$V$5)+MIN(8,$FF28*2+$FG28*4,SUMPRODUCT($EZ28:$FE28,$Q$5:$V$5)))+$DU28*4</f>
        <v/>
      </c>
      <c r="FV28" s="141">
        <f>MAX(0,15-SUMPRODUCT($EZ28:$FE28,$Q$6:$V$6)+MIN(10,$FF28*3+$FG28*5,SUMPRODUCT($EZ28:$FE28,$Q$6:$V$6)))+$DU28*5</f>
        <v/>
      </c>
      <c r="FW28" s="141">
        <f>MAX(0,18-SUMPRODUCT($EZ28:$FE28,$Q$7:$V$7)+MIN(12,$FF28*3+$FG28*6,SUMPRODUCT($EZ28:$FE28,$Q$7:$V$7)))+$DU28*6</f>
        <v/>
      </c>
      <c r="FX28" s="141">
        <f>MAX(0,21-SUMPRODUCT($EZ28:$FE28,$Q$8:$V$8)+MIN(14,$FF28*4+$FG28*7,SUMPRODUCT($EZ28:$FE28,$Q$8:$V$8)))+$DU28*7</f>
        <v/>
      </c>
      <c r="FY28" s="141">
        <f>IF($ET28=2,3*$FR28&amp;" de vida temp.",IF($ET28=3,"sem dano",IF($FR28=0,IF($ET28=1,"sem cura","sem dano"),IF($ET28=1,"cura ","")&amp;$FR28&amp;"d8")))</f>
        <v/>
      </c>
      <c r="FZ28" s="141">
        <f>IF($ET28=2,3*$FS28&amp;" de vida temp.",IF($ET28=3,"sem dano",IF($FS28=0,IF($ET28=1,"sem cura","sem dano"),IF($ET28=1,"cura ","")&amp;$FS28&amp;"d8")))</f>
        <v/>
      </c>
      <c r="GA28" s="141">
        <f>IF($ET28=2,3*$FT28&amp;" de vida temp.",IF($ET28=3,"sem dano",IF($FT28=0,IF($ET28=1,"sem cura","sem dano"),IF($ET28=1,"cura ","")&amp;$FT28&amp;"d8")))</f>
        <v/>
      </c>
      <c r="GB28" s="141">
        <f>IF($ET28=2,3*$FU28&amp;" de vida temp.",IF($ET28=3,"sem dano",IF($FU28=0,IF($ET28=1,"sem cura","sem dano"),IF($ET28=1,"cura ","")&amp;$FU28&amp;"d8")))</f>
        <v/>
      </c>
      <c r="GC28" s="141">
        <f>IF($ET28=2,3*$FV28&amp;" de vida temp.",IF($ET28=3,"sem dano",IF($FV28=0,IF($ET28=1,"sem cura","sem dano"),IF($ET28=1,"cura ","")&amp;$FV28&amp;"d8")))</f>
        <v/>
      </c>
      <c r="GD28" s="141">
        <f>IF($ET28=2,3*$FW28&amp;" de vida temp.",IF($ET28=3,"sem dano",IF($FW28=0,IF($ET28=1,"sem cura","sem dano"),IF($ET28=1,"cura ","")&amp;$FW28&amp;"d8")))</f>
        <v/>
      </c>
      <c r="GE28" s="141">
        <f>IF($ET28=2,3*$FX28&amp;" de vida temp.",IF($ET28=3,"sem dano",IF($FX28=0,IF($ET28=1,"sem cura","sem dano"),IF($ET28=1,"cura ","")&amp;$FX28&amp;"d8")))</f>
        <v/>
      </c>
      <c r="GF28" s="141">
        <f>IF($EF28=0,"",TEXTJOIN(" · ",TRUE,IF(AND($DU28=1,$DV28&gt;$HE$9),"O nível "&amp;$HE$2&amp;" dá "&amp;$HE$9&amp;" Liberação Máxima",""),IF($DW28&gt;$HE$4,"Classe "&amp;$DW28&amp;": o nível "&amp;$HE$2&amp;" libera até a "&amp;$HE$4,""),IF($EM28=1,"Família Fechada: a Forma "&amp;$DY28,""),IF($EN28=1,"Família Fechada: "&amp;$DZ28,""),IF($EO28=1,"Família Fechada: "&amp;$EA28,""),IF($EP28=1,"Família Fechada: "&amp;$EB28,""),IF($EQ28=1,"Família Fechada: "&amp;$EC28,""),IF($FH28&gt;INDEX($W$2:$W$8,$DW28),$FH28&amp;" Melhorias: a Classe "&amp;$DW28&amp;" aceita "&amp;INDEX($W$2:$W$8,$DW28),""),IF($FI28&gt;2,$FI28&amp;" Restrições"&amp;IF($ES28=1,", contando a que a Forma "&amp;$DY28&amp;" já traz","")&amp;": o limite é 2",""),IF($FO28&lt;0,"Orçamento estourado: faltam "&amp;(-$FO28)&amp;IF($FO28&lt;-1," pontos"," ponto"),""),IF(IFERROR(VLOOKUP($ED28,$BL$2:$BP$24,4,FALSE),0)+IFERROR(VLOOKUP($EE28,$BL$2:$BP$24,4,FALSE),0)&gt;1,$EX28&amp;" e "&amp;$EY28&amp;" são as duas de frequência",""),IF(AND((COUNTIF($DZ28:$EC28,"Rápido")+COUNTIF($EX28:$EY28,"Rápido"))&gt;0,(COUNTIF($DZ28:$EC28,"Reação")+COUNTIF($EX28:$EY28,"Reação"))&gt;0),"Rápido não entra com Reação",""),IF(AND((COUNTIF($DZ28:$EC28,"Rápido")+COUNTIF($EX28:$EY28,"Rápido"))&gt;0,(COUNTIF($DZ28:$EC28,"Atrasar")+COUNTIF($EX28:$EY28,"Atrasar"))&gt;0),"Rápido não entra com Atrasar",""),IF(AND((COUNTIF($DZ28:$EC28,"Reação")+COUNTIF($EX28:$EY28,"Reação"))&gt;0,(COUNTIF($DZ28:$EC28,"Atrasar")+COUNTIF($EX28:$EY28,"Atrasar"))&gt;0),"Reação não entra com Atrasar",""),IF(AND((COUNTIF($DZ28:$EC28,"Reação")+COUNTIF($EX28:$EY28,"Reação"))&gt;0,(COUNTIF($DZ28:$EC28,"Parado")+COUNTIF($EX28:$EY28,"Parado"))&gt;0),"Reação não entra com Parado",""),IF(AND(COUNTIF($EX28:$EY28,"Corpo a Corpo")&gt;0,$ES28=0,OR($DY28="Cone",$DY28="Linha")),"Corpo a Corpo não entra em "&amp;$DY28,""),IF(AND(COUNTIF($EX28:$EY28,"Corpo a Corpo")&gt;0,$ES28=1),"A Forma "&amp;$DY28&amp;" já traz o Corpo a Corpo",""),IF(AND(COUNTIF($EX28:$EY28,"Tudo ou Nada")&gt;0,$EU28=0),"Tudo ou Nada só entra em feitiço de Teste de Resistência",""),IF(AND(COUNTIF($DZ28:$EC28,"Inescapável")&gt;0,OR($FH28&gt;1,$FI28&gt;0)),"Inescapável não aceita outra peça",""),IF(AND($DU28=1,$DW28&lt;3),"Liberação Máxima é de Classe 3 ou mais",""),IF(AND($DU28=1,OR($ET28=1,$ET28=2)),"Liberação Máxima não serve para cura",""),IF(AND($DU28=1,COUNTIF($DZ28:$EC28,"Inescapável")+COUNTIF($DZ28:$EC28,"Toca a Alma")&gt;0),"Esta peça não entra numa Liberação Máxima",""),IF($FP28+$FQ28&gt;4*$DW28,($FP28+$FQ28)&amp;" dados somando alvos e repetições: o teto da Classe "&amp;$DW28&amp;" é "&amp;4*$DW28,"")))</f>
        <v/>
      </c>
      <c r="GG28" s="141">
        <f>IF($GF28="",0,(LEN($GF28)-LEN(SUBSTITUTE($GF28," · ","")))/3+1)</f>
        <v/>
      </c>
      <c r="GH28" s="141">
        <f>IF($EF28=0,"",TEXTJOIN(" · ",TRUE,IF($FK28&gt;2*$DW28,"A devolução parou no teto de "&amp;2*$DW28,""),IF($FN28&gt;0,"Devolução perdida: "&amp;$FN28&amp;IF($FN28&gt;1," pontos"," ponto")&amp;" sem peça para pagar",""),IF(AND($ER28&gt;0,$FP28=0),"Controle sem dano: uma rodada a mais e CD +2",""),IF(AND($ER28&gt;0,$FP28&gt;0,$FP28&lt;=$DW28),"Controle com um quarto do teto: uma rodada a mais","")))</f>
        <v/>
      </c>
      <c r="GI28" s="141">
        <f>IF($GH28="",0,(LEN($GH28)-LEN(SUBSTITUTE($GH28," · ","")))/3+1)</f>
        <v/>
      </c>
      <c r="GJ28" s="141">
        <f>IF($EF28=0,IF($FH28+$FI28-$ES28&gt;0,"Dê um nome",""),IF($GG28&gt;0,"⚠ "&amp;$GG28&amp;IF($GG28&gt;1," erros"," erro"),IF($GI28&gt;0,"! "&amp;$GI28&amp;IF($GI28&gt;1," avisos"," aviso"),"Na regra")))</f>
        <v/>
      </c>
      <c r="GK28" s="141">
        <f>IF($EF28=0,"",IF($GG28+$GI28=0,"Dentro das regras que a ficha confere",$GF28&amp;IF(AND($GG28&gt;0,$GI28&gt;0)," · ","")&amp;$GH28))</f>
        <v/>
      </c>
      <c r="GL28" s="141">
        <f>IF($EF28=0,"",IF($DU28=1,CEILING(4.5*$DW28,1),3*$DW28)&amp;" PE")</f>
        <v/>
      </c>
      <c r="GM28" s="141">
        <f>IF($EF28=0,"",IF($DU28=1,"Rodada inteira",IF(COUNTIF($EX28:$EY28,"Atrasar")&gt;0,IF(COUNTIF($EX28:$EY28,"Carregar")&gt;0,"Rodada +1 turno","Rodada inteira"),IF(COUNTIF($DZ28:$EC28,"Rápido")&gt;0,"Bônus",IF(COUNTIF($DZ28:$EC28,"Reação")&gt;0,"Reação","Padrão"))&amp;IF(COUNTIF($EX28:$EY28,"Carregar")&gt;0," +1 turno",""))))</f>
        <v/>
      </c>
      <c r="GN28" s="141">
        <f>IF(OR($EF28=0,$EG28=0),"",IF(COUNTIF($DZ28:$EC28,"Inescapável")&gt;0,"Automático",IF(COUNTIF($DZ28:$EC28,"Certeiro")&gt;0,"TR para metade",INDEX($AF$2:$AF$11,$EG28))))</f>
        <v/>
      </c>
      <c r="GO28" s="141">
        <f>IF(OR($EF28=0,$EG28=0),"",IF(OR($ET28&gt;=2,$FP28=0),UPPER(LEFT(INDEX($FY28:$GE28,1,$DW28),1))&amp;MID(INDEX($FY28:$GE28,1,$DW28),2,99),UPPER(LEFT(INDEX($FY28:$GE28,1,$DW28),1))&amp;MID(INDEX($FY28:$GE28,1,$DW28),2,99)&amp;" = "&amp;FLOOR($FP28*4.5,1)&amp;IF($FQ28&gt;0," · +"&amp;$FQ28&amp;"d8","")))</f>
        <v/>
      </c>
      <c r="GP28" s="141">
        <f>COUNTIF($DZ28:$EC28,"Longe")+3*COUNTIF($DZ28:$EC28,"Muito Longe")</f>
        <v/>
      </c>
      <c r="GQ28" s="141">
        <f>COUNTIF($DZ28:$EC28,"Maior")+3*COUNTIF($DZ28:$EC28,"Muito Maior")</f>
        <v/>
      </c>
      <c r="GR28" s="141">
        <f>IF($EG28=0,0,CHOOSE(1+INDEX($AH$2:$AH$11,$EG28),0,$GP28,$GQ28,$GP28+$GQ28))</f>
        <v/>
      </c>
      <c r="GS28" s="141">
        <f>IF($EG28=0,0,CHOOSE(1+INDEX($AI$2:$AI$11,$EG28),0,$GP28,$GQ28,$GP28+$GQ28))</f>
        <v/>
      </c>
      <c r="GT28" s="141">
        <f>IF(OR($EF28=0,$EG28=0),"",INDEX($AP$2:$AU$31,($EG28-1)*3+IF($DW28&gt;=6,3,2),1+MIN(5,$GR28))&amp;INDEX($AV$2:$BA$31,($EG28-1)*3+IF($DW28&gt;=6,3,2),1+MIN(5,$GS28))&amp;IF(INDEX($AJ$2:$AJ$11,$EG28)=1,IF(COUNTIF($DZ28:$EC28,"Mais Um")&gt;0," · +"&amp;COUNTIF($DZ28:$EC28,"Mais Um")&amp;IF(COUNTIF($DZ28:$EC28,"Mais Um")&gt;1," alvos"," alvo"),"")&amp;IF(COUNTIF($DZ28:$EC28,"Rajada")&gt;0," · "&amp;($DW28+1)&amp;" tiros",""),""))</f>
        <v/>
      </c>
      <c r="GU28" s="141">
        <f>IF($EF28=0,"",3*$DW28&amp;" − "&amp;$FJ28&amp;" + "&amp;$FM28&amp;IF($DU28=1," + "&amp;$DW28,"")&amp;" = "&amp;$FP28&amp;"d8 · teto "&amp;4*$DW28&amp;IF($ES28=1," · a Forma devolve "&amp;$DW28,"")&amp;IF($FN28&gt;0," · perde "&amp;$FN28,""))</f>
        <v/>
      </c>
      <c r="GV28" s="141">
        <f>IF($EF28=0,"",IF($DW28&gt;=$HE$4,"Já está na maior Classe que o nível liberou",TEXTJOIN(" · ",TRUE,IF(AND(2&gt;$DW28,2&lt;=$HE$4),"2 → "&amp;$FZ28&amp;", "&amp;IF($DU28=1,9,6)&amp;" PE",""),IF(AND(3&gt;$DW28,3&lt;=$HE$4),"3 → "&amp;$GA28&amp;", "&amp;IF($DU28=1,14,9)&amp;" PE",""),IF(AND(4&gt;$DW28,4&lt;=$HE$4),"4 → "&amp;$GB28&amp;", "&amp;IF($DU28=1,18,12)&amp;" PE",""),IF(AND(5&gt;$DW28,5&lt;=$HE$4),"5 → "&amp;$GC28&amp;", "&amp;IF($DU28=1,23,15)&amp;" PE",""),IF(AND(6&gt;$DW28,6&lt;=$HE$4),"6 → "&amp;$GD28&amp;", "&amp;IF($DU28=1,27,18)&amp;" PE",""),IF(AND(7&gt;$DW28,7&lt;=$HE$4),"7 → "&amp;$GE28&amp;", "&amp;IF($DU28=1,32,21)&amp;" PE",""))))</f>
        <v/>
      </c>
      <c r="GW28" s="141">
        <f>IF(OR($EF28=0,$EI28=0),"","−"&amp;INDEX($Q$2:$V$8,$DW28,$EI28)&amp;" · "&amp;CHOOSE($EI28,"Leve","Média","Pesada","Leve · Livre","Média · Livre","Pesada · Livre"))</f>
        <v/>
      </c>
      <c r="GX28" s="141">
        <f>IF(OR($EF28=0,$EJ28=0),"","−"&amp;INDEX($Q$2:$V$8,$DW28,$EJ28)&amp;" · "&amp;CHOOSE($EJ28,"Leve","Média","Pesada","Leve · Livre","Média · Livre","Pesada · Livre"))</f>
        <v/>
      </c>
      <c r="GY28" s="141">
        <f>IF(OR($EF28=0,$EK28=0),"","−"&amp;INDEX($Q$2:$V$8,$DW28,$EK28)&amp;" · "&amp;CHOOSE($EK28,"Leve","Média","Pesada","Leve · Livre","Média · Livre","Pesada · Livre"))</f>
        <v/>
      </c>
      <c r="GZ28" s="141">
        <f>IF(OR($EF28=0,$EL28=0),"","−"&amp;INDEX($Q$2:$V$8,$DW28,$EL28)&amp;" · "&amp;CHOOSE($EL28,"Leve","Média","Pesada","Leve · Livre","Média · Livre","Pesada · Livre"))</f>
        <v/>
      </c>
      <c r="HA28" s="141">
        <f>IF(OR($EF28=0,$ED28=""),"","+"&amp;IF($EV28=1,CEILING($DW28/2,1),$DW28))</f>
        <v/>
      </c>
      <c r="HB28" s="141">
        <f>IF(OR($EF28=0,$EE28=""),"","+"&amp;IF($EW28=1,CEILING($DW28/2,1),$DW28))</f>
        <v/>
      </c>
      <c r="HD28" s="114" t="inlineStr">
        <is>
          <t>teto de pactos</t>
        </is>
      </c>
      <c r="HE28" s="141">
        <f>FLOOR($HE$7/2,1)</f>
        <v/>
      </c>
      <c r="IJ28" s="114" t="inlineStr">
        <is>
          <t>L46</t>
        </is>
      </c>
      <c r="IK28" s="141">
        <f>4*DADOS_AM!$HE$29</f>
        <v/>
      </c>
    </row>
    <row r="29">
      <c r="AO29" s="114" t="inlineStr">
        <is>
          <t>Efeito · classe 0</t>
        </is>
      </c>
      <c r="AP29" s="114" t="inlineStr">
        <is>
          <t>Fora de combate</t>
        </is>
      </c>
      <c r="AQ29" s="114" t="inlineStr">
        <is>
          <t>Fora de combate</t>
        </is>
      </c>
      <c r="AR29" s="114" t="inlineStr">
        <is>
          <t>Fora de combate</t>
        </is>
      </c>
      <c r="AS29" s="114" t="inlineStr">
        <is>
          <t>Fora de combate</t>
        </is>
      </c>
      <c r="AT29" s="114" t="inlineStr">
        <is>
          <t>Fora de combate</t>
        </is>
      </c>
      <c r="AU29" s="114" t="inlineStr">
        <is>
          <t>Fora de combate</t>
        </is>
      </c>
      <c r="AV29" s="114" t="inlineStr"/>
      <c r="AW29" s="114" t="inlineStr"/>
      <c r="AX29" s="114" t="inlineStr"/>
      <c r="AY29" s="114" t="inlineStr"/>
      <c r="AZ29" s="114" t="inlineStr"/>
      <c r="BA29" s="114" t="inlineStr"/>
      <c r="BC29" s="114" t="inlineStr">
        <is>
          <t>Puxa</t>
        </is>
      </c>
      <c r="BD29" s="114" t="inlineStr">
        <is>
          <t>Controle</t>
        </is>
      </c>
      <c r="BE29" s="141" t="n">
        <v>2</v>
      </c>
      <c r="BF29" s="141">
        <f>$BE29+3*IFERROR(VLOOKUP($BD29,$I$2:$L$10,3,FALSE),0)</f>
        <v/>
      </c>
      <c r="BG29" s="141">
        <f>IFERROR(VLOOKUP($BD29,$I$2:$L$10,4,FALSE),0)</f>
        <v/>
      </c>
      <c r="BH29" s="141" t="n">
        <v>1</v>
      </c>
      <c r="BI29" s="141">
        <f>IF($BG29=1,"",$BC29)</f>
        <v/>
      </c>
      <c r="BJ29" s="141">
        <f>IF(AND($BE29=1,$BG29=0),$BC29,"")</f>
        <v/>
      </c>
      <c r="CB29" s="114" t="inlineStr">
        <is>
          <t>Campo</t>
        </is>
      </c>
      <c r="CC29" s="114" t="inlineStr">
        <is>
          <t>—</t>
        </is>
      </c>
      <c r="CD29" s="141" t="n">
        <v>1</v>
      </c>
      <c r="CE29" s="114" t="inlineStr">
        <is>
          <t>—</t>
        </is>
      </c>
      <c r="CF29" s="114" t="inlineStr">
        <is>
          <t>A ação Estudar custa a sua Ação Bônus em vez da Ação Padrão, uma vez por cena.</t>
        </is>
      </c>
      <c r="CG29" s="141">
        <f>IF($CJ29=1,"",IF($A$2=4,IF($CH29=1,$CB29,""),IF(OR($CH29=1,AND($A$2=3,$CI29=1)),"",$CB29)))</f>
        <v/>
      </c>
      <c r="CH29" s="141" t="n">
        <v>1</v>
      </c>
      <c r="CI29" s="141" t="n">
        <v>0</v>
      </c>
      <c r="CJ29" s="141" t="n">
        <v>0</v>
      </c>
      <c r="DT29" s="114" t="inlineStr">
        <is>
          <t>Feitiço 28</t>
        </is>
      </c>
      <c r="DU29" s="141" t="n">
        <v>0</v>
      </c>
      <c r="DV29" s="141" t="n">
        <v>28</v>
      </c>
      <c r="DW29" s="141">
        <f>MAX(1,MIN(7,N('FICHA AMALDIÇOADA'!$D$244)))</f>
        <v/>
      </c>
      <c r="DX29" s="141">
        <f>'FICHA AMALDIÇOADA'!$E$244&amp;""</f>
        <v/>
      </c>
      <c r="DY29" s="141">
        <f>'FICHA AMALDIÇOADA'!$D$251&amp;""</f>
        <v/>
      </c>
      <c r="DZ29" s="141">
        <f>'FICHA AMALDIÇOADA'!$E$253&amp;""</f>
        <v/>
      </c>
      <c r="EA29" s="141">
        <f>'FICHA AMALDIÇOADA'!$E$254&amp;""</f>
        <v/>
      </c>
      <c r="EB29" s="141">
        <f>'FICHA AMALDIÇOADA'!$E$255&amp;""</f>
        <v/>
      </c>
      <c r="EC29" s="141">
        <f>'FICHA AMALDIÇOADA'!$E$256&amp;""</f>
        <v/>
      </c>
      <c r="ED29" s="141">
        <f>'FICHA AMALDIÇOADA'!$E$257&amp;""</f>
        <v/>
      </c>
      <c r="EE29" s="141">
        <f>'FICHA AMALDIÇOADA'!$E$258&amp;""</f>
        <v/>
      </c>
      <c r="EF29" s="141">
        <f>IF($DX29&lt;&gt;"",1,0)</f>
        <v/>
      </c>
      <c r="EG29" s="141">
        <f>IFERROR(MATCH($DY29,$Y$2:$Y$11,0),0)</f>
        <v/>
      </c>
      <c r="EH29" s="141">
        <f>IF($EG29=0,0,INDEX($AB$2:$AB$11,$EG29))</f>
        <v/>
      </c>
      <c r="EI29" s="141">
        <f>IFERROR(VLOOKUP($DZ29,$BC$2:$BJ$84,4,FALSE),0)</f>
        <v/>
      </c>
      <c r="EJ29" s="141">
        <f>IFERROR(VLOOKUP($EA29,$BC$2:$BJ$84,4,FALSE),0)</f>
        <v/>
      </c>
      <c r="EK29" s="141">
        <f>IFERROR(VLOOKUP($EB29,$BC$2:$BJ$84,4,FALSE),0)</f>
        <v/>
      </c>
      <c r="EL29" s="141">
        <f>IFERROR(VLOOKUP($EC29,$BC$2:$BJ$84,4,FALSE),0)</f>
        <v/>
      </c>
      <c r="EM29" s="141">
        <f>IF($EG29=0,0,INDEX($AC$2:$AC$11,$EG29))</f>
        <v/>
      </c>
      <c r="EN29" s="141">
        <f>IFERROR(VLOOKUP($DZ29,$BC$2:$BJ$84,5,FALSE),0)</f>
        <v/>
      </c>
      <c r="EO29" s="141">
        <f>IFERROR(VLOOKUP($EA29,$BC$2:$BJ$84,5,FALSE),0)</f>
        <v/>
      </c>
      <c r="EP29" s="141">
        <f>IFERROR(VLOOKUP($EB29,$BC$2:$BJ$84,5,FALSE),0)</f>
        <v/>
      </c>
      <c r="EQ29" s="141">
        <f>IFERROR(VLOOKUP($EC29,$BC$2:$BJ$84,5,FALSE),0)</f>
        <v/>
      </c>
      <c r="ER29" s="141">
        <f>IFERROR(VLOOKUP($DZ29,$BC$2:$BJ$84,6,FALSE),0)+IFERROR(VLOOKUP($EA29,$BC$2:$BJ$84,6,FALSE),0)+IFERROR(VLOOKUP($EB29,$BC$2:$BJ$84,6,FALSE),0)+IFERROR(VLOOKUP($EC29,$BC$2:$BJ$84,6,FALSE),0)</f>
        <v/>
      </c>
      <c r="ES29" s="141">
        <f>IF($EG29=0,0,INDEX($AD$2:$AD$11,$EG29))</f>
        <v/>
      </c>
      <c r="ET29" s="141">
        <f>IF($EG29=0,0,INDEX($AE$2:$AE$11,$EG29))</f>
        <v/>
      </c>
      <c r="EU29" s="141">
        <f>IF($EG29=0,0,INDEX($AG$2:$AG$11,$EG29))</f>
        <v/>
      </c>
      <c r="EV29" s="141">
        <f>IFERROR(VLOOKUP($ED29,$BL$2:$BP$24,3,FALSE),0)</f>
        <v/>
      </c>
      <c r="EW29" s="141">
        <f>IFERROR(VLOOKUP($EE29,$BL$2:$BP$24,3,FALSE),0)</f>
        <v/>
      </c>
      <c r="EX29" s="141">
        <f>IFERROR(VLOOKUP($ED29,$BL$2:$BP$24,2,FALSE),"")</f>
        <v/>
      </c>
      <c r="EY29" s="141">
        <f>IFERROR(VLOOKUP($EE29,$BL$2:$BP$24,2,FALSE),"")</f>
        <v/>
      </c>
      <c r="EZ29" s="141">
        <f>COUNTIF($EH29:$EL29,1)</f>
        <v/>
      </c>
      <c r="FA29" s="141">
        <f>COUNTIF($EH29:$EL29,2)</f>
        <v/>
      </c>
      <c r="FB29" s="141">
        <f>COUNTIF($EH29:$EL29,3)</f>
        <v/>
      </c>
      <c r="FC29" s="141">
        <f>COUNTIF($EH29:$EL29,4)</f>
        <v/>
      </c>
      <c r="FD29" s="141">
        <f>COUNTIF($EH29:$EL29,5)</f>
        <v/>
      </c>
      <c r="FE29" s="141">
        <f>COUNTIF($EH29:$EL29,6)</f>
        <v/>
      </c>
      <c r="FF29" s="141">
        <f>COUNTIF($EV29:$EW29,1)</f>
        <v/>
      </c>
      <c r="FG29" s="141">
        <f>COUNTIF($EV29:$EW29,2)+$ES29</f>
        <v/>
      </c>
      <c r="FH29" s="141">
        <f>COUNTIF($DZ29:$EC29,"?*")</f>
        <v/>
      </c>
      <c r="FI29" s="141">
        <f>COUNTIF($ED29:$EE29,"?*")+$ES29</f>
        <v/>
      </c>
      <c r="FJ29" s="141">
        <f>SUMPRODUCT($EZ29:$FE29,INDEX($Q$2:$V$8,$DW29,0))</f>
        <v/>
      </c>
      <c r="FK29" s="141">
        <f>$FF29*CEILING($DW29/2,1)+$FG29*$DW29</f>
        <v/>
      </c>
      <c r="FL29" s="141">
        <f>MIN(2*$DW29,$FK29)</f>
        <v/>
      </c>
      <c r="FM29" s="141">
        <f>MIN($FL29,$FJ29)</f>
        <v/>
      </c>
      <c r="FN29" s="141">
        <f>$FL29-$FM29</f>
        <v/>
      </c>
      <c r="FO29" s="141">
        <f>3*$DW29-$FJ29+$FM29</f>
        <v/>
      </c>
      <c r="FP29" s="141">
        <f>MAX(0,$FO29)+$DU29*$DW29</f>
        <v/>
      </c>
      <c r="FQ29" s="141">
        <f>(IF(COUNTIF($DZ29:$EC29,"Salto")&gt;0,1,0)+IF(COUNTIF($DZ29:$EC29,"Queima")&gt;0,1,0))*FLOOR($FP29/2,1)</f>
        <v/>
      </c>
      <c r="FR29" s="141">
        <f>MAX(0,3-SUMPRODUCT($EZ29:$FE29,$Q$2:$V$2)+MIN(2,$FF29*1+$FG29*1,SUMPRODUCT($EZ29:$FE29,$Q$2:$V$2)))+$DU29*1</f>
        <v/>
      </c>
      <c r="FS29" s="141">
        <f>MAX(0,6-SUMPRODUCT($EZ29:$FE29,$Q$3:$V$3)+MIN(4,$FF29*1+$FG29*2,SUMPRODUCT($EZ29:$FE29,$Q$3:$V$3)))+$DU29*2</f>
        <v/>
      </c>
      <c r="FT29" s="141">
        <f>MAX(0,9-SUMPRODUCT($EZ29:$FE29,$Q$4:$V$4)+MIN(6,$FF29*2+$FG29*3,SUMPRODUCT($EZ29:$FE29,$Q$4:$V$4)))+$DU29*3</f>
        <v/>
      </c>
      <c r="FU29" s="141">
        <f>MAX(0,12-SUMPRODUCT($EZ29:$FE29,$Q$5:$V$5)+MIN(8,$FF29*2+$FG29*4,SUMPRODUCT($EZ29:$FE29,$Q$5:$V$5)))+$DU29*4</f>
        <v/>
      </c>
      <c r="FV29" s="141">
        <f>MAX(0,15-SUMPRODUCT($EZ29:$FE29,$Q$6:$V$6)+MIN(10,$FF29*3+$FG29*5,SUMPRODUCT($EZ29:$FE29,$Q$6:$V$6)))+$DU29*5</f>
        <v/>
      </c>
      <c r="FW29" s="141">
        <f>MAX(0,18-SUMPRODUCT($EZ29:$FE29,$Q$7:$V$7)+MIN(12,$FF29*3+$FG29*6,SUMPRODUCT($EZ29:$FE29,$Q$7:$V$7)))+$DU29*6</f>
        <v/>
      </c>
      <c r="FX29" s="141">
        <f>MAX(0,21-SUMPRODUCT($EZ29:$FE29,$Q$8:$V$8)+MIN(14,$FF29*4+$FG29*7,SUMPRODUCT($EZ29:$FE29,$Q$8:$V$8)))+$DU29*7</f>
        <v/>
      </c>
      <c r="FY29" s="141">
        <f>IF($ET29=2,3*$FR29&amp;" de vida temp.",IF($ET29=3,"sem dano",IF($FR29=0,IF($ET29=1,"sem cura","sem dano"),IF($ET29=1,"cura ","")&amp;$FR29&amp;"d8")))</f>
        <v/>
      </c>
      <c r="FZ29" s="141">
        <f>IF($ET29=2,3*$FS29&amp;" de vida temp.",IF($ET29=3,"sem dano",IF($FS29=0,IF($ET29=1,"sem cura","sem dano"),IF($ET29=1,"cura ","")&amp;$FS29&amp;"d8")))</f>
        <v/>
      </c>
      <c r="GA29" s="141">
        <f>IF($ET29=2,3*$FT29&amp;" de vida temp.",IF($ET29=3,"sem dano",IF($FT29=0,IF($ET29=1,"sem cura","sem dano"),IF($ET29=1,"cura ","")&amp;$FT29&amp;"d8")))</f>
        <v/>
      </c>
      <c r="GB29" s="141">
        <f>IF($ET29=2,3*$FU29&amp;" de vida temp.",IF($ET29=3,"sem dano",IF($FU29=0,IF($ET29=1,"sem cura","sem dano"),IF($ET29=1,"cura ","")&amp;$FU29&amp;"d8")))</f>
        <v/>
      </c>
      <c r="GC29" s="141">
        <f>IF($ET29=2,3*$FV29&amp;" de vida temp.",IF($ET29=3,"sem dano",IF($FV29=0,IF($ET29=1,"sem cura","sem dano"),IF($ET29=1,"cura ","")&amp;$FV29&amp;"d8")))</f>
        <v/>
      </c>
      <c r="GD29" s="141">
        <f>IF($ET29=2,3*$FW29&amp;" de vida temp.",IF($ET29=3,"sem dano",IF($FW29=0,IF($ET29=1,"sem cura","sem dano"),IF($ET29=1,"cura ","")&amp;$FW29&amp;"d8")))</f>
        <v/>
      </c>
      <c r="GE29" s="141">
        <f>IF($ET29=2,3*$FX29&amp;" de vida temp.",IF($ET29=3,"sem dano",IF($FX29=0,IF($ET29=1,"sem cura","sem dano"),IF($ET29=1,"cura ","")&amp;$FX29&amp;"d8")))</f>
        <v/>
      </c>
      <c r="GF29" s="141">
        <f>IF($EF29=0,"",TEXTJOIN(" · ",TRUE,IF(AND($DU29=1,$DV29&gt;$HE$9),"O nível "&amp;$HE$2&amp;" dá "&amp;$HE$9&amp;" Liberação Máxima",""),IF($DW29&gt;$HE$4,"Classe "&amp;$DW29&amp;": o nível "&amp;$HE$2&amp;" libera até a "&amp;$HE$4,""),IF($EM29=1,"Família Fechada: a Forma "&amp;$DY29,""),IF($EN29=1,"Família Fechada: "&amp;$DZ29,""),IF($EO29=1,"Família Fechada: "&amp;$EA29,""),IF($EP29=1,"Família Fechada: "&amp;$EB29,""),IF($EQ29=1,"Família Fechada: "&amp;$EC29,""),IF($FH29&gt;INDEX($W$2:$W$8,$DW29),$FH29&amp;" Melhorias: a Classe "&amp;$DW29&amp;" aceita "&amp;INDEX($W$2:$W$8,$DW29),""),IF($FI29&gt;2,$FI29&amp;" Restrições"&amp;IF($ES29=1,", contando a que a Forma "&amp;$DY29&amp;" já traz","")&amp;": o limite é 2",""),IF($FO29&lt;0,"Orçamento estourado: faltam "&amp;(-$FO29)&amp;IF($FO29&lt;-1," pontos"," ponto"),""),IF(IFERROR(VLOOKUP($ED29,$BL$2:$BP$24,4,FALSE),0)+IFERROR(VLOOKUP($EE29,$BL$2:$BP$24,4,FALSE),0)&gt;1,$EX29&amp;" e "&amp;$EY29&amp;" são as duas de frequência",""),IF(AND((COUNTIF($DZ29:$EC29,"Rápido")+COUNTIF($EX29:$EY29,"Rápido"))&gt;0,(COUNTIF($DZ29:$EC29,"Reação")+COUNTIF($EX29:$EY29,"Reação"))&gt;0),"Rápido não entra com Reação",""),IF(AND((COUNTIF($DZ29:$EC29,"Rápido")+COUNTIF($EX29:$EY29,"Rápido"))&gt;0,(COUNTIF($DZ29:$EC29,"Atrasar")+COUNTIF($EX29:$EY29,"Atrasar"))&gt;0),"Rápido não entra com Atrasar",""),IF(AND((COUNTIF($DZ29:$EC29,"Reação")+COUNTIF($EX29:$EY29,"Reação"))&gt;0,(COUNTIF($DZ29:$EC29,"Atrasar")+COUNTIF($EX29:$EY29,"Atrasar"))&gt;0),"Reação não entra com Atrasar",""),IF(AND((COUNTIF($DZ29:$EC29,"Reação")+COUNTIF($EX29:$EY29,"Reação"))&gt;0,(COUNTIF($DZ29:$EC29,"Parado")+COUNTIF($EX29:$EY29,"Parado"))&gt;0),"Reação não entra com Parado",""),IF(AND(COUNTIF($EX29:$EY29,"Corpo a Corpo")&gt;0,$ES29=0,OR($DY29="Cone",$DY29="Linha")),"Corpo a Corpo não entra em "&amp;$DY29,""),IF(AND(COUNTIF($EX29:$EY29,"Corpo a Corpo")&gt;0,$ES29=1),"A Forma "&amp;$DY29&amp;" já traz o Corpo a Corpo",""),IF(AND(COUNTIF($EX29:$EY29,"Tudo ou Nada")&gt;0,$EU29=0),"Tudo ou Nada só entra em feitiço de Teste de Resistência",""),IF(AND(COUNTIF($DZ29:$EC29,"Inescapável")&gt;0,OR($FH29&gt;1,$FI29&gt;0)),"Inescapável não aceita outra peça",""),IF(AND($DU29=1,$DW29&lt;3),"Liberação Máxima é de Classe 3 ou mais",""),IF(AND($DU29=1,OR($ET29=1,$ET29=2)),"Liberação Máxima não serve para cura",""),IF(AND($DU29=1,COUNTIF($DZ29:$EC29,"Inescapável")+COUNTIF($DZ29:$EC29,"Toca a Alma")&gt;0),"Esta peça não entra numa Liberação Máxima",""),IF($FP29+$FQ29&gt;4*$DW29,($FP29+$FQ29)&amp;" dados somando alvos e repetições: o teto da Classe "&amp;$DW29&amp;" é "&amp;4*$DW29,"")))</f>
        <v/>
      </c>
      <c r="GG29" s="141">
        <f>IF($GF29="",0,(LEN($GF29)-LEN(SUBSTITUTE($GF29," · ","")))/3+1)</f>
        <v/>
      </c>
      <c r="GH29" s="141">
        <f>IF($EF29=0,"",TEXTJOIN(" · ",TRUE,IF($FK29&gt;2*$DW29,"A devolução parou no teto de "&amp;2*$DW29,""),IF($FN29&gt;0,"Devolução perdida: "&amp;$FN29&amp;IF($FN29&gt;1," pontos"," ponto")&amp;" sem peça para pagar",""),IF(AND($ER29&gt;0,$FP29=0),"Controle sem dano: uma rodada a mais e CD +2",""),IF(AND($ER29&gt;0,$FP29&gt;0,$FP29&lt;=$DW29),"Controle com um quarto do teto: uma rodada a mais","")))</f>
        <v/>
      </c>
      <c r="GI29" s="141">
        <f>IF($GH29="",0,(LEN($GH29)-LEN(SUBSTITUTE($GH29," · ","")))/3+1)</f>
        <v/>
      </c>
      <c r="GJ29" s="141">
        <f>IF($EF29=0,IF($FH29+$FI29-$ES29&gt;0,"Dê um nome",""),IF($GG29&gt;0,"⚠ "&amp;$GG29&amp;IF($GG29&gt;1," erros"," erro"),IF($GI29&gt;0,"! "&amp;$GI29&amp;IF($GI29&gt;1," avisos"," aviso"),"Na regra")))</f>
        <v/>
      </c>
      <c r="GK29" s="141">
        <f>IF($EF29=0,"",IF($GG29+$GI29=0,"Dentro das regras que a ficha confere",$GF29&amp;IF(AND($GG29&gt;0,$GI29&gt;0)," · ","")&amp;$GH29))</f>
        <v/>
      </c>
      <c r="GL29" s="141">
        <f>IF($EF29=0,"",IF($DU29=1,CEILING(4.5*$DW29,1),3*$DW29)&amp;" PE")</f>
        <v/>
      </c>
      <c r="GM29" s="141">
        <f>IF($EF29=0,"",IF($DU29=1,"Rodada inteira",IF(COUNTIF($EX29:$EY29,"Atrasar")&gt;0,IF(COUNTIF($EX29:$EY29,"Carregar")&gt;0,"Rodada +1 turno","Rodada inteira"),IF(COUNTIF($DZ29:$EC29,"Rápido")&gt;0,"Bônus",IF(COUNTIF($DZ29:$EC29,"Reação")&gt;0,"Reação","Padrão"))&amp;IF(COUNTIF($EX29:$EY29,"Carregar")&gt;0," +1 turno",""))))</f>
        <v/>
      </c>
      <c r="GN29" s="141">
        <f>IF(OR($EF29=0,$EG29=0),"",IF(COUNTIF($DZ29:$EC29,"Inescapável")&gt;0,"Automático",IF(COUNTIF($DZ29:$EC29,"Certeiro")&gt;0,"TR para metade",INDEX($AF$2:$AF$11,$EG29))))</f>
        <v/>
      </c>
      <c r="GO29" s="141">
        <f>IF(OR($EF29=0,$EG29=0),"",IF(OR($ET29&gt;=2,$FP29=0),UPPER(LEFT(INDEX($FY29:$GE29,1,$DW29),1))&amp;MID(INDEX($FY29:$GE29,1,$DW29),2,99),UPPER(LEFT(INDEX($FY29:$GE29,1,$DW29),1))&amp;MID(INDEX($FY29:$GE29,1,$DW29),2,99)&amp;" = "&amp;FLOOR($FP29*4.5,1)&amp;IF($FQ29&gt;0," · +"&amp;$FQ29&amp;"d8","")))</f>
        <v/>
      </c>
      <c r="GP29" s="141">
        <f>COUNTIF($DZ29:$EC29,"Longe")+3*COUNTIF($DZ29:$EC29,"Muito Longe")</f>
        <v/>
      </c>
      <c r="GQ29" s="141">
        <f>COUNTIF($DZ29:$EC29,"Maior")+3*COUNTIF($DZ29:$EC29,"Muito Maior")</f>
        <v/>
      </c>
      <c r="GR29" s="141">
        <f>IF($EG29=0,0,CHOOSE(1+INDEX($AH$2:$AH$11,$EG29),0,$GP29,$GQ29,$GP29+$GQ29))</f>
        <v/>
      </c>
      <c r="GS29" s="141">
        <f>IF($EG29=0,0,CHOOSE(1+INDEX($AI$2:$AI$11,$EG29),0,$GP29,$GQ29,$GP29+$GQ29))</f>
        <v/>
      </c>
      <c r="GT29" s="141">
        <f>IF(OR($EF29=0,$EG29=0),"",INDEX($AP$2:$AU$31,($EG29-1)*3+IF($DW29&gt;=6,3,2),1+MIN(5,$GR29))&amp;INDEX($AV$2:$BA$31,($EG29-1)*3+IF($DW29&gt;=6,3,2),1+MIN(5,$GS29))&amp;IF(INDEX($AJ$2:$AJ$11,$EG29)=1,IF(COUNTIF($DZ29:$EC29,"Mais Um")&gt;0," · +"&amp;COUNTIF($DZ29:$EC29,"Mais Um")&amp;IF(COUNTIF($DZ29:$EC29,"Mais Um")&gt;1," alvos"," alvo"),"")&amp;IF(COUNTIF($DZ29:$EC29,"Rajada")&gt;0," · "&amp;($DW29+1)&amp;" tiros",""),""))</f>
        <v/>
      </c>
      <c r="GU29" s="141">
        <f>IF($EF29=0,"",3*$DW29&amp;" − "&amp;$FJ29&amp;" + "&amp;$FM29&amp;IF($DU29=1," + "&amp;$DW29,"")&amp;" = "&amp;$FP29&amp;"d8 · teto "&amp;4*$DW29&amp;IF($ES29=1," · a Forma devolve "&amp;$DW29,"")&amp;IF($FN29&gt;0," · perde "&amp;$FN29,""))</f>
        <v/>
      </c>
      <c r="GV29" s="141">
        <f>IF($EF29=0,"",IF($DW29&gt;=$HE$4,"Já está na maior Classe que o nível liberou",TEXTJOIN(" · ",TRUE,IF(AND(2&gt;$DW29,2&lt;=$HE$4),"2 → "&amp;$FZ29&amp;", "&amp;IF($DU29=1,9,6)&amp;" PE",""),IF(AND(3&gt;$DW29,3&lt;=$HE$4),"3 → "&amp;$GA29&amp;", "&amp;IF($DU29=1,14,9)&amp;" PE",""),IF(AND(4&gt;$DW29,4&lt;=$HE$4),"4 → "&amp;$GB29&amp;", "&amp;IF($DU29=1,18,12)&amp;" PE",""),IF(AND(5&gt;$DW29,5&lt;=$HE$4),"5 → "&amp;$GC29&amp;", "&amp;IF($DU29=1,23,15)&amp;" PE",""),IF(AND(6&gt;$DW29,6&lt;=$HE$4),"6 → "&amp;$GD29&amp;", "&amp;IF($DU29=1,27,18)&amp;" PE",""),IF(AND(7&gt;$DW29,7&lt;=$HE$4),"7 → "&amp;$GE29&amp;", "&amp;IF($DU29=1,32,21)&amp;" PE",""))))</f>
        <v/>
      </c>
      <c r="GW29" s="141">
        <f>IF(OR($EF29=0,$EI29=0),"","−"&amp;INDEX($Q$2:$V$8,$DW29,$EI29)&amp;" · "&amp;CHOOSE($EI29,"Leve","Média","Pesada","Leve · Livre","Média · Livre","Pesada · Livre"))</f>
        <v/>
      </c>
      <c r="GX29" s="141">
        <f>IF(OR($EF29=0,$EJ29=0),"","−"&amp;INDEX($Q$2:$V$8,$DW29,$EJ29)&amp;" · "&amp;CHOOSE($EJ29,"Leve","Média","Pesada","Leve · Livre","Média · Livre","Pesada · Livre"))</f>
        <v/>
      </c>
      <c r="GY29" s="141">
        <f>IF(OR($EF29=0,$EK29=0),"","−"&amp;INDEX($Q$2:$V$8,$DW29,$EK29)&amp;" · "&amp;CHOOSE($EK29,"Leve","Média","Pesada","Leve · Livre","Média · Livre","Pesada · Livre"))</f>
        <v/>
      </c>
      <c r="GZ29" s="141">
        <f>IF(OR($EF29=0,$EL29=0),"","−"&amp;INDEX($Q$2:$V$8,$DW29,$EL29)&amp;" · "&amp;CHOOSE($EL29,"Leve","Média","Pesada","Leve · Livre","Média · Livre","Pesada · Livre"))</f>
        <v/>
      </c>
      <c r="HA29" s="141">
        <f>IF(OR($EF29=0,$ED29=""),"","+"&amp;IF($EV29=1,CEILING($DW29/2,1),$DW29))</f>
        <v/>
      </c>
      <c r="HB29" s="141">
        <f>IF(OR($EF29=0,$EE29=""),"","+"&amp;IF($EW29=1,CEILING($DW29/2,1),$DW29))</f>
        <v/>
      </c>
      <c r="HD29" s="114" t="inlineStr">
        <is>
          <t>classe do índice</t>
        </is>
      </c>
      <c r="HE29" s="141">
        <f>IF(N('FICHA AMALDIÇOADA'!$D$46)&lt;1,$HE$4,MIN(7,N('FICHA AMALDIÇOADA'!$D$46)))</f>
        <v/>
      </c>
      <c r="IJ29" s="114" t="inlineStr">
        <is>
          <t>M46</t>
        </is>
      </c>
      <c r="IK29" s="141">
        <f>INDEX(DADOS_AM!$P$2:$W$8,DADOS_AM!$HE$29,8)</f>
        <v/>
      </c>
    </row>
    <row r="30">
      <c r="AO30" s="114" t="inlineStr">
        <is>
          <t>Efeito · classes 1 a 5</t>
        </is>
      </c>
      <c r="AP30" s="114" t="inlineStr">
        <is>
          <t>Fora de combate</t>
        </is>
      </c>
      <c r="AQ30" s="114" t="inlineStr">
        <is>
          <t>Fora de combate</t>
        </is>
      </c>
      <c r="AR30" s="114" t="inlineStr">
        <is>
          <t>Fora de combate</t>
        </is>
      </c>
      <c r="AS30" s="114" t="inlineStr">
        <is>
          <t>Fora de combate</t>
        </is>
      </c>
      <c r="AT30" s="114" t="inlineStr">
        <is>
          <t>Fora de combate</t>
        </is>
      </c>
      <c r="AU30" s="114" t="inlineStr">
        <is>
          <t>Fora de combate</t>
        </is>
      </c>
      <c r="AV30" s="114" t="inlineStr"/>
      <c r="AW30" s="114" t="inlineStr"/>
      <c r="AX30" s="114" t="inlineStr"/>
      <c r="AY30" s="114" t="inlineStr"/>
      <c r="AZ30" s="114" t="inlineStr"/>
      <c r="BA30" s="114" t="inlineStr"/>
      <c r="BC30" s="114" t="inlineStr">
        <is>
          <t>Desarma o Feitiço</t>
        </is>
      </c>
      <c r="BD30" s="114" t="inlineStr">
        <is>
          <t>Controle</t>
        </is>
      </c>
      <c r="BE30" s="141" t="n">
        <v>2</v>
      </c>
      <c r="BF30" s="141">
        <f>$BE30+3*IFERROR(VLOOKUP($BD30,$I$2:$L$10,3,FALSE),0)</f>
        <v/>
      </c>
      <c r="BG30" s="141">
        <f>IFERROR(VLOOKUP($BD30,$I$2:$L$10,4,FALSE),0)</f>
        <v/>
      </c>
      <c r="BH30" s="141" t="n">
        <v>1</v>
      </c>
      <c r="BI30" s="141">
        <f>IF($BG30=1,"",$BC30)</f>
        <v/>
      </c>
      <c r="BJ30" s="141">
        <f>IF(AND($BE30=1,$BG30=0),$BC30,"")</f>
        <v/>
      </c>
      <c r="CB30" s="114" t="inlineStr">
        <is>
          <t>Assombro</t>
        </is>
      </c>
      <c r="CC30" s="114" t="inlineStr">
        <is>
          <t>Essência 4</t>
        </is>
      </c>
      <c r="CD30" s="141" t="n">
        <v>1</v>
      </c>
      <c r="CE30" s="114" t="inlineStr">
        <is>
          <t>—</t>
        </is>
      </c>
      <c r="CF30" s="114" t="inlineStr">
        <is>
          <t>Uma vez por cena, ao entrar numa cena ou ao ser visto pela primeira vez, escolha uma quantidade de criaturas que enxergam você igual a metade da sua Lapidação, no mínimo 1. O que ela rola. Um Teste de Resistência de Espírito contra a CD da sua técnica, ou ela fica Amedrontado até o fim do próximo turno dela.</t>
        </is>
      </c>
      <c r="CG30" s="141">
        <f>IF($CJ30=1,"",IF($A$2=4,IF($CH30=1,$CB30,""),IF(OR($CH30=1,AND($A$2=3,$CI30=1)),"",$CB30)))</f>
        <v/>
      </c>
      <c r="CH30" s="141" t="n">
        <v>1</v>
      </c>
      <c r="CI30" s="141" t="n">
        <v>0</v>
      </c>
      <c r="CJ30" s="141" t="n">
        <v>0</v>
      </c>
      <c r="DT30" s="114" t="inlineStr">
        <is>
          <t>Feitiço 29</t>
        </is>
      </c>
      <c r="DU30" s="141" t="n">
        <v>0</v>
      </c>
      <c r="DV30" s="141" t="n">
        <v>29</v>
      </c>
      <c r="DW30" s="141">
        <f>MAX(1,MIN(7,N('FICHA AMALDIÇOADA'!$J$244)))</f>
        <v/>
      </c>
      <c r="DX30" s="141">
        <f>'FICHA AMALDIÇOADA'!$K$244&amp;""</f>
        <v/>
      </c>
      <c r="DY30" s="141">
        <f>'FICHA AMALDIÇOADA'!$J$251&amp;""</f>
        <v/>
      </c>
      <c r="DZ30" s="141">
        <f>'FICHA AMALDIÇOADA'!$K$253&amp;""</f>
        <v/>
      </c>
      <c r="EA30" s="141">
        <f>'FICHA AMALDIÇOADA'!$K$254&amp;""</f>
        <v/>
      </c>
      <c r="EB30" s="141">
        <f>'FICHA AMALDIÇOADA'!$K$255&amp;""</f>
        <v/>
      </c>
      <c r="EC30" s="141">
        <f>'FICHA AMALDIÇOADA'!$K$256&amp;""</f>
        <v/>
      </c>
      <c r="ED30" s="141">
        <f>'FICHA AMALDIÇOADA'!$K$257&amp;""</f>
        <v/>
      </c>
      <c r="EE30" s="141">
        <f>'FICHA AMALDIÇOADA'!$K$258&amp;""</f>
        <v/>
      </c>
      <c r="EF30" s="141">
        <f>IF($DX30&lt;&gt;"",1,0)</f>
        <v/>
      </c>
      <c r="EG30" s="141">
        <f>IFERROR(MATCH($DY30,$Y$2:$Y$11,0),0)</f>
        <v/>
      </c>
      <c r="EH30" s="141">
        <f>IF($EG30=0,0,INDEX($AB$2:$AB$11,$EG30))</f>
        <v/>
      </c>
      <c r="EI30" s="141">
        <f>IFERROR(VLOOKUP($DZ30,$BC$2:$BJ$84,4,FALSE),0)</f>
        <v/>
      </c>
      <c r="EJ30" s="141">
        <f>IFERROR(VLOOKUP($EA30,$BC$2:$BJ$84,4,FALSE),0)</f>
        <v/>
      </c>
      <c r="EK30" s="141">
        <f>IFERROR(VLOOKUP($EB30,$BC$2:$BJ$84,4,FALSE),0)</f>
        <v/>
      </c>
      <c r="EL30" s="141">
        <f>IFERROR(VLOOKUP($EC30,$BC$2:$BJ$84,4,FALSE),0)</f>
        <v/>
      </c>
      <c r="EM30" s="141">
        <f>IF($EG30=0,0,INDEX($AC$2:$AC$11,$EG30))</f>
        <v/>
      </c>
      <c r="EN30" s="141">
        <f>IFERROR(VLOOKUP($DZ30,$BC$2:$BJ$84,5,FALSE),0)</f>
        <v/>
      </c>
      <c r="EO30" s="141">
        <f>IFERROR(VLOOKUP($EA30,$BC$2:$BJ$84,5,FALSE),0)</f>
        <v/>
      </c>
      <c r="EP30" s="141">
        <f>IFERROR(VLOOKUP($EB30,$BC$2:$BJ$84,5,FALSE),0)</f>
        <v/>
      </c>
      <c r="EQ30" s="141">
        <f>IFERROR(VLOOKUP($EC30,$BC$2:$BJ$84,5,FALSE),0)</f>
        <v/>
      </c>
      <c r="ER30" s="141">
        <f>IFERROR(VLOOKUP($DZ30,$BC$2:$BJ$84,6,FALSE),0)+IFERROR(VLOOKUP($EA30,$BC$2:$BJ$84,6,FALSE),0)+IFERROR(VLOOKUP($EB30,$BC$2:$BJ$84,6,FALSE),0)+IFERROR(VLOOKUP($EC30,$BC$2:$BJ$84,6,FALSE),0)</f>
        <v/>
      </c>
      <c r="ES30" s="141">
        <f>IF($EG30=0,0,INDEX($AD$2:$AD$11,$EG30))</f>
        <v/>
      </c>
      <c r="ET30" s="141">
        <f>IF($EG30=0,0,INDEX($AE$2:$AE$11,$EG30))</f>
        <v/>
      </c>
      <c r="EU30" s="141">
        <f>IF($EG30=0,0,INDEX($AG$2:$AG$11,$EG30))</f>
        <v/>
      </c>
      <c r="EV30" s="141">
        <f>IFERROR(VLOOKUP($ED30,$BL$2:$BP$24,3,FALSE),0)</f>
        <v/>
      </c>
      <c r="EW30" s="141">
        <f>IFERROR(VLOOKUP($EE30,$BL$2:$BP$24,3,FALSE),0)</f>
        <v/>
      </c>
      <c r="EX30" s="141">
        <f>IFERROR(VLOOKUP($ED30,$BL$2:$BP$24,2,FALSE),"")</f>
        <v/>
      </c>
      <c r="EY30" s="141">
        <f>IFERROR(VLOOKUP($EE30,$BL$2:$BP$24,2,FALSE),"")</f>
        <v/>
      </c>
      <c r="EZ30" s="141">
        <f>COUNTIF($EH30:$EL30,1)</f>
        <v/>
      </c>
      <c r="FA30" s="141">
        <f>COUNTIF($EH30:$EL30,2)</f>
        <v/>
      </c>
      <c r="FB30" s="141">
        <f>COUNTIF($EH30:$EL30,3)</f>
        <v/>
      </c>
      <c r="FC30" s="141">
        <f>COUNTIF($EH30:$EL30,4)</f>
        <v/>
      </c>
      <c r="FD30" s="141">
        <f>COUNTIF($EH30:$EL30,5)</f>
        <v/>
      </c>
      <c r="FE30" s="141">
        <f>COUNTIF($EH30:$EL30,6)</f>
        <v/>
      </c>
      <c r="FF30" s="141">
        <f>COUNTIF($EV30:$EW30,1)</f>
        <v/>
      </c>
      <c r="FG30" s="141">
        <f>COUNTIF($EV30:$EW30,2)+$ES30</f>
        <v/>
      </c>
      <c r="FH30" s="141">
        <f>COUNTIF($DZ30:$EC30,"?*")</f>
        <v/>
      </c>
      <c r="FI30" s="141">
        <f>COUNTIF($ED30:$EE30,"?*")+$ES30</f>
        <v/>
      </c>
      <c r="FJ30" s="141">
        <f>SUMPRODUCT($EZ30:$FE30,INDEX($Q$2:$V$8,$DW30,0))</f>
        <v/>
      </c>
      <c r="FK30" s="141">
        <f>$FF30*CEILING($DW30/2,1)+$FG30*$DW30</f>
        <v/>
      </c>
      <c r="FL30" s="141">
        <f>MIN(2*$DW30,$FK30)</f>
        <v/>
      </c>
      <c r="FM30" s="141">
        <f>MIN($FL30,$FJ30)</f>
        <v/>
      </c>
      <c r="FN30" s="141">
        <f>$FL30-$FM30</f>
        <v/>
      </c>
      <c r="FO30" s="141">
        <f>3*$DW30-$FJ30+$FM30</f>
        <v/>
      </c>
      <c r="FP30" s="141">
        <f>MAX(0,$FO30)+$DU30*$DW30</f>
        <v/>
      </c>
      <c r="FQ30" s="141">
        <f>(IF(COUNTIF($DZ30:$EC30,"Salto")&gt;0,1,0)+IF(COUNTIF($DZ30:$EC30,"Queima")&gt;0,1,0))*FLOOR($FP30/2,1)</f>
        <v/>
      </c>
      <c r="FR30" s="141">
        <f>MAX(0,3-SUMPRODUCT($EZ30:$FE30,$Q$2:$V$2)+MIN(2,$FF30*1+$FG30*1,SUMPRODUCT($EZ30:$FE30,$Q$2:$V$2)))+$DU30*1</f>
        <v/>
      </c>
      <c r="FS30" s="141">
        <f>MAX(0,6-SUMPRODUCT($EZ30:$FE30,$Q$3:$V$3)+MIN(4,$FF30*1+$FG30*2,SUMPRODUCT($EZ30:$FE30,$Q$3:$V$3)))+$DU30*2</f>
        <v/>
      </c>
      <c r="FT30" s="141">
        <f>MAX(0,9-SUMPRODUCT($EZ30:$FE30,$Q$4:$V$4)+MIN(6,$FF30*2+$FG30*3,SUMPRODUCT($EZ30:$FE30,$Q$4:$V$4)))+$DU30*3</f>
        <v/>
      </c>
      <c r="FU30" s="141">
        <f>MAX(0,12-SUMPRODUCT($EZ30:$FE30,$Q$5:$V$5)+MIN(8,$FF30*2+$FG30*4,SUMPRODUCT($EZ30:$FE30,$Q$5:$V$5)))+$DU30*4</f>
        <v/>
      </c>
      <c r="FV30" s="141">
        <f>MAX(0,15-SUMPRODUCT($EZ30:$FE30,$Q$6:$V$6)+MIN(10,$FF30*3+$FG30*5,SUMPRODUCT($EZ30:$FE30,$Q$6:$V$6)))+$DU30*5</f>
        <v/>
      </c>
      <c r="FW30" s="141">
        <f>MAX(0,18-SUMPRODUCT($EZ30:$FE30,$Q$7:$V$7)+MIN(12,$FF30*3+$FG30*6,SUMPRODUCT($EZ30:$FE30,$Q$7:$V$7)))+$DU30*6</f>
        <v/>
      </c>
      <c r="FX30" s="141">
        <f>MAX(0,21-SUMPRODUCT($EZ30:$FE30,$Q$8:$V$8)+MIN(14,$FF30*4+$FG30*7,SUMPRODUCT($EZ30:$FE30,$Q$8:$V$8)))+$DU30*7</f>
        <v/>
      </c>
      <c r="FY30" s="141">
        <f>IF($ET30=2,3*$FR30&amp;" de vida temp.",IF($ET30=3,"sem dano",IF($FR30=0,IF($ET30=1,"sem cura","sem dano"),IF($ET30=1,"cura ","")&amp;$FR30&amp;"d8")))</f>
        <v/>
      </c>
      <c r="FZ30" s="141">
        <f>IF($ET30=2,3*$FS30&amp;" de vida temp.",IF($ET30=3,"sem dano",IF($FS30=0,IF($ET30=1,"sem cura","sem dano"),IF($ET30=1,"cura ","")&amp;$FS30&amp;"d8")))</f>
        <v/>
      </c>
      <c r="GA30" s="141">
        <f>IF($ET30=2,3*$FT30&amp;" de vida temp.",IF($ET30=3,"sem dano",IF($FT30=0,IF($ET30=1,"sem cura","sem dano"),IF($ET30=1,"cura ","")&amp;$FT30&amp;"d8")))</f>
        <v/>
      </c>
      <c r="GB30" s="141">
        <f>IF($ET30=2,3*$FU30&amp;" de vida temp.",IF($ET30=3,"sem dano",IF($FU30=0,IF($ET30=1,"sem cura","sem dano"),IF($ET30=1,"cura ","")&amp;$FU30&amp;"d8")))</f>
        <v/>
      </c>
      <c r="GC30" s="141">
        <f>IF($ET30=2,3*$FV30&amp;" de vida temp.",IF($ET30=3,"sem dano",IF($FV30=0,IF($ET30=1,"sem cura","sem dano"),IF($ET30=1,"cura ","")&amp;$FV30&amp;"d8")))</f>
        <v/>
      </c>
      <c r="GD30" s="141">
        <f>IF($ET30=2,3*$FW30&amp;" de vida temp.",IF($ET30=3,"sem dano",IF($FW30=0,IF($ET30=1,"sem cura","sem dano"),IF($ET30=1,"cura ","")&amp;$FW30&amp;"d8")))</f>
        <v/>
      </c>
      <c r="GE30" s="141">
        <f>IF($ET30=2,3*$FX30&amp;" de vida temp.",IF($ET30=3,"sem dano",IF($FX30=0,IF($ET30=1,"sem cura","sem dano"),IF($ET30=1,"cura ","")&amp;$FX30&amp;"d8")))</f>
        <v/>
      </c>
      <c r="GF30" s="141">
        <f>IF($EF30=0,"",TEXTJOIN(" · ",TRUE,IF(AND($DU30=1,$DV30&gt;$HE$9),"O nível "&amp;$HE$2&amp;" dá "&amp;$HE$9&amp;" Liberação Máxima",""),IF($DW30&gt;$HE$4,"Classe "&amp;$DW30&amp;": o nível "&amp;$HE$2&amp;" libera até a "&amp;$HE$4,""),IF($EM30=1,"Família Fechada: a Forma "&amp;$DY30,""),IF($EN30=1,"Família Fechada: "&amp;$DZ30,""),IF($EO30=1,"Família Fechada: "&amp;$EA30,""),IF($EP30=1,"Família Fechada: "&amp;$EB30,""),IF($EQ30=1,"Família Fechada: "&amp;$EC30,""),IF($FH30&gt;INDEX($W$2:$W$8,$DW30),$FH30&amp;" Melhorias: a Classe "&amp;$DW30&amp;" aceita "&amp;INDEX($W$2:$W$8,$DW30),""),IF($FI30&gt;2,$FI30&amp;" Restrições"&amp;IF($ES30=1,", contando a que a Forma "&amp;$DY30&amp;" já traz","")&amp;": o limite é 2",""),IF($FO30&lt;0,"Orçamento estourado: faltam "&amp;(-$FO30)&amp;IF($FO30&lt;-1," pontos"," ponto"),""),IF(IFERROR(VLOOKUP($ED30,$BL$2:$BP$24,4,FALSE),0)+IFERROR(VLOOKUP($EE30,$BL$2:$BP$24,4,FALSE),0)&gt;1,$EX30&amp;" e "&amp;$EY30&amp;" são as duas de frequência",""),IF(AND((COUNTIF($DZ30:$EC30,"Rápido")+COUNTIF($EX30:$EY30,"Rápido"))&gt;0,(COUNTIF($DZ30:$EC30,"Reação")+COUNTIF($EX30:$EY30,"Reação"))&gt;0),"Rápido não entra com Reação",""),IF(AND((COUNTIF($DZ30:$EC30,"Rápido")+COUNTIF($EX30:$EY30,"Rápido"))&gt;0,(COUNTIF($DZ30:$EC30,"Atrasar")+COUNTIF($EX30:$EY30,"Atrasar"))&gt;0),"Rápido não entra com Atrasar",""),IF(AND((COUNTIF($DZ30:$EC30,"Reação")+COUNTIF($EX30:$EY30,"Reação"))&gt;0,(COUNTIF($DZ30:$EC30,"Atrasar")+COUNTIF($EX30:$EY30,"Atrasar"))&gt;0),"Reação não entra com Atrasar",""),IF(AND((COUNTIF($DZ30:$EC30,"Reação")+COUNTIF($EX30:$EY30,"Reação"))&gt;0,(COUNTIF($DZ30:$EC30,"Parado")+COUNTIF($EX30:$EY30,"Parado"))&gt;0),"Reação não entra com Parado",""),IF(AND(COUNTIF($EX30:$EY30,"Corpo a Corpo")&gt;0,$ES30=0,OR($DY30="Cone",$DY30="Linha")),"Corpo a Corpo não entra em "&amp;$DY30,""),IF(AND(COUNTIF($EX30:$EY30,"Corpo a Corpo")&gt;0,$ES30=1),"A Forma "&amp;$DY30&amp;" já traz o Corpo a Corpo",""),IF(AND(COUNTIF($EX30:$EY30,"Tudo ou Nada")&gt;0,$EU30=0),"Tudo ou Nada só entra em feitiço de Teste de Resistência",""),IF(AND(COUNTIF($DZ30:$EC30,"Inescapável")&gt;0,OR($FH30&gt;1,$FI30&gt;0)),"Inescapável não aceita outra peça",""),IF(AND($DU30=1,$DW30&lt;3),"Liberação Máxima é de Classe 3 ou mais",""),IF(AND($DU30=1,OR($ET30=1,$ET30=2)),"Liberação Máxima não serve para cura",""),IF(AND($DU30=1,COUNTIF($DZ30:$EC30,"Inescapável")+COUNTIF($DZ30:$EC30,"Toca a Alma")&gt;0),"Esta peça não entra numa Liberação Máxima",""),IF($FP30+$FQ30&gt;4*$DW30,($FP30+$FQ30)&amp;" dados somando alvos e repetições: o teto da Classe "&amp;$DW30&amp;" é "&amp;4*$DW30,"")))</f>
        <v/>
      </c>
      <c r="GG30" s="141">
        <f>IF($GF30="",0,(LEN($GF30)-LEN(SUBSTITUTE($GF30," · ","")))/3+1)</f>
        <v/>
      </c>
      <c r="GH30" s="141">
        <f>IF($EF30=0,"",TEXTJOIN(" · ",TRUE,IF($FK30&gt;2*$DW30,"A devolução parou no teto de "&amp;2*$DW30,""),IF($FN30&gt;0,"Devolução perdida: "&amp;$FN30&amp;IF($FN30&gt;1," pontos"," ponto")&amp;" sem peça para pagar",""),IF(AND($ER30&gt;0,$FP30=0),"Controle sem dano: uma rodada a mais e CD +2",""),IF(AND($ER30&gt;0,$FP30&gt;0,$FP30&lt;=$DW30),"Controle com um quarto do teto: uma rodada a mais","")))</f>
        <v/>
      </c>
      <c r="GI30" s="141">
        <f>IF($GH30="",0,(LEN($GH30)-LEN(SUBSTITUTE($GH30," · ","")))/3+1)</f>
        <v/>
      </c>
      <c r="GJ30" s="141">
        <f>IF($EF30=0,IF($FH30+$FI30-$ES30&gt;0,"Dê um nome",""),IF($GG30&gt;0,"⚠ "&amp;$GG30&amp;IF($GG30&gt;1," erros"," erro"),IF($GI30&gt;0,"! "&amp;$GI30&amp;IF($GI30&gt;1," avisos"," aviso"),"Na regra")))</f>
        <v/>
      </c>
      <c r="GK30" s="141">
        <f>IF($EF30=0,"",IF($GG30+$GI30=0,"Dentro das regras que a ficha confere",$GF30&amp;IF(AND($GG30&gt;0,$GI30&gt;0)," · ","")&amp;$GH30))</f>
        <v/>
      </c>
      <c r="GL30" s="141">
        <f>IF($EF30=0,"",IF($DU30=1,CEILING(4.5*$DW30,1),3*$DW30)&amp;" PE")</f>
        <v/>
      </c>
      <c r="GM30" s="141">
        <f>IF($EF30=0,"",IF($DU30=1,"Rodada inteira",IF(COUNTIF($EX30:$EY30,"Atrasar")&gt;0,IF(COUNTIF($EX30:$EY30,"Carregar")&gt;0,"Rodada +1 turno","Rodada inteira"),IF(COUNTIF($DZ30:$EC30,"Rápido")&gt;0,"Bônus",IF(COUNTIF($DZ30:$EC30,"Reação")&gt;0,"Reação","Padrão"))&amp;IF(COUNTIF($EX30:$EY30,"Carregar")&gt;0," +1 turno",""))))</f>
        <v/>
      </c>
      <c r="GN30" s="141">
        <f>IF(OR($EF30=0,$EG30=0),"",IF(COUNTIF($DZ30:$EC30,"Inescapável")&gt;0,"Automático",IF(COUNTIF($DZ30:$EC30,"Certeiro")&gt;0,"TR para metade",INDEX($AF$2:$AF$11,$EG30))))</f>
        <v/>
      </c>
      <c r="GO30" s="141">
        <f>IF(OR($EF30=0,$EG30=0),"",IF(OR($ET30&gt;=2,$FP30=0),UPPER(LEFT(INDEX($FY30:$GE30,1,$DW30),1))&amp;MID(INDEX($FY30:$GE30,1,$DW30),2,99),UPPER(LEFT(INDEX($FY30:$GE30,1,$DW30),1))&amp;MID(INDEX($FY30:$GE30,1,$DW30),2,99)&amp;" = "&amp;FLOOR($FP30*4.5,1)&amp;IF($FQ30&gt;0," · +"&amp;$FQ30&amp;"d8","")))</f>
        <v/>
      </c>
      <c r="GP30" s="141">
        <f>COUNTIF($DZ30:$EC30,"Longe")+3*COUNTIF($DZ30:$EC30,"Muito Longe")</f>
        <v/>
      </c>
      <c r="GQ30" s="141">
        <f>COUNTIF($DZ30:$EC30,"Maior")+3*COUNTIF($DZ30:$EC30,"Muito Maior")</f>
        <v/>
      </c>
      <c r="GR30" s="141">
        <f>IF($EG30=0,0,CHOOSE(1+INDEX($AH$2:$AH$11,$EG30),0,$GP30,$GQ30,$GP30+$GQ30))</f>
        <v/>
      </c>
      <c r="GS30" s="141">
        <f>IF($EG30=0,0,CHOOSE(1+INDEX($AI$2:$AI$11,$EG30),0,$GP30,$GQ30,$GP30+$GQ30))</f>
        <v/>
      </c>
      <c r="GT30" s="141">
        <f>IF(OR($EF30=0,$EG30=0),"",INDEX($AP$2:$AU$31,($EG30-1)*3+IF($DW30&gt;=6,3,2),1+MIN(5,$GR30))&amp;INDEX($AV$2:$BA$31,($EG30-1)*3+IF($DW30&gt;=6,3,2),1+MIN(5,$GS30))&amp;IF(INDEX($AJ$2:$AJ$11,$EG30)=1,IF(COUNTIF($DZ30:$EC30,"Mais Um")&gt;0," · +"&amp;COUNTIF($DZ30:$EC30,"Mais Um")&amp;IF(COUNTIF($DZ30:$EC30,"Mais Um")&gt;1," alvos"," alvo"),"")&amp;IF(COUNTIF($DZ30:$EC30,"Rajada")&gt;0," · "&amp;($DW30+1)&amp;" tiros",""),""))</f>
        <v/>
      </c>
      <c r="GU30" s="141">
        <f>IF($EF30=0,"",3*$DW30&amp;" − "&amp;$FJ30&amp;" + "&amp;$FM30&amp;IF($DU30=1," + "&amp;$DW30,"")&amp;" = "&amp;$FP30&amp;"d8 · teto "&amp;4*$DW30&amp;IF($ES30=1," · a Forma devolve "&amp;$DW30,"")&amp;IF($FN30&gt;0," · perde "&amp;$FN30,""))</f>
        <v/>
      </c>
      <c r="GV30" s="141">
        <f>IF($EF30=0,"",IF($DW30&gt;=$HE$4,"Já está na maior Classe que o nível liberou",TEXTJOIN(" · ",TRUE,IF(AND(2&gt;$DW30,2&lt;=$HE$4),"2 → "&amp;$FZ30&amp;", "&amp;IF($DU30=1,9,6)&amp;" PE",""),IF(AND(3&gt;$DW30,3&lt;=$HE$4),"3 → "&amp;$GA30&amp;", "&amp;IF($DU30=1,14,9)&amp;" PE",""),IF(AND(4&gt;$DW30,4&lt;=$HE$4),"4 → "&amp;$GB30&amp;", "&amp;IF($DU30=1,18,12)&amp;" PE",""),IF(AND(5&gt;$DW30,5&lt;=$HE$4),"5 → "&amp;$GC30&amp;", "&amp;IF($DU30=1,23,15)&amp;" PE",""),IF(AND(6&gt;$DW30,6&lt;=$HE$4),"6 → "&amp;$GD30&amp;", "&amp;IF($DU30=1,27,18)&amp;" PE",""),IF(AND(7&gt;$DW30,7&lt;=$HE$4),"7 → "&amp;$GE30&amp;", "&amp;IF($DU30=1,32,21)&amp;" PE",""))))</f>
        <v/>
      </c>
      <c r="GW30" s="141">
        <f>IF(OR($EF30=0,$EI30=0),"","−"&amp;INDEX($Q$2:$V$8,$DW30,$EI30)&amp;" · "&amp;CHOOSE($EI30,"Leve","Média","Pesada","Leve · Livre","Média · Livre","Pesada · Livre"))</f>
        <v/>
      </c>
      <c r="GX30" s="141">
        <f>IF(OR($EF30=0,$EJ30=0),"","−"&amp;INDEX($Q$2:$V$8,$DW30,$EJ30)&amp;" · "&amp;CHOOSE($EJ30,"Leve","Média","Pesada","Leve · Livre","Média · Livre","Pesada · Livre"))</f>
        <v/>
      </c>
      <c r="GY30" s="141">
        <f>IF(OR($EF30=0,$EK30=0),"","−"&amp;INDEX($Q$2:$V$8,$DW30,$EK30)&amp;" · "&amp;CHOOSE($EK30,"Leve","Média","Pesada","Leve · Livre","Média · Livre","Pesada · Livre"))</f>
        <v/>
      </c>
      <c r="GZ30" s="141">
        <f>IF(OR($EF30=0,$EL30=0),"","−"&amp;INDEX($Q$2:$V$8,$DW30,$EL30)&amp;" · "&amp;CHOOSE($EL30,"Leve","Média","Pesada","Leve · Livre","Média · Livre","Pesada · Livre"))</f>
        <v/>
      </c>
      <c r="HA30" s="141">
        <f>IF(OR($EF30=0,$ED30=""),"","+"&amp;IF($EV30=1,CEILING($DW30/2,1),$DW30))</f>
        <v/>
      </c>
      <c r="HB30" s="141">
        <f>IF(OR($EF30=0,$EE30=""),"","+"&amp;IF($EW30=1,CEILING($DW30/2,1),$DW30))</f>
        <v/>
      </c>
      <c r="HD30" s="114" t="inlineStr">
        <is>
          <t>famílias livres</t>
        </is>
      </c>
      <c r="HE30" s="141">
        <f>COUNTIF($J$2:$J$10,"Livre")</f>
        <v/>
      </c>
      <c r="IJ30" s="114" t="inlineStr">
        <is>
          <t>P46</t>
        </is>
      </c>
      <c r="IK30" s="141">
        <f>DADOS_AM!$HE$10&amp;" feitiços grátis · "&amp;DADOS_AM!$HE$11&amp;"d8 cada"</f>
        <v/>
      </c>
    </row>
    <row r="31">
      <c r="AO31" s="114" t="inlineStr">
        <is>
          <t>Efeito · classes 6 e 7</t>
        </is>
      </c>
      <c r="AP31" s="114" t="inlineStr">
        <is>
          <t>Fora de combate</t>
        </is>
      </c>
      <c r="AQ31" s="114" t="inlineStr">
        <is>
          <t>Fora de combate</t>
        </is>
      </c>
      <c r="AR31" s="114" t="inlineStr">
        <is>
          <t>Fora de combate</t>
        </is>
      </c>
      <c r="AS31" s="114" t="inlineStr">
        <is>
          <t>Fora de combate</t>
        </is>
      </c>
      <c r="AT31" s="114" t="inlineStr">
        <is>
          <t>Fora de combate</t>
        </is>
      </c>
      <c r="AU31" s="114" t="inlineStr">
        <is>
          <t>Fora de combate</t>
        </is>
      </c>
      <c r="AV31" s="114" t="inlineStr"/>
      <c r="AW31" s="114" t="inlineStr"/>
      <c r="AX31" s="114" t="inlineStr"/>
      <c r="AY31" s="114" t="inlineStr"/>
      <c r="AZ31" s="114" t="inlineStr"/>
      <c r="BA31" s="114" t="inlineStr"/>
      <c r="BC31" s="114" t="inlineStr">
        <is>
          <t>Impulso</t>
        </is>
      </c>
      <c r="BD31" s="114" t="inlineStr">
        <is>
          <t>Auxiliares</t>
        </is>
      </c>
      <c r="BE31" s="141" t="n">
        <v>1</v>
      </c>
      <c r="BF31" s="141">
        <f>$BE31+3*IFERROR(VLOOKUP($BD31,$I$2:$L$10,3,FALSE),0)</f>
        <v/>
      </c>
      <c r="BG31" s="141">
        <f>IFERROR(VLOOKUP($BD31,$I$2:$L$10,4,FALSE),0)</f>
        <v/>
      </c>
      <c r="BH31" s="141" t="n">
        <v>0</v>
      </c>
      <c r="BI31" s="141">
        <f>IF($BG31=1,"",$BC31)</f>
        <v/>
      </c>
      <c r="BJ31" s="141">
        <f>IF(AND($BE31=1,$BG31=0),$BC31,"")</f>
        <v/>
      </c>
      <c r="CB31" s="114" t="inlineStr">
        <is>
          <t>Bênção Própria (CP 1)</t>
        </is>
      </c>
      <c r="CC31" s="114" t="inlineStr">
        <is>
          <t>uma vez na ficha inteira</t>
        </is>
      </c>
      <c r="CD31" s="141" t="n">
        <v>1</v>
      </c>
      <c r="CE31" s="114" t="inlineStr">
        <is>
          <t>—</t>
        </is>
      </c>
      <c r="CF31" s="114" t="inlineStr">
        <is>
          <t>Você escreve, com o mestre, uma Bênção que não está no catálogo. Antes da sessão. Ela é Classe Passiva 1 ou 2, nunca 3, e você só pode pegá-la uma vez na ficha inteira. A ficha registra duas coisas: a frase, e a resposta de "em quantas cenas por arco isso vai importar?". Escreva a sua na caixa de baixo.</t>
        </is>
      </c>
      <c r="CG31" s="141">
        <f>IF($CJ31=1,"",IF($A$2=4,IF($CH31=1,$CB31,""),IF(OR($CH31=1,AND($A$2=3,$CI31=1)),"",$CB31)))</f>
        <v/>
      </c>
      <c r="CH31" s="141" t="n">
        <v>1</v>
      </c>
      <c r="CI31" s="141" t="n">
        <v>0</v>
      </c>
      <c r="CJ31" s="141" t="n">
        <v>0</v>
      </c>
      <c r="DT31" s="114" t="inlineStr">
        <is>
          <t>Feitiço 30</t>
        </is>
      </c>
      <c r="DU31" s="141" t="n">
        <v>0</v>
      </c>
      <c r="DV31" s="141" t="n">
        <v>30</v>
      </c>
      <c r="DW31" s="141">
        <f>MAX(1,MIN(7,N('FICHA AMALDIÇOADA'!$P$244)))</f>
        <v/>
      </c>
      <c r="DX31" s="141">
        <f>'FICHA AMALDIÇOADA'!$Q$244&amp;""</f>
        <v/>
      </c>
      <c r="DY31" s="141">
        <f>'FICHA AMALDIÇOADA'!$P$251&amp;""</f>
        <v/>
      </c>
      <c r="DZ31" s="141">
        <f>'FICHA AMALDIÇOADA'!$Q$253&amp;""</f>
        <v/>
      </c>
      <c r="EA31" s="141">
        <f>'FICHA AMALDIÇOADA'!$Q$254&amp;""</f>
        <v/>
      </c>
      <c r="EB31" s="141">
        <f>'FICHA AMALDIÇOADA'!$Q$255&amp;""</f>
        <v/>
      </c>
      <c r="EC31" s="141">
        <f>'FICHA AMALDIÇOADA'!$Q$256&amp;""</f>
        <v/>
      </c>
      <c r="ED31" s="141">
        <f>'FICHA AMALDIÇOADA'!$Q$257&amp;""</f>
        <v/>
      </c>
      <c r="EE31" s="141">
        <f>'FICHA AMALDIÇOADA'!$Q$258&amp;""</f>
        <v/>
      </c>
      <c r="EF31" s="141">
        <f>IF($DX31&lt;&gt;"",1,0)</f>
        <v/>
      </c>
      <c r="EG31" s="141">
        <f>IFERROR(MATCH($DY31,$Y$2:$Y$11,0),0)</f>
        <v/>
      </c>
      <c r="EH31" s="141">
        <f>IF($EG31=0,0,INDEX($AB$2:$AB$11,$EG31))</f>
        <v/>
      </c>
      <c r="EI31" s="141">
        <f>IFERROR(VLOOKUP($DZ31,$BC$2:$BJ$84,4,FALSE),0)</f>
        <v/>
      </c>
      <c r="EJ31" s="141">
        <f>IFERROR(VLOOKUP($EA31,$BC$2:$BJ$84,4,FALSE),0)</f>
        <v/>
      </c>
      <c r="EK31" s="141">
        <f>IFERROR(VLOOKUP($EB31,$BC$2:$BJ$84,4,FALSE),0)</f>
        <v/>
      </c>
      <c r="EL31" s="141">
        <f>IFERROR(VLOOKUP($EC31,$BC$2:$BJ$84,4,FALSE),0)</f>
        <v/>
      </c>
      <c r="EM31" s="141">
        <f>IF($EG31=0,0,INDEX($AC$2:$AC$11,$EG31))</f>
        <v/>
      </c>
      <c r="EN31" s="141">
        <f>IFERROR(VLOOKUP($DZ31,$BC$2:$BJ$84,5,FALSE),0)</f>
        <v/>
      </c>
      <c r="EO31" s="141">
        <f>IFERROR(VLOOKUP($EA31,$BC$2:$BJ$84,5,FALSE),0)</f>
        <v/>
      </c>
      <c r="EP31" s="141">
        <f>IFERROR(VLOOKUP($EB31,$BC$2:$BJ$84,5,FALSE),0)</f>
        <v/>
      </c>
      <c r="EQ31" s="141">
        <f>IFERROR(VLOOKUP($EC31,$BC$2:$BJ$84,5,FALSE),0)</f>
        <v/>
      </c>
      <c r="ER31" s="141">
        <f>IFERROR(VLOOKUP($DZ31,$BC$2:$BJ$84,6,FALSE),0)+IFERROR(VLOOKUP($EA31,$BC$2:$BJ$84,6,FALSE),0)+IFERROR(VLOOKUP($EB31,$BC$2:$BJ$84,6,FALSE),0)+IFERROR(VLOOKUP($EC31,$BC$2:$BJ$84,6,FALSE),0)</f>
        <v/>
      </c>
      <c r="ES31" s="141">
        <f>IF($EG31=0,0,INDEX($AD$2:$AD$11,$EG31))</f>
        <v/>
      </c>
      <c r="ET31" s="141">
        <f>IF($EG31=0,0,INDEX($AE$2:$AE$11,$EG31))</f>
        <v/>
      </c>
      <c r="EU31" s="141">
        <f>IF($EG31=0,0,INDEX($AG$2:$AG$11,$EG31))</f>
        <v/>
      </c>
      <c r="EV31" s="141">
        <f>IFERROR(VLOOKUP($ED31,$BL$2:$BP$24,3,FALSE),0)</f>
        <v/>
      </c>
      <c r="EW31" s="141">
        <f>IFERROR(VLOOKUP($EE31,$BL$2:$BP$24,3,FALSE),0)</f>
        <v/>
      </c>
      <c r="EX31" s="141">
        <f>IFERROR(VLOOKUP($ED31,$BL$2:$BP$24,2,FALSE),"")</f>
        <v/>
      </c>
      <c r="EY31" s="141">
        <f>IFERROR(VLOOKUP($EE31,$BL$2:$BP$24,2,FALSE),"")</f>
        <v/>
      </c>
      <c r="EZ31" s="141">
        <f>COUNTIF($EH31:$EL31,1)</f>
        <v/>
      </c>
      <c r="FA31" s="141">
        <f>COUNTIF($EH31:$EL31,2)</f>
        <v/>
      </c>
      <c r="FB31" s="141">
        <f>COUNTIF($EH31:$EL31,3)</f>
        <v/>
      </c>
      <c r="FC31" s="141">
        <f>COUNTIF($EH31:$EL31,4)</f>
        <v/>
      </c>
      <c r="FD31" s="141">
        <f>COUNTIF($EH31:$EL31,5)</f>
        <v/>
      </c>
      <c r="FE31" s="141">
        <f>COUNTIF($EH31:$EL31,6)</f>
        <v/>
      </c>
      <c r="FF31" s="141">
        <f>COUNTIF($EV31:$EW31,1)</f>
        <v/>
      </c>
      <c r="FG31" s="141">
        <f>COUNTIF($EV31:$EW31,2)+$ES31</f>
        <v/>
      </c>
      <c r="FH31" s="141">
        <f>COUNTIF($DZ31:$EC31,"?*")</f>
        <v/>
      </c>
      <c r="FI31" s="141">
        <f>COUNTIF($ED31:$EE31,"?*")+$ES31</f>
        <v/>
      </c>
      <c r="FJ31" s="141">
        <f>SUMPRODUCT($EZ31:$FE31,INDEX($Q$2:$V$8,$DW31,0))</f>
        <v/>
      </c>
      <c r="FK31" s="141">
        <f>$FF31*CEILING($DW31/2,1)+$FG31*$DW31</f>
        <v/>
      </c>
      <c r="FL31" s="141">
        <f>MIN(2*$DW31,$FK31)</f>
        <v/>
      </c>
      <c r="FM31" s="141">
        <f>MIN($FL31,$FJ31)</f>
        <v/>
      </c>
      <c r="FN31" s="141">
        <f>$FL31-$FM31</f>
        <v/>
      </c>
      <c r="FO31" s="141">
        <f>3*$DW31-$FJ31+$FM31</f>
        <v/>
      </c>
      <c r="FP31" s="141">
        <f>MAX(0,$FO31)+$DU31*$DW31</f>
        <v/>
      </c>
      <c r="FQ31" s="141">
        <f>(IF(COUNTIF($DZ31:$EC31,"Salto")&gt;0,1,0)+IF(COUNTIF($DZ31:$EC31,"Queima")&gt;0,1,0))*FLOOR($FP31/2,1)</f>
        <v/>
      </c>
      <c r="FR31" s="141">
        <f>MAX(0,3-SUMPRODUCT($EZ31:$FE31,$Q$2:$V$2)+MIN(2,$FF31*1+$FG31*1,SUMPRODUCT($EZ31:$FE31,$Q$2:$V$2)))+$DU31*1</f>
        <v/>
      </c>
      <c r="FS31" s="141">
        <f>MAX(0,6-SUMPRODUCT($EZ31:$FE31,$Q$3:$V$3)+MIN(4,$FF31*1+$FG31*2,SUMPRODUCT($EZ31:$FE31,$Q$3:$V$3)))+$DU31*2</f>
        <v/>
      </c>
      <c r="FT31" s="141">
        <f>MAX(0,9-SUMPRODUCT($EZ31:$FE31,$Q$4:$V$4)+MIN(6,$FF31*2+$FG31*3,SUMPRODUCT($EZ31:$FE31,$Q$4:$V$4)))+$DU31*3</f>
        <v/>
      </c>
      <c r="FU31" s="141">
        <f>MAX(0,12-SUMPRODUCT($EZ31:$FE31,$Q$5:$V$5)+MIN(8,$FF31*2+$FG31*4,SUMPRODUCT($EZ31:$FE31,$Q$5:$V$5)))+$DU31*4</f>
        <v/>
      </c>
      <c r="FV31" s="141">
        <f>MAX(0,15-SUMPRODUCT($EZ31:$FE31,$Q$6:$V$6)+MIN(10,$FF31*3+$FG31*5,SUMPRODUCT($EZ31:$FE31,$Q$6:$V$6)))+$DU31*5</f>
        <v/>
      </c>
      <c r="FW31" s="141">
        <f>MAX(0,18-SUMPRODUCT($EZ31:$FE31,$Q$7:$V$7)+MIN(12,$FF31*3+$FG31*6,SUMPRODUCT($EZ31:$FE31,$Q$7:$V$7)))+$DU31*6</f>
        <v/>
      </c>
      <c r="FX31" s="141">
        <f>MAX(0,21-SUMPRODUCT($EZ31:$FE31,$Q$8:$V$8)+MIN(14,$FF31*4+$FG31*7,SUMPRODUCT($EZ31:$FE31,$Q$8:$V$8)))+$DU31*7</f>
        <v/>
      </c>
      <c r="FY31" s="141">
        <f>IF($ET31=2,3*$FR31&amp;" de vida temp.",IF($ET31=3,"sem dano",IF($FR31=0,IF($ET31=1,"sem cura","sem dano"),IF($ET31=1,"cura ","")&amp;$FR31&amp;"d8")))</f>
        <v/>
      </c>
      <c r="FZ31" s="141">
        <f>IF($ET31=2,3*$FS31&amp;" de vida temp.",IF($ET31=3,"sem dano",IF($FS31=0,IF($ET31=1,"sem cura","sem dano"),IF($ET31=1,"cura ","")&amp;$FS31&amp;"d8")))</f>
        <v/>
      </c>
      <c r="GA31" s="141">
        <f>IF($ET31=2,3*$FT31&amp;" de vida temp.",IF($ET31=3,"sem dano",IF($FT31=0,IF($ET31=1,"sem cura","sem dano"),IF($ET31=1,"cura ","")&amp;$FT31&amp;"d8")))</f>
        <v/>
      </c>
      <c r="GB31" s="141">
        <f>IF($ET31=2,3*$FU31&amp;" de vida temp.",IF($ET31=3,"sem dano",IF($FU31=0,IF($ET31=1,"sem cura","sem dano"),IF($ET31=1,"cura ","")&amp;$FU31&amp;"d8")))</f>
        <v/>
      </c>
      <c r="GC31" s="141">
        <f>IF($ET31=2,3*$FV31&amp;" de vida temp.",IF($ET31=3,"sem dano",IF($FV31=0,IF($ET31=1,"sem cura","sem dano"),IF($ET31=1,"cura ","")&amp;$FV31&amp;"d8")))</f>
        <v/>
      </c>
      <c r="GD31" s="141">
        <f>IF($ET31=2,3*$FW31&amp;" de vida temp.",IF($ET31=3,"sem dano",IF($FW31=0,IF($ET31=1,"sem cura","sem dano"),IF($ET31=1,"cura ","")&amp;$FW31&amp;"d8")))</f>
        <v/>
      </c>
      <c r="GE31" s="141">
        <f>IF($ET31=2,3*$FX31&amp;" de vida temp.",IF($ET31=3,"sem dano",IF($FX31=0,IF($ET31=1,"sem cura","sem dano"),IF($ET31=1,"cura ","")&amp;$FX31&amp;"d8")))</f>
        <v/>
      </c>
      <c r="GF31" s="141">
        <f>IF($EF31=0,"",TEXTJOIN(" · ",TRUE,IF(AND($DU31=1,$DV31&gt;$HE$9),"O nível "&amp;$HE$2&amp;" dá "&amp;$HE$9&amp;" Liberação Máxima",""),IF($DW31&gt;$HE$4,"Classe "&amp;$DW31&amp;": o nível "&amp;$HE$2&amp;" libera até a "&amp;$HE$4,""),IF($EM31=1,"Família Fechada: a Forma "&amp;$DY31,""),IF($EN31=1,"Família Fechada: "&amp;$DZ31,""),IF($EO31=1,"Família Fechada: "&amp;$EA31,""),IF($EP31=1,"Família Fechada: "&amp;$EB31,""),IF($EQ31=1,"Família Fechada: "&amp;$EC31,""),IF($FH31&gt;INDEX($W$2:$W$8,$DW31),$FH31&amp;" Melhorias: a Classe "&amp;$DW31&amp;" aceita "&amp;INDEX($W$2:$W$8,$DW31),""),IF($FI31&gt;2,$FI31&amp;" Restrições"&amp;IF($ES31=1,", contando a que a Forma "&amp;$DY31&amp;" já traz","")&amp;": o limite é 2",""),IF($FO31&lt;0,"Orçamento estourado: faltam "&amp;(-$FO31)&amp;IF($FO31&lt;-1," pontos"," ponto"),""),IF(IFERROR(VLOOKUP($ED31,$BL$2:$BP$24,4,FALSE),0)+IFERROR(VLOOKUP($EE31,$BL$2:$BP$24,4,FALSE),0)&gt;1,$EX31&amp;" e "&amp;$EY31&amp;" são as duas de frequência",""),IF(AND((COUNTIF($DZ31:$EC31,"Rápido")+COUNTIF($EX31:$EY31,"Rápido"))&gt;0,(COUNTIF($DZ31:$EC31,"Reação")+COUNTIF($EX31:$EY31,"Reação"))&gt;0),"Rápido não entra com Reação",""),IF(AND((COUNTIF($DZ31:$EC31,"Rápido")+COUNTIF($EX31:$EY31,"Rápido"))&gt;0,(COUNTIF($DZ31:$EC31,"Atrasar")+COUNTIF($EX31:$EY31,"Atrasar"))&gt;0),"Rápido não entra com Atrasar",""),IF(AND((COUNTIF($DZ31:$EC31,"Reação")+COUNTIF($EX31:$EY31,"Reação"))&gt;0,(COUNTIF($DZ31:$EC31,"Atrasar")+COUNTIF($EX31:$EY31,"Atrasar"))&gt;0),"Reação não entra com Atrasar",""),IF(AND((COUNTIF($DZ31:$EC31,"Reação")+COUNTIF($EX31:$EY31,"Reação"))&gt;0,(COUNTIF($DZ31:$EC31,"Parado")+COUNTIF($EX31:$EY31,"Parado"))&gt;0),"Reação não entra com Parado",""),IF(AND(COUNTIF($EX31:$EY31,"Corpo a Corpo")&gt;0,$ES31=0,OR($DY31="Cone",$DY31="Linha")),"Corpo a Corpo não entra em "&amp;$DY31,""),IF(AND(COUNTIF($EX31:$EY31,"Corpo a Corpo")&gt;0,$ES31=1),"A Forma "&amp;$DY31&amp;" já traz o Corpo a Corpo",""),IF(AND(COUNTIF($EX31:$EY31,"Tudo ou Nada")&gt;0,$EU31=0),"Tudo ou Nada só entra em feitiço de Teste de Resistência",""),IF(AND(COUNTIF($DZ31:$EC31,"Inescapável")&gt;0,OR($FH31&gt;1,$FI31&gt;0)),"Inescapável não aceita outra peça",""),IF(AND($DU31=1,$DW31&lt;3),"Liberação Máxima é de Classe 3 ou mais",""),IF(AND($DU31=1,OR($ET31=1,$ET31=2)),"Liberação Máxima não serve para cura",""),IF(AND($DU31=1,COUNTIF($DZ31:$EC31,"Inescapável")+COUNTIF($DZ31:$EC31,"Toca a Alma")&gt;0),"Esta peça não entra numa Liberação Máxima",""),IF($FP31+$FQ31&gt;4*$DW31,($FP31+$FQ31)&amp;" dados somando alvos e repetições: o teto da Classe "&amp;$DW31&amp;" é "&amp;4*$DW31,"")))</f>
        <v/>
      </c>
      <c r="GG31" s="141">
        <f>IF($GF31="",0,(LEN($GF31)-LEN(SUBSTITUTE($GF31," · ","")))/3+1)</f>
        <v/>
      </c>
      <c r="GH31" s="141">
        <f>IF($EF31=0,"",TEXTJOIN(" · ",TRUE,IF($FK31&gt;2*$DW31,"A devolução parou no teto de "&amp;2*$DW31,""),IF($FN31&gt;0,"Devolução perdida: "&amp;$FN31&amp;IF($FN31&gt;1," pontos"," ponto")&amp;" sem peça para pagar",""),IF(AND($ER31&gt;0,$FP31=0),"Controle sem dano: uma rodada a mais e CD +2",""),IF(AND($ER31&gt;0,$FP31&gt;0,$FP31&lt;=$DW31),"Controle com um quarto do teto: uma rodada a mais","")))</f>
        <v/>
      </c>
      <c r="GI31" s="141">
        <f>IF($GH31="",0,(LEN($GH31)-LEN(SUBSTITUTE($GH31," · ","")))/3+1)</f>
        <v/>
      </c>
      <c r="GJ31" s="141">
        <f>IF($EF31=0,IF($FH31+$FI31-$ES31&gt;0,"Dê um nome",""),IF($GG31&gt;0,"⚠ "&amp;$GG31&amp;IF($GG31&gt;1," erros"," erro"),IF($GI31&gt;0,"! "&amp;$GI31&amp;IF($GI31&gt;1," avisos"," aviso"),"Na regra")))</f>
        <v/>
      </c>
      <c r="GK31" s="141">
        <f>IF($EF31=0,"",IF($GG31+$GI31=0,"Dentro das regras que a ficha confere",$GF31&amp;IF(AND($GG31&gt;0,$GI31&gt;0)," · ","")&amp;$GH31))</f>
        <v/>
      </c>
      <c r="GL31" s="141">
        <f>IF($EF31=0,"",IF($DU31=1,CEILING(4.5*$DW31,1),3*$DW31)&amp;" PE")</f>
        <v/>
      </c>
      <c r="GM31" s="141">
        <f>IF($EF31=0,"",IF($DU31=1,"Rodada inteira",IF(COUNTIF($EX31:$EY31,"Atrasar")&gt;0,IF(COUNTIF($EX31:$EY31,"Carregar")&gt;0,"Rodada +1 turno","Rodada inteira"),IF(COUNTIF($DZ31:$EC31,"Rápido")&gt;0,"Bônus",IF(COUNTIF($DZ31:$EC31,"Reação")&gt;0,"Reação","Padrão"))&amp;IF(COUNTIF($EX31:$EY31,"Carregar")&gt;0," +1 turno",""))))</f>
        <v/>
      </c>
      <c r="GN31" s="141">
        <f>IF(OR($EF31=0,$EG31=0),"",IF(COUNTIF($DZ31:$EC31,"Inescapável")&gt;0,"Automático",IF(COUNTIF($DZ31:$EC31,"Certeiro")&gt;0,"TR para metade",INDEX($AF$2:$AF$11,$EG31))))</f>
        <v/>
      </c>
      <c r="GO31" s="141">
        <f>IF(OR($EF31=0,$EG31=0),"",IF(OR($ET31&gt;=2,$FP31=0),UPPER(LEFT(INDEX($FY31:$GE31,1,$DW31),1))&amp;MID(INDEX($FY31:$GE31,1,$DW31),2,99),UPPER(LEFT(INDEX($FY31:$GE31,1,$DW31),1))&amp;MID(INDEX($FY31:$GE31,1,$DW31),2,99)&amp;" = "&amp;FLOOR($FP31*4.5,1)&amp;IF($FQ31&gt;0," · +"&amp;$FQ31&amp;"d8","")))</f>
        <v/>
      </c>
      <c r="GP31" s="141">
        <f>COUNTIF($DZ31:$EC31,"Longe")+3*COUNTIF($DZ31:$EC31,"Muito Longe")</f>
        <v/>
      </c>
      <c r="GQ31" s="141">
        <f>COUNTIF($DZ31:$EC31,"Maior")+3*COUNTIF($DZ31:$EC31,"Muito Maior")</f>
        <v/>
      </c>
      <c r="GR31" s="141">
        <f>IF($EG31=0,0,CHOOSE(1+INDEX($AH$2:$AH$11,$EG31),0,$GP31,$GQ31,$GP31+$GQ31))</f>
        <v/>
      </c>
      <c r="GS31" s="141">
        <f>IF($EG31=0,0,CHOOSE(1+INDEX($AI$2:$AI$11,$EG31),0,$GP31,$GQ31,$GP31+$GQ31))</f>
        <v/>
      </c>
      <c r="GT31" s="141">
        <f>IF(OR($EF31=0,$EG31=0),"",INDEX($AP$2:$AU$31,($EG31-1)*3+IF($DW31&gt;=6,3,2),1+MIN(5,$GR31))&amp;INDEX($AV$2:$BA$31,($EG31-1)*3+IF($DW31&gt;=6,3,2),1+MIN(5,$GS31))&amp;IF(INDEX($AJ$2:$AJ$11,$EG31)=1,IF(COUNTIF($DZ31:$EC31,"Mais Um")&gt;0," · +"&amp;COUNTIF($DZ31:$EC31,"Mais Um")&amp;IF(COUNTIF($DZ31:$EC31,"Mais Um")&gt;1," alvos"," alvo"),"")&amp;IF(COUNTIF($DZ31:$EC31,"Rajada")&gt;0," · "&amp;($DW31+1)&amp;" tiros",""),""))</f>
        <v/>
      </c>
      <c r="GU31" s="141">
        <f>IF($EF31=0,"",3*$DW31&amp;" − "&amp;$FJ31&amp;" + "&amp;$FM31&amp;IF($DU31=1," + "&amp;$DW31,"")&amp;" = "&amp;$FP31&amp;"d8 · teto "&amp;4*$DW31&amp;IF($ES31=1," · a Forma devolve "&amp;$DW31,"")&amp;IF($FN31&gt;0," · perde "&amp;$FN31,""))</f>
        <v/>
      </c>
      <c r="GV31" s="141">
        <f>IF($EF31=0,"",IF($DW31&gt;=$HE$4,"Já está na maior Classe que o nível liberou",TEXTJOIN(" · ",TRUE,IF(AND(2&gt;$DW31,2&lt;=$HE$4),"2 → "&amp;$FZ31&amp;", "&amp;IF($DU31=1,9,6)&amp;" PE",""),IF(AND(3&gt;$DW31,3&lt;=$HE$4),"3 → "&amp;$GA31&amp;", "&amp;IF($DU31=1,14,9)&amp;" PE",""),IF(AND(4&gt;$DW31,4&lt;=$HE$4),"4 → "&amp;$GB31&amp;", "&amp;IF($DU31=1,18,12)&amp;" PE",""),IF(AND(5&gt;$DW31,5&lt;=$HE$4),"5 → "&amp;$GC31&amp;", "&amp;IF($DU31=1,23,15)&amp;" PE",""),IF(AND(6&gt;$DW31,6&lt;=$HE$4),"6 → "&amp;$GD31&amp;", "&amp;IF($DU31=1,27,18)&amp;" PE",""),IF(AND(7&gt;$DW31,7&lt;=$HE$4),"7 → "&amp;$GE31&amp;", "&amp;IF($DU31=1,32,21)&amp;" PE",""))))</f>
        <v/>
      </c>
      <c r="GW31" s="141">
        <f>IF(OR($EF31=0,$EI31=0),"","−"&amp;INDEX($Q$2:$V$8,$DW31,$EI31)&amp;" · "&amp;CHOOSE($EI31,"Leve","Média","Pesada","Leve · Livre","Média · Livre","Pesada · Livre"))</f>
        <v/>
      </c>
      <c r="GX31" s="141">
        <f>IF(OR($EF31=0,$EJ31=0),"","−"&amp;INDEX($Q$2:$V$8,$DW31,$EJ31)&amp;" · "&amp;CHOOSE($EJ31,"Leve","Média","Pesada","Leve · Livre","Média · Livre","Pesada · Livre"))</f>
        <v/>
      </c>
      <c r="GY31" s="141">
        <f>IF(OR($EF31=0,$EK31=0),"","−"&amp;INDEX($Q$2:$V$8,$DW31,$EK31)&amp;" · "&amp;CHOOSE($EK31,"Leve","Média","Pesada","Leve · Livre","Média · Livre","Pesada · Livre"))</f>
        <v/>
      </c>
      <c r="GZ31" s="141">
        <f>IF(OR($EF31=0,$EL31=0),"","−"&amp;INDEX($Q$2:$V$8,$DW31,$EL31)&amp;" · "&amp;CHOOSE($EL31,"Leve","Média","Pesada","Leve · Livre","Média · Livre","Pesada · Livre"))</f>
        <v/>
      </c>
      <c r="HA31" s="141">
        <f>IF(OR($EF31=0,$ED31=""),"","+"&amp;IF($EV31=1,CEILING($DW31/2,1),$DW31))</f>
        <v/>
      </c>
      <c r="HB31" s="141">
        <f>IF(OR($EF31=0,$EE31=""),"","+"&amp;IF($EW31=1,CEILING($DW31/2,1),$DW31))</f>
        <v/>
      </c>
      <c r="HD31" s="114" t="inlineStr">
        <is>
          <t>famílias fechadas</t>
        </is>
      </c>
      <c r="HE31" s="141">
        <f>COUNTIF($J$2:$J$10,"Fechada")</f>
        <v/>
      </c>
      <c r="IJ31" s="114" t="inlineStr">
        <is>
          <t>D48</t>
        </is>
      </c>
      <c r="IK31" s="141">
        <f>UPPER(INDEX(DADOS_AM!$D$3:$G$3,1,DADOS_AM!$A$2))</f>
        <v/>
      </c>
    </row>
    <row r="32">
      <c r="BC32" s="114" t="inlineStr">
        <is>
          <t>Trava</t>
        </is>
      </c>
      <c r="BD32" s="114" t="inlineStr">
        <is>
          <t>Auxiliares</t>
        </is>
      </c>
      <c r="BE32" s="141" t="n">
        <v>1</v>
      </c>
      <c r="BF32" s="141">
        <f>$BE32+3*IFERROR(VLOOKUP($BD32,$I$2:$L$10,3,FALSE),0)</f>
        <v/>
      </c>
      <c r="BG32" s="141">
        <f>IFERROR(VLOOKUP($BD32,$I$2:$L$10,4,FALSE),0)</f>
        <v/>
      </c>
      <c r="BH32" s="141" t="n">
        <v>0</v>
      </c>
      <c r="BI32" s="141">
        <f>IF($BG32=1,"",$BC32)</f>
        <v/>
      </c>
      <c r="BJ32" s="141">
        <f>IF(AND($BE32=1,$BG32=0),$BC32,"")</f>
        <v/>
      </c>
      <c r="CB32" s="114" t="inlineStr">
        <is>
          <t>Bênção Própria (CP 2)</t>
        </is>
      </c>
      <c r="CC32" s="114" t="inlineStr">
        <is>
          <t>uma vez na ficha inteira</t>
        </is>
      </c>
      <c r="CD32" s="141" t="n">
        <v>2</v>
      </c>
      <c r="CE32" s="114" t="inlineStr">
        <is>
          <t>—</t>
        </is>
      </c>
      <c r="CF32" s="114" t="inlineStr">
        <is>
          <t>Você escreve, com o mestre, uma Bênção que não está no catálogo. Antes da sessão. Ela é Classe Passiva 1 ou 2, nunca 3, e você só pode pegá-la uma vez na ficha inteira. A ficha registra duas coisas: a frase, e a resposta de "em quantas cenas por arco isso vai importar?". Escreva a sua na caixa de baixo.</t>
        </is>
      </c>
      <c r="CG32" s="141">
        <f>IF($CJ32=1,"",IF($A$2=4,IF($CH32=1,$CB32,""),IF(OR($CH32=1,AND($A$2=3,$CI32=1)),"",$CB32)))</f>
        <v/>
      </c>
      <c r="CH32" s="141" t="n">
        <v>1</v>
      </c>
      <c r="CI32" s="141" t="n">
        <v>0</v>
      </c>
      <c r="CJ32" s="141" t="n">
        <v>0</v>
      </c>
      <c r="DT32" s="114" t="inlineStr">
        <is>
          <t>Feitiço 31</t>
        </is>
      </c>
      <c r="DU32" s="141" t="n">
        <v>0</v>
      </c>
      <c r="DV32" s="141" t="n">
        <v>31</v>
      </c>
      <c r="DW32" s="141">
        <f>MAX(1,MIN(7,N('FICHA AMALDIÇOADA'!$D$265)))</f>
        <v/>
      </c>
      <c r="DX32" s="141">
        <f>'FICHA AMALDIÇOADA'!$E$265&amp;""</f>
        <v/>
      </c>
      <c r="DY32" s="141">
        <f>'FICHA AMALDIÇOADA'!$D$272&amp;""</f>
        <v/>
      </c>
      <c r="DZ32" s="141">
        <f>'FICHA AMALDIÇOADA'!$E$274&amp;""</f>
        <v/>
      </c>
      <c r="EA32" s="141">
        <f>'FICHA AMALDIÇOADA'!$E$275&amp;""</f>
        <v/>
      </c>
      <c r="EB32" s="141">
        <f>'FICHA AMALDIÇOADA'!$E$276&amp;""</f>
        <v/>
      </c>
      <c r="EC32" s="141">
        <f>'FICHA AMALDIÇOADA'!$E$277&amp;""</f>
        <v/>
      </c>
      <c r="ED32" s="141">
        <f>'FICHA AMALDIÇOADA'!$E$278&amp;""</f>
        <v/>
      </c>
      <c r="EE32" s="141">
        <f>'FICHA AMALDIÇOADA'!$E$279&amp;""</f>
        <v/>
      </c>
      <c r="EF32" s="141">
        <f>IF($DX32&lt;&gt;"",1,0)</f>
        <v/>
      </c>
      <c r="EG32" s="141">
        <f>IFERROR(MATCH($DY32,$Y$2:$Y$11,0),0)</f>
        <v/>
      </c>
      <c r="EH32" s="141">
        <f>IF($EG32=0,0,INDEX($AB$2:$AB$11,$EG32))</f>
        <v/>
      </c>
      <c r="EI32" s="141">
        <f>IFERROR(VLOOKUP($DZ32,$BC$2:$BJ$84,4,FALSE),0)</f>
        <v/>
      </c>
      <c r="EJ32" s="141">
        <f>IFERROR(VLOOKUP($EA32,$BC$2:$BJ$84,4,FALSE),0)</f>
        <v/>
      </c>
      <c r="EK32" s="141">
        <f>IFERROR(VLOOKUP($EB32,$BC$2:$BJ$84,4,FALSE),0)</f>
        <v/>
      </c>
      <c r="EL32" s="141">
        <f>IFERROR(VLOOKUP($EC32,$BC$2:$BJ$84,4,FALSE),0)</f>
        <v/>
      </c>
      <c r="EM32" s="141">
        <f>IF($EG32=0,0,INDEX($AC$2:$AC$11,$EG32))</f>
        <v/>
      </c>
      <c r="EN32" s="141">
        <f>IFERROR(VLOOKUP($DZ32,$BC$2:$BJ$84,5,FALSE),0)</f>
        <v/>
      </c>
      <c r="EO32" s="141">
        <f>IFERROR(VLOOKUP($EA32,$BC$2:$BJ$84,5,FALSE),0)</f>
        <v/>
      </c>
      <c r="EP32" s="141">
        <f>IFERROR(VLOOKUP($EB32,$BC$2:$BJ$84,5,FALSE),0)</f>
        <v/>
      </c>
      <c r="EQ32" s="141">
        <f>IFERROR(VLOOKUP($EC32,$BC$2:$BJ$84,5,FALSE),0)</f>
        <v/>
      </c>
      <c r="ER32" s="141">
        <f>IFERROR(VLOOKUP($DZ32,$BC$2:$BJ$84,6,FALSE),0)+IFERROR(VLOOKUP($EA32,$BC$2:$BJ$84,6,FALSE),0)+IFERROR(VLOOKUP($EB32,$BC$2:$BJ$84,6,FALSE),0)+IFERROR(VLOOKUP($EC32,$BC$2:$BJ$84,6,FALSE),0)</f>
        <v/>
      </c>
      <c r="ES32" s="141">
        <f>IF($EG32=0,0,INDEX($AD$2:$AD$11,$EG32))</f>
        <v/>
      </c>
      <c r="ET32" s="141">
        <f>IF($EG32=0,0,INDEX($AE$2:$AE$11,$EG32))</f>
        <v/>
      </c>
      <c r="EU32" s="141">
        <f>IF($EG32=0,0,INDEX($AG$2:$AG$11,$EG32))</f>
        <v/>
      </c>
      <c r="EV32" s="141">
        <f>IFERROR(VLOOKUP($ED32,$BL$2:$BP$24,3,FALSE),0)</f>
        <v/>
      </c>
      <c r="EW32" s="141">
        <f>IFERROR(VLOOKUP($EE32,$BL$2:$BP$24,3,FALSE),0)</f>
        <v/>
      </c>
      <c r="EX32" s="141">
        <f>IFERROR(VLOOKUP($ED32,$BL$2:$BP$24,2,FALSE),"")</f>
        <v/>
      </c>
      <c r="EY32" s="141">
        <f>IFERROR(VLOOKUP($EE32,$BL$2:$BP$24,2,FALSE),"")</f>
        <v/>
      </c>
      <c r="EZ32" s="141">
        <f>COUNTIF($EH32:$EL32,1)</f>
        <v/>
      </c>
      <c r="FA32" s="141">
        <f>COUNTIF($EH32:$EL32,2)</f>
        <v/>
      </c>
      <c r="FB32" s="141">
        <f>COUNTIF($EH32:$EL32,3)</f>
        <v/>
      </c>
      <c r="FC32" s="141">
        <f>COUNTIF($EH32:$EL32,4)</f>
        <v/>
      </c>
      <c r="FD32" s="141">
        <f>COUNTIF($EH32:$EL32,5)</f>
        <v/>
      </c>
      <c r="FE32" s="141">
        <f>COUNTIF($EH32:$EL32,6)</f>
        <v/>
      </c>
      <c r="FF32" s="141">
        <f>COUNTIF($EV32:$EW32,1)</f>
        <v/>
      </c>
      <c r="FG32" s="141">
        <f>COUNTIF($EV32:$EW32,2)+$ES32</f>
        <v/>
      </c>
      <c r="FH32" s="141">
        <f>COUNTIF($DZ32:$EC32,"?*")</f>
        <v/>
      </c>
      <c r="FI32" s="141">
        <f>COUNTIF($ED32:$EE32,"?*")+$ES32</f>
        <v/>
      </c>
      <c r="FJ32" s="141">
        <f>SUMPRODUCT($EZ32:$FE32,INDEX($Q$2:$V$8,$DW32,0))</f>
        <v/>
      </c>
      <c r="FK32" s="141">
        <f>$FF32*CEILING($DW32/2,1)+$FG32*$DW32</f>
        <v/>
      </c>
      <c r="FL32" s="141">
        <f>MIN(2*$DW32,$FK32)</f>
        <v/>
      </c>
      <c r="FM32" s="141">
        <f>MIN($FL32,$FJ32)</f>
        <v/>
      </c>
      <c r="FN32" s="141">
        <f>$FL32-$FM32</f>
        <v/>
      </c>
      <c r="FO32" s="141">
        <f>3*$DW32-$FJ32+$FM32</f>
        <v/>
      </c>
      <c r="FP32" s="141">
        <f>MAX(0,$FO32)+$DU32*$DW32</f>
        <v/>
      </c>
      <c r="FQ32" s="141">
        <f>(IF(COUNTIF($DZ32:$EC32,"Salto")&gt;0,1,0)+IF(COUNTIF($DZ32:$EC32,"Queima")&gt;0,1,0))*FLOOR($FP32/2,1)</f>
        <v/>
      </c>
      <c r="FR32" s="141">
        <f>MAX(0,3-SUMPRODUCT($EZ32:$FE32,$Q$2:$V$2)+MIN(2,$FF32*1+$FG32*1,SUMPRODUCT($EZ32:$FE32,$Q$2:$V$2)))+$DU32*1</f>
        <v/>
      </c>
      <c r="FS32" s="141">
        <f>MAX(0,6-SUMPRODUCT($EZ32:$FE32,$Q$3:$V$3)+MIN(4,$FF32*1+$FG32*2,SUMPRODUCT($EZ32:$FE32,$Q$3:$V$3)))+$DU32*2</f>
        <v/>
      </c>
      <c r="FT32" s="141">
        <f>MAX(0,9-SUMPRODUCT($EZ32:$FE32,$Q$4:$V$4)+MIN(6,$FF32*2+$FG32*3,SUMPRODUCT($EZ32:$FE32,$Q$4:$V$4)))+$DU32*3</f>
        <v/>
      </c>
      <c r="FU32" s="141">
        <f>MAX(0,12-SUMPRODUCT($EZ32:$FE32,$Q$5:$V$5)+MIN(8,$FF32*2+$FG32*4,SUMPRODUCT($EZ32:$FE32,$Q$5:$V$5)))+$DU32*4</f>
        <v/>
      </c>
      <c r="FV32" s="141">
        <f>MAX(0,15-SUMPRODUCT($EZ32:$FE32,$Q$6:$V$6)+MIN(10,$FF32*3+$FG32*5,SUMPRODUCT($EZ32:$FE32,$Q$6:$V$6)))+$DU32*5</f>
        <v/>
      </c>
      <c r="FW32" s="141">
        <f>MAX(0,18-SUMPRODUCT($EZ32:$FE32,$Q$7:$V$7)+MIN(12,$FF32*3+$FG32*6,SUMPRODUCT($EZ32:$FE32,$Q$7:$V$7)))+$DU32*6</f>
        <v/>
      </c>
      <c r="FX32" s="141">
        <f>MAX(0,21-SUMPRODUCT($EZ32:$FE32,$Q$8:$V$8)+MIN(14,$FF32*4+$FG32*7,SUMPRODUCT($EZ32:$FE32,$Q$8:$V$8)))+$DU32*7</f>
        <v/>
      </c>
      <c r="FY32" s="141">
        <f>IF($ET32=2,3*$FR32&amp;" de vida temp.",IF($ET32=3,"sem dano",IF($FR32=0,IF($ET32=1,"sem cura","sem dano"),IF($ET32=1,"cura ","")&amp;$FR32&amp;"d8")))</f>
        <v/>
      </c>
      <c r="FZ32" s="141">
        <f>IF($ET32=2,3*$FS32&amp;" de vida temp.",IF($ET32=3,"sem dano",IF($FS32=0,IF($ET32=1,"sem cura","sem dano"),IF($ET32=1,"cura ","")&amp;$FS32&amp;"d8")))</f>
        <v/>
      </c>
      <c r="GA32" s="141">
        <f>IF($ET32=2,3*$FT32&amp;" de vida temp.",IF($ET32=3,"sem dano",IF($FT32=0,IF($ET32=1,"sem cura","sem dano"),IF($ET32=1,"cura ","")&amp;$FT32&amp;"d8")))</f>
        <v/>
      </c>
      <c r="GB32" s="141">
        <f>IF($ET32=2,3*$FU32&amp;" de vida temp.",IF($ET32=3,"sem dano",IF($FU32=0,IF($ET32=1,"sem cura","sem dano"),IF($ET32=1,"cura ","")&amp;$FU32&amp;"d8")))</f>
        <v/>
      </c>
      <c r="GC32" s="141">
        <f>IF($ET32=2,3*$FV32&amp;" de vida temp.",IF($ET32=3,"sem dano",IF($FV32=0,IF($ET32=1,"sem cura","sem dano"),IF($ET32=1,"cura ","")&amp;$FV32&amp;"d8")))</f>
        <v/>
      </c>
      <c r="GD32" s="141">
        <f>IF($ET32=2,3*$FW32&amp;" de vida temp.",IF($ET32=3,"sem dano",IF($FW32=0,IF($ET32=1,"sem cura","sem dano"),IF($ET32=1,"cura ","")&amp;$FW32&amp;"d8")))</f>
        <v/>
      </c>
      <c r="GE32" s="141">
        <f>IF($ET32=2,3*$FX32&amp;" de vida temp.",IF($ET32=3,"sem dano",IF($FX32=0,IF($ET32=1,"sem cura","sem dano"),IF($ET32=1,"cura ","")&amp;$FX32&amp;"d8")))</f>
        <v/>
      </c>
      <c r="GF32" s="141">
        <f>IF($EF32=0,"",TEXTJOIN(" · ",TRUE,IF(AND($DU32=1,$DV32&gt;$HE$9),"O nível "&amp;$HE$2&amp;" dá "&amp;$HE$9&amp;" Liberação Máxima",""),IF($DW32&gt;$HE$4,"Classe "&amp;$DW32&amp;": o nível "&amp;$HE$2&amp;" libera até a "&amp;$HE$4,""),IF($EM32=1,"Família Fechada: a Forma "&amp;$DY32,""),IF($EN32=1,"Família Fechada: "&amp;$DZ32,""),IF($EO32=1,"Família Fechada: "&amp;$EA32,""),IF($EP32=1,"Família Fechada: "&amp;$EB32,""),IF($EQ32=1,"Família Fechada: "&amp;$EC32,""),IF($FH32&gt;INDEX($W$2:$W$8,$DW32),$FH32&amp;" Melhorias: a Classe "&amp;$DW32&amp;" aceita "&amp;INDEX($W$2:$W$8,$DW32),""),IF($FI32&gt;2,$FI32&amp;" Restrições"&amp;IF($ES32=1,", contando a que a Forma "&amp;$DY32&amp;" já traz","")&amp;": o limite é 2",""),IF($FO32&lt;0,"Orçamento estourado: faltam "&amp;(-$FO32)&amp;IF($FO32&lt;-1," pontos"," ponto"),""),IF(IFERROR(VLOOKUP($ED32,$BL$2:$BP$24,4,FALSE),0)+IFERROR(VLOOKUP($EE32,$BL$2:$BP$24,4,FALSE),0)&gt;1,$EX32&amp;" e "&amp;$EY32&amp;" são as duas de frequência",""),IF(AND((COUNTIF($DZ32:$EC32,"Rápido")+COUNTIF($EX32:$EY32,"Rápido"))&gt;0,(COUNTIF($DZ32:$EC32,"Reação")+COUNTIF($EX32:$EY32,"Reação"))&gt;0),"Rápido não entra com Reação",""),IF(AND((COUNTIF($DZ32:$EC32,"Rápido")+COUNTIF($EX32:$EY32,"Rápido"))&gt;0,(COUNTIF($DZ32:$EC32,"Atrasar")+COUNTIF($EX32:$EY32,"Atrasar"))&gt;0),"Rápido não entra com Atrasar",""),IF(AND((COUNTIF($DZ32:$EC32,"Reação")+COUNTIF($EX32:$EY32,"Reação"))&gt;0,(COUNTIF($DZ32:$EC32,"Atrasar")+COUNTIF($EX32:$EY32,"Atrasar"))&gt;0),"Reação não entra com Atrasar",""),IF(AND((COUNTIF($DZ32:$EC32,"Reação")+COUNTIF($EX32:$EY32,"Reação"))&gt;0,(COUNTIF($DZ32:$EC32,"Parado")+COUNTIF($EX32:$EY32,"Parado"))&gt;0),"Reação não entra com Parado",""),IF(AND(COUNTIF($EX32:$EY32,"Corpo a Corpo")&gt;0,$ES32=0,OR($DY32="Cone",$DY32="Linha")),"Corpo a Corpo não entra em "&amp;$DY32,""),IF(AND(COUNTIF($EX32:$EY32,"Corpo a Corpo")&gt;0,$ES32=1),"A Forma "&amp;$DY32&amp;" já traz o Corpo a Corpo",""),IF(AND(COUNTIF($EX32:$EY32,"Tudo ou Nada")&gt;0,$EU32=0),"Tudo ou Nada só entra em feitiço de Teste de Resistência",""),IF(AND(COUNTIF($DZ32:$EC32,"Inescapável")&gt;0,OR($FH32&gt;1,$FI32&gt;0)),"Inescapável não aceita outra peça",""),IF(AND($DU32=1,$DW32&lt;3),"Liberação Máxima é de Classe 3 ou mais",""),IF(AND($DU32=1,OR($ET32=1,$ET32=2)),"Liberação Máxima não serve para cura",""),IF(AND($DU32=1,COUNTIF($DZ32:$EC32,"Inescapável")+COUNTIF($DZ32:$EC32,"Toca a Alma")&gt;0),"Esta peça não entra numa Liberação Máxima",""),IF($FP32+$FQ32&gt;4*$DW32,($FP32+$FQ32)&amp;" dados somando alvos e repetições: o teto da Classe "&amp;$DW32&amp;" é "&amp;4*$DW32,"")))</f>
        <v/>
      </c>
      <c r="GG32" s="141">
        <f>IF($GF32="",0,(LEN($GF32)-LEN(SUBSTITUTE($GF32," · ","")))/3+1)</f>
        <v/>
      </c>
      <c r="GH32" s="141">
        <f>IF($EF32=0,"",TEXTJOIN(" · ",TRUE,IF($FK32&gt;2*$DW32,"A devolução parou no teto de "&amp;2*$DW32,""),IF($FN32&gt;0,"Devolução perdida: "&amp;$FN32&amp;IF($FN32&gt;1," pontos"," ponto")&amp;" sem peça para pagar",""),IF(AND($ER32&gt;0,$FP32=0),"Controle sem dano: uma rodada a mais e CD +2",""),IF(AND($ER32&gt;0,$FP32&gt;0,$FP32&lt;=$DW32),"Controle com um quarto do teto: uma rodada a mais","")))</f>
        <v/>
      </c>
      <c r="GI32" s="141">
        <f>IF($GH32="",0,(LEN($GH32)-LEN(SUBSTITUTE($GH32," · ","")))/3+1)</f>
        <v/>
      </c>
      <c r="GJ32" s="141">
        <f>IF($EF32=0,IF($FH32+$FI32-$ES32&gt;0,"Dê um nome",""),IF($GG32&gt;0,"⚠ "&amp;$GG32&amp;IF($GG32&gt;1," erros"," erro"),IF($GI32&gt;0,"! "&amp;$GI32&amp;IF($GI32&gt;1," avisos"," aviso"),"Na regra")))</f>
        <v/>
      </c>
      <c r="GK32" s="141">
        <f>IF($EF32=0,"",IF($GG32+$GI32=0,"Dentro das regras que a ficha confere",$GF32&amp;IF(AND($GG32&gt;0,$GI32&gt;0)," · ","")&amp;$GH32))</f>
        <v/>
      </c>
      <c r="GL32" s="141">
        <f>IF($EF32=0,"",IF($DU32=1,CEILING(4.5*$DW32,1),3*$DW32)&amp;" PE")</f>
        <v/>
      </c>
      <c r="GM32" s="141">
        <f>IF($EF32=0,"",IF($DU32=1,"Rodada inteira",IF(COUNTIF($EX32:$EY32,"Atrasar")&gt;0,IF(COUNTIF($EX32:$EY32,"Carregar")&gt;0,"Rodada +1 turno","Rodada inteira"),IF(COUNTIF($DZ32:$EC32,"Rápido")&gt;0,"Bônus",IF(COUNTIF($DZ32:$EC32,"Reação")&gt;0,"Reação","Padrão"))&amp;IF(COUNTIF($EX32:$EY32,"Carregar")&gt;0," +1 turno",""))))</f>
        <v/>
      </c>
      <c r="GN32" s="141">
        <f>IF(OR($EF32=0,$EG32=0),"",IF(COUNTIF($DZ32:$EC32,"Inescapável")&gt;0,"Automático",IF(COUNTIF($DZ32:$EC32,"Certeiro")&gt;0,"TR para metade",INDEX($AF$2:$AF$11,$EG32))))</f>
        <v/>
      </c>
      <c r="GO32" s="141">
        <f>IF(OR($EF32=0,$EG32=0),"",IF(OR($ET32&gt;=2,$FP32=0),UPPER(LEFT(INDEX($FY32:$GE32,1,$DW32),1))&amp;MID(INDEX($FY32:$GE32,1,$DW32),2,99),UPPER(LEFT(INDEX($FY32:$GE32,1,$DW32),1))&amp;MID(INDEX($FY32:$GE32,1,$DW32),2,99)&amp;" = "&amp;FLOOR($FP32*4.5,1)&amp;IF($FQ32&gt;0," · +"&amp;$FQ32&amp;"d8","")))</f>
        <v/>
      </c>
      <c r="GP32" s="141">
        <f>COUNTIF($DZ32:$EC32,"Longe")+3*COUNTIF($DZ32:$EC32,"Muito Longe")</f>
        <v/>
      </c>
      <c r="GQ32" s="141">
        <f>COUNTIF($DZ32:$EC32,"Maior")+3*COUNTIF($DZ32:$EC32,"Muito Maior")</f>
        <v/>
      </c>
      <c r="GR32" s="141">
        <f>IF($EG32=0,0,CHOOSE(1+INDEX($AH$2:$AH$11,$EG32),0,$GP32,$GQ32,$GP32+$GQ32))</f>
        <v/>
      </c>
      <c r="GS32" s="141">
        <f>IF($EG32=0,0,CHOOSE(1+INDEX($AI$2:$AI$11,$EG32),0,$GP32,$GQ32,$GP32+$GQ32))</f>
        <v/>
      </c>
      <c r="GT32" s="141">
        <f>IF(OR($EF32=0,$EG32=0),"",INDEX($AP$2:$AU$31,($EG32-1)*3+IF($DW32&gt;=6,3,2),1+MIN(5,$GR32))&amp;INDEX($AV$2:$BA$31,($EG32-1)*3+IF($DW32&gt;=6,3,2),1+MIN(5,$GS32))&amp;IF(INDEX($AJ$2:$AJ$11,$EG32)=1,IF(COUNTIF($DZ32:$EC32,"Mais Um")&gt;0," · +"&amp;COUNTIF($DZ32:$EC32,"Mais Um")&amp;IF(COUNTIF($DZ32:$EC32,"Mais Um")&gt;1," alvos"," alvo"),"")&amp;IF(COUNTIF($DZ32:$EC32,"Rajada")&gt;0," · "&amp;($DW32+1)&amp;" tiros",""),""))</f>
        <v/>
      </c>
      <c r="GU32" s="141">
        <f>IF($EF32=0,"",3*$DW32&amp;" − "&amp;$FJ32&amp;" + "&amp;$FM32&amp;IF($DU32=1," + "&amp;$DW32,"")&amp;" = "&amp;$FP32&amp;"d8 · teto "&amp;4*$DW32&amp;IF($ES32=1," · a Forma devolve "&amp;$DW32,"")&amp;IF($FN32&gt;0," · perde "&amp;$FN32,""))</f>
        <v/>
      </c>
      <c r="GV32" s="141">
        <f>IF($EF32=0,"",IF($DW32&gt;=$HE$4,"Já está na maior Classe que o nível liberou",TEXTJOIN(" · ",TRUE,IF(AND(2&gt;$DW32,2&lt;=$HE$4),"2 → "&amp;$FZ32&amp;", "&amp;IF($DU32=1,9,6)&amp;" PE",""),IF(AND(3&gt;$DW32,3&lt;=$HE$4),"3 → "&amp;$GA32&amp;", "&amp;IF($DU32=1,14,9)&amp;" PE",""),IF(AND(4&gt;$DW32,4&lt;=$HE$4),"4 → "&amp;$GB32&amp;", "&amp;IF($DU32=1,18,12)&amp;" PE",""),IF(AND(5&gt;$DW32,5&lt;=$HE$4),"5 → "&amp;$GC32&amp;", "&amp;IF($DU32=1,23,15)&amp;" PE",""),IF(AND(6&gt;$DW32,6&lt;=$HE$4),"6 → "&amp;$GD32&amp;", "&amp;IF($DU32=1,27,18)&amp;" PE",""),IF(AND(7&gt;$DW32,7&lt;=$HE$4),"7 → "&amp;$GE32&amp;", "&amp;IF($DU32=1,32,21)&amp;" PE",""))))</f>
        <v/>
      </c>
      <c r="GW32" s="141">
        <f>IF(OR($EF32=0,$EI32=0),"","−"&amp;INDEX($Q$2:$V$8,$DW32,$EI32)&amp;" · "&amp;CHOOSE($EI32,"Leve","Média","Pesada","Leve · Livre","Média · Livre","Pesada · Livre"))</f>
        <v/>
      </c>
      <c r="GX32" s="141">
        <f>IF(OR($EF32=0,$EJ32=0),"","−"&amp;INDEX($Q$2:$V$8,$DW32,$EJ32)&amp;" · "&amp;CHOOSE($EJ32,"Leve","Média","Pesada","Leve · Livre","Média · Livre","Pesada · Livre"))</f>
        <v/>
      </c>
      <c r="GY32" s="141">
        <f>IF(OR($EF32=0,$EK32=0),"","−"&amp;INDEX($Q$2:$V$8,$DW32,$EK32)&amp;" · "&amp;CHOOSE($EK32,"Leve","Média","Pesada","Leve · Livre","Média · Livre","Pesada · Livre"))</f>
        <v/>
      </c>
      <c r="GZ32" s="141">
        <f>IF(OR($EF32=0,$EL32=0),"","−"&amp;INDEX($Q$2:$V$8,$DW32,$EL32)&amp;" · "&amp;CHOOSE($EL32,"Leve","Média","Pesada","Leve · Livre","Média · Livre","Pesada · Livre"))</f>
        <v/>
      </c>
      <c r="HA32" s="141">
        <f>IF(OR($EF32=0,$ED32=""),"","+"&amp;IF($EV32=1,CEILING($DW32/2,1),$DW32))</f>
        <v/>
      </c>
      <c r="HB32" s="141">
        <f>IF(OR($EF32=0,$EE32=""),"","+"&amp;IF($EW32=1,CEILING($DW32/2,1),$DW32))</f>
        <v/>
      </c>
      <c r="HD32" s="114" t="inlineStr">
        <is>
          <t>metade do refino</t>
        </is>
      </c>
      <c r="HE32" s="141">
        <f>MAX(1,FLOOR($HE$6/2,1))</f>
        <v/>
      </c>
      <c r="IJ32" s="114" t="inlineStr">
        <is>
          <t>D135</t>
        </is>
      </c>
      <c r="IK32" s="141">
        <f>UPPER(INDEX(DADOS_AM!$D$3:$G$3,1,DADOS_AM!$A$2))&amp;" 13 A 24 · abra quando faltar lugar"</f>
        <v/>
      </c>
    </row>
    <row r="33">
      <c r="BC33" s="114" t="inlineStr">
        <is>
          <t>Abre Ferida</t>
        </is>
      </c>
      <c r="BD33" s="114" t="inlineStr">
        <is>
          <t>Auxiliares</t>
        </is>
      </c>
      <c r="BE33" s="141" t="n">
        <v>1</v>
      </c>
      <c r="BF33" s="141">
        <f>$BE33+3*IFERROR(VLOOKUP($BD33,$I$2:$L$10,3,FALSE),0)</f>
        <v/>
      </c>
      <c r="BG33" s="141">
        <f>IFERROR(VLOOKUP($BD33,$I$2:$L$10,4,FALSE),0)</f>
        <v/>
      </c>
      <c r="BH33" s="141" t="n">
        <v>0</v>
      </c>
      <c r="BI33" s="141">
        <f>IF($BG33=1,"",$BC33)</f>
        <v/>
      </c>
      <c r="BJ33" s="141">
        <f>IF(AND($BE33=1,$BG33=0),$BC33,"")</f>
        <v/>
      </c>
      <c r="DT33" s="114" t="inlineStr">
        <is>
          <t>Feitiço 32</t>
        </is>
      </c>
      <c r="DU33" s="141" t="n">
        <v>0</v>
      </c>
      <c r="DV33" s="141" t="n">
        <v>32</v>
      </c>
      <c r="DW33" s="141">
        <f>MAX(1,MIN(7,N('FICHA AMALDIÇOADA'!$J$265)))</f>
        <v/>
      </c>
      <c r="DX33" s="141">
        <f>'FICHA AMALDIÇOADA'!$K$265&amp;""</f>
        <v/>
      </c>
      <c r="DY33" s="141">
        <f>'FICHA AMALDIÇOADA'!$J$272&amp;""</f>
        <v/>
      </c>
      <c r="DZ33" s="141">
        <f>'FICHA AMALDIÇOADA'!$K$274&amp;""</f>
        <v/>
      </c>
      <c r="EA33" s="141">
        <f>'FICHA AMALDIÇOADA'!$K$275&amp;""</f>
        <v/>
      </c>
      <c r="EB33" s="141">
        <f>'FICHA AMALDIÇOADA'!$K$276&amp;""</f>
        <v/>
      </c>
      <c r="EC33" s="141">
        <f>'FICHA AMALDIÇOADA'!$K$277&amp;""</f>
        <v/>
      </c>
      <c r="ED33" s="141">
        <f>'FICHA AMALDIÇOADA'!$K$278&amp;""</f>
        <v/>
      </c>
      <c r="EE33" s="141">
        <f>'FICHA AMALDIÇOADA'!$K$279&amp;""</f>
        <v/>
      </c>
      <c r="EF33" s="141">
        <f>IF($DX33&lt;&gt;"",1,0)</f>
        <v/>
      </c>
      <c r="EG33" s="141">
        <f>IFERROR(MATCH($DY33,$Y$2:$Y$11,0),0)</f>
        <v/>
      </c>
      <c r="EH33" s="141">
        <f>IF($EG33=0,0,INDEX($AB$2:$AB$11,$EG33))</f>
        <v/>
      </c>
      <c r="EI33" s="141">
        <f>IFERROR(VLOOKUP($DZ33,$BC$2:$BJ$84,4,FALSE),0)</f>
        <v/>
      </c>
      <c r="EJ33" s="141">
        <f>IFERROR(VLOOKUP($EA33,$BC$2:$BJ$84,4,FALSE),0)</f>
        <v/>
      </c>
      <c r="EK33" s="141">
        <f>IFERROR(VLOOKUP($EB33,$BC$2:$BJ$84,4,FALSE),0)</f>
        <v/>
      </c>
      <c r="EL33" s="141">
        <f>IFERROR(VLOOKUP($EC33,$BC$2:$BJ$84,4,FALSE),0)</f>
        <v/>
      </c>
      <c r="EM33" s="141">
        <f>IF($EG33=0,0,INDEX($AC$2:$AC$11,$EG33))</f>
        <v/>
      </c>
      <c r="EN33" s="141">
        <f>IFERROR(VLOOKUP($DZ33,$BC$2:$BJ$84,5,FALSE),0)</f>
        <v/>
      </c>
      <c r="EO33" s="141">
        <f>IFERROR(VLOOKUP($EA33,$BC$2:$BJ$84,5,FALSE),0)</f>
        <v/>
      </c>
      <c r="EP33" s="141">
        <f>IFERROR(VLOOKUP($EB33,$BC$2:$BJ$84,5,FALSE),0)</f>
        <v/>
      </c>
      <c r="EQ33" s="141">
        <f>IFERROR(VLOOKUP($EC33,$BC$2:$BJ$84,5,FALSE),0)</f>
        <v/>
      </c>
      <c r="ER33" s="141">
        <f>IFERROR(VLOOKUP($DZ33,$BC$2:$BJ$84,6,FALSE),0)+IFERROR(VLOOKUP($EA33,$BC$2:$BJ$84,6,FALSE),0)+IFERROR(VLOOKUP($EB33,$BC$2:$BJ$84,6,FALSE),0)+IFERROR(VLOOKUP($EC33,$BC$2:$BJ$84,6,FALSE),0)</f>
        <v/>
      </c>
      <c r="ES33" s="141">
        <f>IF($EG33=0,0,INDEX($AD$2:$AD$11,$EG33))</f>
        <v/>
      </c>
      <c r="ET33" s="141">
        <f>IF($EG33=0,0,INDEX($AE$2:$AE$11,$EG33))</f>
        <v/>
      </c>
      <c r="EU33" s="141">
        <f>IF($EG33=0,0,INDEX($AG$2:$AG$11,$EG33))</f>
        <v/>
      </c>
      <c r="EV33" s="141">
        <f>IFERROR(VLOOKUP($ED33,$BL$2:$BP$24,3,FALSE),0)</f>
        <v/>
      </c>
      <c r="EW33" s="141">
        <f>IFERROR(VLOOKUP($EE33,$BL$2:$BP$24,3,FALSE),0)</f>
        <v/>
      </c>
      <c r="EX33" s="141">
        <f>IFERROR(VLOOKUP($ED33,$BL$2:$BP$24,2,FALSE),"")</f>
        <v/>
      </c>
      <c r="EY33" s="141">
        <f>IFERROR(VLOOKUP($EE33,$BL$2:$BP$24,2,FALSE),"")</f>
        <v/>
      </c>
      <c r="EZ33" s="141">
        <f>COUNTIF($EH33:$EL33,1)</f>
        <v/>
      </c>
      <c r="FA33" s="141">
        <f>COUNTIF($EH33:$EL33,2)</f>
        <v/>
      </c>
      <c r="FB33" s="141">
        <f>COUNTIF($EH33:$EL33,3)</f>
        <v/>
      </c>
      <c r="FC33" s="141">
        <f>COUNTIF($EH33:$EL33,4)</f>
        <v/>
      </c>
      <c r="FD33" s="141">
        <f>COUNTIF($EH33:$EL33,5)</f>
        <v/>
      </c>
      <c r="FE33" s="141">
        <f>COUNTIF($EH33:$EL33,6)</f>
        <v/>
      </c>
      <c r="FF33" s="141">
        <f>COUNTIF($EV33:$EW33,1)</f>
        <v/>
      </c>
      <c r="FG33" s="141">
        <f>COUNTIF($EV33:$EW33,2)+$ES33</f>
        <v/>
      </c>
      <c r="FH33" s="141">
        <f>COUNTIF($DZ33:$EC33,"?*")</f>
        <v/>
      </c>
      <c r="FI33" s="141">
        <f>COUNTIF($ED33:$EE33,"?*")+$ES33</f>
        <v/>
      </c>
      <c r="FJ33" s="141">
        <f>SUMPRODUCT($EZ33:$FE33,INDEX($Q$2:$V$8,$DW33,0))</f>
        <v/>
      </c>
      <c r="FK33" s="141">
        <f>$FF33*CEILING($DW33/2,1)+$FG33*$DW33</f>
        <v/>
      </c>
      <c r="FL33" s="141">
        <f>MIN(2*$DW33,$FK33)</f>
        <v/>
      </c>
      <c r="FM33" s="141">
        <f>MIN($FL33,$FJ33)</f>
        <v/>
      </c>
      <c r="FN33" s="141">
        <f>$FL33-$FM33</f>
        <v/>
      </c>
      <c r="FO33" s="141">
        <f>3*$DW33-$FJ33+$FM33</f>
        <v/>
      </c>
      <c r="FP33" s="141">
        <f>MAX(0,$FO33)+$DU33*$DW33</f>
        <v/>
      </c>
      <c r="FQ33" s="141">
        <f>(IF(COUNTIF($DZ33:$EC33,"Salto")&gt;0,1,0)+IF(COUNTIF($DZ33:$EC33,"Queima")&gt;0,1,0))*FLOOR($FP33/2,1)</f>
        <v/>
      </c>
      <c r="FR33" s="141">
        <f>MAX(0,3-SUMPRODUCT($EZ33:$FE33,$Q$2:$V$2)+MIN(2,$FF33*1+$FG33*1,SUMPRODUCT($EZ33:$FE33,$Q$2:$V$2)))+$DU33*1</f>
        <v/>
      </c>
      <c r="FS33" s="141">
        <f>MAX(0,6-SUMPRODUCT($EZ33:$FE33,$Q$3:$V$3)+MIN(4,$FF33*1+$FG33*2,SUMPRODUCT($EZ33:$FE33,$Q$3:$V$3)))+$DU33*2</f>
        <v/>
      </c>
      <c r="FT33" s="141">
        <f>MAX(0,9-SUMPRODUCT($EZ33:$FE33,$Q$4:$V$4)+MIN(6,$FF33*2+$FG33*3,SUMPRODUCT($EZ33:$FE33,$Q$4:$V$4)))+$DU33*3</f>
        <v/>
      </c>
      <c r="FU33" s="141">
        <f>MAX(0,12-SUMPRODUCT($EZ33:$FE33,$Q$5:$V$5)+MIN(8,$FF33*2+$FG33*4,SUMPRODUCT($EZ33:$FE33,$Q$5:$V$5)))+$DU33*4</f>
        <v/>
      </c>
      <c r="FV33" s="141">
        <f>MAX(0,15-SUMPRODUCT($EZ33:$FE33,$Q$6:$V$6)+MIN(10,$FF33*3+$FG33*5,SUMPRODUCT($EZ33:$FE33,$Q$6:$V$6)))+$DU33*5</f>
        <v/>
      </c>
      <c r="FW33" s="141">
        <f>MAX(0,18-SUMPRODUCT($EZ33:$FE33,$Q$7:$V$7)+MIN(12,$FF33*3+$FG33*6,SUMPRODUCT($EZ33:$FE33,$Q$7:$V$7)))+$DU33*6</f>
        <v/>
      </c>
      <c r="FX33" s="141">
        <f>MAX(0,21-SUMPRODUCT($EZ33:$FE33,$Q$8:$V$8)+MIN(14,$FF33*4+$FG33*7,SUMPRODUCT($EZ33:$FE33,$Q$8:$V$8)))+$DU33*7</f>
        <v/>
      </c>
      <c r="FY33" s="141">
        <f>IF($ET33=2,3*$FR33&amp;" de vida temp.",IF($ET33=3,"sem dano",IF($FR33=0,IF($ET33=1,"sem cura","sem dano"),IF($ET33=1,"cura ","")&amp;$FR33&amp;"d8")))</f>
        <v/>
      </c>
      <c r="FZ33" s="141">
        <f>IF($ET33=2,3*$FS33&amp;" de vida temp.",IF($ET33=3,"sem dano",IF($FS33=0,IF($ET33=1,"sem cura","sem dano"),IF($ET33=1,"cura ","")&amp;$FS33&amp;"d8")))</f>
        <v/>
      </c>
      <c r="GA33" s="141">
        <f>IF($ET33=2,3*$FT33&amp;" de vida temp.",IF($ET33=3,"sem dano",IF($FT33=0,IF($ET33=1,"sem cura","sem dano"),IF($ET33=1,"cura ","")&amp;$FT33&amp;"d8")))</f>
        <v/>
      </c>
      <c r="GB33" s="141">
        <f>IF($ET33=2,3*$FU33&amp;" de vida temp.",IF($ET33=3,"sem dano",IF($FU33=0,IF($ET33=1,"sem cura","sem dano"),IF($ET33=1,"cura ","")&amp;$FU33&amp;"d8")))</f>
        <v/>
      </c>
      <c r="GC33" s="141">
        <f>IF($ET33=2,3*$FV33&amp;" de vida temp.",IF($ET33=3,"sem dano",IF($FV33=0,IF($ET33=1,"sem cura","sem dano"),IF($ET33=1,"cura ","")&amp;$FV33&amp;"d8")))</f>
        <v/>
      </c>
      <c r="GD33" s="141">
        <f>IF($ET33=2,3*$FW33&amp;" de vida temp.",IF($ET33=3,"sem dano",IF($FW33=0,IF($ET33=1,"sem cura","sem dano"),IF($ET33=1,"cura ","")&amp;$FW33&amp;"d8")))</f>
        <v/>
      </c>
      <c r="GE33" s="141">
        <f>IF($ET33=2,3*$FX33&amp;" de vida temp.",IF($ET33=3,"sem dano",IF($FX33=0,IF($ET33=1,"sem cura","sem dano"),IF($ET33=1,"cura ","")&amp;$FX33&amp;"d8")))</f>
        <v/>
      </c>
      <c r="GF33" s="141">
        <f>IF($EF33=0,"",TEXTJOIN(" · ",TRUE,IF(AND($DU33=1,$DV33&gt;$HE$9),"O nível "&amp;$HE$2&amp;" dá "&amp;$HE$9&amp;" Liberação Máxima",""),IF($DW33&gt;$HE$4,"Classe "&amp;$DW33&amp;": o nível "&amp;$HE$2&amp;" libera até a "&amp;$HE$4,""),IF($EM33=1,"Família Fechada: a Forma "&amp;$DY33,""),IF($EN33=1,"Família Fechada: "&amp;$DZ33,""),IF($EO33=1,"Família Fechada: "&amp;$EA33,""),IF($EP33=1,"Família Fechada: "&amp;$EB33,""),IF($EQ33=1,"Família Fechada: "&amp;$EC33,""),IF($FH33&gt;INDEX($W$2:$W$8,$DW33),$FH33&amp;" Melhorias: a Classe "&amp;$DW33&amp;" aceita "&amp;INDEX($W$2:$W$8,$DW33),""),IF($FI33&gt;2,$FI33&amp;" Restrições"&amp;IF($ES33=1,", contando a que a Forma "&amp;$DY33&amp;" já traz","")&amp;": o limite é 2",""),IF($FO33&lt;0,"Orçamento estourado: faltam "&amp;(-$FO33)&amp;IF($FO33&lt;-1," pontos"," ponto"),""),IF(IFERROR(VLOOKUP($ED33,$BL$2:$BP$24,4,FALSE),0)+IFERROR(VLOOKUP($EE33,$BL$2:$BP$24,4,FALSE),0)&gt;1,$EX33&amp;" e "&amp;$EY33&amp;" são as duas de frequência",""),IF(AND((COUNTIF($DZ33:$EC33,"Rápido")+COUNTIF($EX33:$EY33,"Rápido"))&gt;0,(COUNTIF($DZ33:$EC33,"Reação")+COUNTIF($EX33:$EY33,"Reação"))&gt;0),"Rápido não entra com Reação",""),IF(AND((COUNTIF($DZ33:$EC33,"Rápido")+COUNTIF($EX33:$EY33,"Rápido"))&gt;0,(COUNTIF($DZ33:$EC33,"Atrasar")+COUNTIF($EX33:$EY33,"Atrasar"))&gt;0),"Rápido não entra com Atrasar",""),IF(AND((COUNTIF($DZ33:$EC33,"Reação")+COUNTIF($EX33:$EY33,"Reação"))&gt;0,(COUNTIF($DZ33:$EC33,"Atrasar")+COUNTIF($EX33:$EY33,"Atrasar"))&gt;0),"Reação não entra com Atrasar",""),IF(AND((COUNTIF($DZ33:$EC33,"Reação")+COUNTIF($EX33:$EY33,"Reação"))&gt;0,(COUNTIF($DZ33:$EC33,"Parado")+COUNTIF($EX33:$EY33,"Parado"))&gt;0),"Reação não entra com Parado",""),IF(AND(COUNTIF($EX33:$EY33,"Corpo a Corpo")&gt;0,$ES33=0,OR($DY33="Cone",$DY33="Linha")),"Corpo a Corpo não entra em "&amp;$DY33,""),IF(AND(COUNTIF($EX33:$EY33,"Corpo a Corpo")&gt;0,$ES33=1),"A Forma "&amp;$DY33&amp;" já traz o Corpo a Corpo",""),IF(AND(COUNTIF($EX33:$EY33,"Tudo ou Nada")&gt;0,$EU33=0),"Tudo ou Nada só entra em feitiço de Teste de Resistência",""),IF(AND(COUNTIF($DZ33:$EC33,"Inescapável")&gt;0,OR($FH33&gt;1,$FI33&gt;0)),"Inescapável não aceita outra peça",""),IF(AND($DU33=1,$DW33&lt;3),"Liberação Máxima é de Classe 3 ou mais",""),IF(AND($DU33=1,OR($ET33=1,$ET33=2)),"Liberação Máxima não serve para cura",""),IF(AND($DU33=1,COUNTIF($DZ33:$EC33,"Inescapável")+COUNTIF($DZ33:$EC33,"Toca a Alma")&gt;0),"Esta peça não entra numa Liberação Máxima",""),IF($FP33+$FQ33&gt;4*$DW33,($FP33+$FQ33)&amp;" dados somando alvos e repetições: o teto da Classe "&amp;$DW33&amp;" é "&amp;4*$DW33,"")))</f>
        <v/>
      </c>
      <c r="GG33" s="141">
        <f>IF($GF33="",0,(LEN($GF33)-LEN(SUBSTITUTE($GF33," · ","")))/3+1)</f>
        <v/>
      </c>
      <c r="GH33" s="141">
        <f>IF($EF33=0,"",TEXTJOIN(" · ",TRUE,IF($FK33&gt;2*$DW33,"A devolução parou no teto de "&amp;2*$DW33,""),IF($FN33&gt;0,"Devolução perdida: "&amp;$FN33&amp;IF($FN33&gt;1," pontos"," ponto")&amp;" sem peça para pagar",""),IF(AND($ER33&gt;0,$FP33=0),"Controle sem dano: uma rodada a mais e CD +2",""),IF(AND($ER33&gt;0,$FP33&gt;0,$FP33&lt;=$DW33),"Controle com um quarto do teto: uma rodada a mais","")))</f>
        <v/>
      </c>
      <c r="GI33" s="141">
        <f>IF($GH33="",0,(LEN($GH33)-LEN(SUBSTITUTE($GH33," · ","")))/3+1)</f>
        <v/>
      </c>
      <c r="GJ33" s="141">
        <f>IF($EF33=0,IF($FH33+$FI33-$ES33&gt;0,"Dê um nome",""),IF($GG33&gt;0,"⚠ "&amp;$GG33&amp;IF($GG33&gt;1," erros"," erro"),IF($GI33&gt;0,"! "&amp;$GI33&amp;IF($GI33&gt;1," avisos"," aviso"),"Na regra")))</f>
        <v/>
      </c>
      <c r="GK33" s="141">
        <f>IF($EF33=0,"",IF($GG33+$GI33=0,"Dentro das regras que a ficha confere",$GF33&amp;IF(AND($GG33&gt;0,$GI33&gt;0)," · ","")&amp;$GH33))</f>
        <v/>
      </c>
      <c r="GL33" s="141">
        <f>IF($EF33=0,"",IF($DU33=1,CEILING(4.5*$DW33,1),3*$DW33)&amp;" PE")</f>
        <v/>
      </c>
      <c r="GM33" s="141">
        <f>IF($EF33=0,"",IF($DU33=1,"Rodada inteira",IF(COUNTIF($EX33:$EY33,"Atrasar")&gt;0,IF(COUNTIF($EX33:$EY33,"Carregar")&gt;0,"Rodada +1 turno","Rodada inteira"),IF(COUNTIF($DZ33:$EC33,"Rápido")&gt;0,"Bônus",IF(COUNTIF($DZ33:$EC33,"Reação")&gt;0,"Reação","Padrão"))&amp;IF(COUNTIF($EX33:$EY33,"Carregar")&gt;0," +1 turno",""))))</f>
        <v/>
      </c>
      <c r="GN33" s="141">
        <f>IF(OR($EF33=0,$EG33=0),"",IF(COUNTIF($DZ33:$EC33,"Inescapável")&gt;0,"Automático",IF(COUNTIF($DZ33:$EC33,"Certeiro")&gt;0,"TR para metade",INDEX($AF$2:$AF$11,$EG33))))</f>
        <v/>
      </c>
      <c r="GO33" s="141">
        <f>IF(OR($EF33=0,$EG33=0),"",IF(OR($ET33&gt;=2,$FP33=0),UPPER(LEFT(INDEX($FY33:$GE33,1,$DW33),1))&amp;MID(INDEX($FY33:$GE33,1,$DW33),2,99),UPPER(LEFT(INDEX($FY33:$GE33,1,$DW33),1))&amp;MID(INDEX($FY33:$GE33,1,$DW33),2,99)&amp;" = "&amp;FLOOR($FP33*4.5,1)&amp;IF($FQ33&gt;0," · +"&amp;$FQ33&amp;"d8","")))</f>
        <v/>
      </c>
      <c r="GP33" s="141">
        <f>COUNTIF($DZ33:$EC33,"Longe")+3*COUNTIF($DZ33:$EC33,"Muito Longe")</f>
        <v/>
      </c>
      <c r="GQ33" s="141">
        <f>COUNTIF($DZ33:$EC33,"Maior")+3*COUNTIF($DZ33:$EC33,"Muito Maior")</f>
        <v/>
      </c>
      <c r="GR33" s="141">
        <f>IF($EG33=0,0,CHOOSE(1+INDEX($AH$2:$AH$11,$EG33),0,$GP33,$GQ33,$GP33+$GQ33))</f>
        <v/>
      </c>
      <c r="GS33" s="141">
        <f>IF($EG33=0,0,CHOOSE(1+INDEX($AI$2:$AI$11,$EG33),0,$GP33,$GQ33,$GP33+$GQ33))</f>
        <v/>
      </c>
      <c r="GT33" s="141">
        <f>IF(OR($EF33=0,$EG33=0),"",INDEX($AP$2:$AU$31,($EG33-1)*3+IF($DW33&gt;=6,3,2),1+MIN(5,$GR33))&amp;INDEX($AV$2:$BA$31,($EG33-1)*3+IF($DW33&gt;=6,3,2),1+MIN(5,$GS33))&amp;IF(INDEX($AJ$2:$AJ$11,$EG33)=1,IF(COUNTIF($DZ33:$EC33,"Mais Um")&gt;0," · +"&amp;COUNTIF($DZ33:$EC33,"Mais Um")&amp;IF(COUNTIF($DZ33:$EC33,"Mais Um")&gt;1," alvos"," alvo"),"")&amp;IF(COUNTIF($DZ33:$EC33,"Rajada")&gt;0," · "&amp;($DW33+1)&amp;" tiros",""),""))</f>
        <v/>
      </c>
      <c r="GU33" s="141">
        <f>IF($EF33=0,"",3*$DW33&amp;" − "&amp;$FJ33&amp;" + "&amp;$FM33&amp;IF($DU33=1," + "&amp;$DW33,"")&amp;" = "&amp;$FP33&amp;"d8 · teto "&amp;4*$DW33&amp;IF($ES33=1," · a Forma devolve "&amp;$DW33,"")&amp;IF($FN33&gt;0," · perde "&amp;$FN33,""))</f>
        <v/>
      </c>
      <c r="GV33" s="141">
        <f>IF($EF33=0,"",IF($DW33&gt;=$HE$4,"Já está na maior Classe que o nível liberou",TEXTJOIN(" · ",TRUE,IF(AND(2&gt;$DW33,2&lt;=$HE$4),"2 → "&amp;$FZ33&amp;", "&amp;IF($DU33=1,9,6)&amp;" PE",""),IF(AND(3&gt;$DW33,3&lt;=$HE$4),"3 → "&amp;$GA33&amp;", "&amp;IF($DU33=1,14,9)&amp;" PE",""),IF(AND(4&gt;$DW33,4&lt;=$HE$4),"4 → "&amp;$GB33&amp;", "&amp;IF($DU33=1,18,12)&amp;" PE",""),IF(AND(5&gt;$DW33,5&lt;=$HE$4),"5 → "&amp;$GC33&amp;", "&amp;IF($DU33=1,23,15)&amp;" PE",""),IF(AND(6&gt;$DW33,6&lt;=$HE$4),"6 → "&amp;$GD33&amp;", "&amp;IF($DU33=1,27,18)&amp;" PE",""),IF(AND(7&gt;$DW33,7&lt;=$HE$4),"7 → "&amp;$GE33&amp;", "&amp;IF($DU33=1,32,21)&amp;" PE",""))))</f>
        <v/>
      </c>
      <c r="GW33" s="141">
        <f>IF(OR($EF33=0,$EI33=0),"","−"&amp;INDEX($Q$2:$V$8,$DW33,$EI33)&amp;" · "&amp;CHOOSE($EI33,"Leve","Média","Pesada","Leve · Livre","Média · Livre","Pesada · Livre"))</f>
        <v/>
      </c>
      <c r="GX33" s="141">
        <f>IF(OR($EF33=0,$EJ33=0),"","−"&amp;INDEX($Q$2:$V$8,$DW33,$EJ33)&amp;" · "&amp;CHOOSE($EJ33,"Leve","Média","Pesada","Leve · Livre","Média · Livre","Pesada · Livre"))</f>
        <v/>
      </c>
      <c r="GY33" s="141">
        <f>IF(OR($EF33=0,$EK33=0),"","−"&amp;INDEX($Q$2:$V$8,$DW33,$EK33)&amp;" · "&amp;CHOOSE($EK33,"Leve","Média","Pesada","Leve · Livre","Média · Livre","Pesada · Livre"))</f>
        <v/>
      </c>
      <c r="GZ33" s="141">
        <f>IF(OR($EF33=0,$EL33=0),"","−"&amp;INDEX($Q$2:$V$8,$DW33,$EL33)&amp;" · "&amp;CHOOSE($EL33,"Leve","Média","Pesada","Leve · Livre","Média · Livre","Pesada · Livre"))</f>
        <v/>
      </c>
      <c r="HA33" s="141">
        <f>IF(OR($EF33=0,$ED33=""),"","+"&amp;IF($EV33=1,CEILING($DW33/2,1),$DW33))</f>
        <v/>
      </c>
      <c r="HB33" s="141">
        <f>IF(OR($EF33=0,$EE33=""),"","+"&amp;IF($EW33=1,CEILING($DW33/2,1),$DW33))</f>
        <v/>
      </c>
      <c r="HD33" s="114" t="inlineStr">
        <is>
          <t>terço do refino</t>
        </is>
      </c>
      <c r="HE33" s="141">
        <f>MAX(1,FLOOR($HE$6/3,1))</f>
        <v/>
      </c>
      <c r="IJ33" s="114" t="inlineStr">
        <is>
          <t>D221</t>
        </is>
      </c>
      <c r="IK33" s="141">
        <f>UPPER(INDEX(DADOS_AM!$D$3:$G$3,1,DADOS_AM!$A$2))&amp;" 25 A 36 · abra quando faltar lugar"</f>
        <v/>
      </c>
    </row>
    <row r="34">
      <c r="BC34" s="114" t="inlineStr">
        <is>
          <t>Sobrecarga</t>
        </is>
      </c>
      <c r="BD34" s="114" t="inlineStr">
        <is>
          <t>Auxiliares</t>
        </is>
      </c>
      <c r="BE34" s="141" t="n">
        <v>1</v>
      </c>
      <c r="BF34" s="141">
        <f>$BE34+3*IFERROR(VLOOKUP($BD34,$I$2:$L$10,3,FALSE),0)</f>
        <v/>
      </c>
      <c r="BG34" s="141">
        <f>IFERROR(VLOOKUP($BD34,$I$2:$L$10,4,FALSE),0)</f>
        <v/>
      </c>
      <c r="BH34" s="141" t="n">
        <v>0</v>
      </c>
      <c r="BI34" s="141">
        <f>IF($BG34=1,"",$BC34)</f>
        <v/>
      </c>
      <c r="BJ34" s="141">
        <f>IF(AND($BE34=1,$BG34=0),$BC34,"")</f>
        <v/>
      </c>
      <c r="DT34" s="114" t="inlineStr">
        <is>
          <t>Feitiço 33</t>
        </is>
      </c>
      <c r="DU34" s="141" t="n">
        <v>0</v>
      </c>
      <c r="DV34" s="141" t="n">
        <v>33</v>
      </c>
      <c r="DW34" s="141">
        <f>MAX(1,MIN(7,N('FICHA AMALDIÇOADA'!$P$265)))</f>
        <v/>
      </c>
      <c r="DX34" s="141">
        <f>'FICHA AMALDIÇOADA'!$Q$265&amp;""</f>
        <v/>
      </c>
      <c r="DY34" s="141">
        <f>'FICHA AMALDIÇOADA'!$P$272&amp;""</f>
        <v/>
      </c>
      <c r="DZ34" s="141">
        <f>'FICHA AMALDIÇOADA'!$Q$274&amp;""</f>
        <v/>
      </c>
      <c r="EA34" s="141">
        <f>'FICHA AMALDIÇOADA'!$Q$275&amp;""</f>
        <v/>
      </c>
      <c r="EB34" s="141">
        <f>'FICHA AMALDIÇOADA'!$Q$276&amp;""</f>
        <v/>
      </c>
      <c r="EC34" s="141">
        <f>'FICHA AMALDIÇOADA'!$Q$277&amp;""</f>
        <v/>
      </c>
      <c r="ED34" s="141">
        <f>'FICHA AMALDIÇOADA'!$Q$278&amp;""</f>
        <v/>
      </c>
      <c r="EE34" s="141">
        <f>'FICHA AMALDIÇOADA'!$Q$279&amp;""</f>
        <v/>
      </c>
      <c r="EF34" s="141">
        <f>IF($DX34&lt;&gt;"",1,0)</f>
        <v/>
      </c>
      <c r="EG34" s="141">
        <f>IFERROR(MATCH($DY34,$Y$2:$Y$11,0),0)</f>
        <v/>
      </c>
      <c r="EH34" s="141">
        <f>IF($EG34=0,0,INDEX($AB$2:$AB$11,$EG34))</f>
        <v/>
      </c>
      <c r="EI34" s="141">
        <f>IFERROR(VLOOKUP($DZ34,$BC$2:$BJ$84,4,FALSE),0)</f>
        <v/>
      </c>
      <c r="EJ34" s="141">
        <f>IFERROR(VLOOKUP($EA34,$BC$2:$BJ$84,4,FALSE),0)</f>
        <v/>
      </c>
      <c r="EK34" s="141">
        <f>IFERROR(VLOOKUP($EB34,$BC$2:$BJ$84,4,FALSE),0)</f>
        <v/>
      </c>
      <c r="EL34" s="141">
        <f>IFERROR(VLOOKUP($EC34,$BC$2:$BJ$84,4,FALSE),0)</f>
        <v/>
      </c>
      <c r="EM34" s="141">
        <f>IF($EG34=0,0,INDEX($AC$2:$AC$11,$EG34))</f>
        <v/>
      </c>
      <c r="EN34" s="141">
        <f>IFERROR(VLOOKUP($DZ34,$BC$2:$BJ$84,5,FALSE),0)</f>
        <v/>
      </c>
      <c r="EO34" s="141">
        <f>IFERROR(VLOOKUP($EA34,$BC$2:$BJ$84,5,FALSE),0)</f>
        <v/>
      </c>
      <c r="EP34" s="141">
        <f>IFERROR(VLOOKUP($EB34,$BC$2:$BJ$84,5,FALSE),0)</f>
        <v/>
      </c>
      <c r="EQ34" s="141">
        <f>IFERROR(VLOOKUP($EC34,$BC$2:$BJ$84,5,FALSE),0)</f>
        <v/>
      </c>
      <c r="ER34" s="141">
        <f>IFERROR(VLOOKUP($DZ34,$BC$2:$BJ$84,6,FALSE),0)+IFERROR(VLOOKUP($EA34,$BC$2:$BJ$84,6,FALSE),0)+IFERROR(VLOOKUP($EB34,$BC$2:$BJ$84,6,FALSE),0)+IFERROR(VLOOKUP($EC34,$BC$2:$BJ$84,6,FALSE),0)</f>
        <v/>
      </c>
      <c r="ES34" s="141">
        <f>IF($EG34=0,0,INDEX($AD$2:$AD$11,$EG34))</f>
        <v/>
      </c>
      <c r="ET34" s="141">
        <f>IF($EG34=0,0,INDEX($AE$2:$AE$11,$EG34))</f>
        <v/>
      </c>
      <c r="EU34" s="141">
        <f>IF($EG34=0,0,INDEX($AG$2:$AG$11,$EG34))</f>
        <v/>
      </c>
      <c r="EV34" s="141">
        <f>IFERROR(VLOOKUP($ED34,$BL$2:$BP$24,3,FALSE),0)</f>
        <v/>
      </c>
      <c r="EW34" s="141">
        <f>IFERROR(VLOOKUP($EE34,$BL$2:$BP$24,3,FALSE),0)</f>
        <v/>
      </c>
      <c r="EX34" s="141">
        <f>IFERROR(VLOOKUP($ED34,$BL$2:$BP$24,2,FALSE),"")</f>
        <v/>
      </c>
      <c r="EY34" s="141">
        <f>IFERROR(VLOOKUP($EE34,$BL$2:$BP$24,2,FALSE),"")</f>
        <v/>
      </c>
      <c r="EZ34" s="141">
        <f>COUNTIF($EH34:$EL34,1)</f>
        <v/>
      </c>
      <c r="FA34" s="141">
        <f>COUNTIF($EH34:$EL34,2)</f>
        <v/>
      </c>
      <c r="FB34" s="141">
        <f>COUNTIF($EH34:$EL34,3)</f>
        <v/>
      </c>
      <c r="FC34" s="141">
        <f>COUNTIF($EH34:$EL34,4)</f>
        <v/>
      </c>
      <c r="FD34" s="141">
        <f>COUNTIF($EH34:$EL34,5)</f>
        <v/>
      </c>
      <c r="FE34" s="141">
        <f>COUNTIF($EH34:$EL34,6)</f>
        <v/>
      </c>
      <c r="FF34" s="141">
        <f>COUNTIF($EV34:$EW34,1)</f>
        <v/>
      </c>
      <c r="FG34" s="141">
        <f>COUNTIF($EV34:$EW34,2)+$ES34</f>
        <v/>
      </c>
      <c r="FH34" s="141">
        <f>COUNTIF($DZ34:$EC34,"?*")</f>
        <v/>
      </c>
      <c r="FI34" s="141">
        <f>COUNTIF($ED34:$EE34,"?*")+$ES34</f>
        <v/>
      </c>
      <c r="FJ34" s="141">
        <f>SUMPRODUCT($EZ34:$FE34,INDEX($Q$2:$V$8,$DW34,0))</f>
        <v/>
      </c>
      <c r="FK34" s="141">
        <f>$FF34*CEILING($DW34/2,1)+$FG34*$DW34</f>
        <v/>
      </c>
      <c r="FL34" s="141">
        <f>MIN(2*$DW34,$FK34)</f>
        <v/>
      </c>
      <c r="FM34" s="141">
        <f>MIN($FL34,$FJ34)</f>
        <v/>
      </c>
      <c r="FN34" s="141">
        <f>$FL34-$FM34</f>
        <v/>
      </c>
      <c r="FO34" s="141">
        <f>3*$DW34-$FJ34+$FM34</f>
        <v/>
      </c>
      <c r="FP34" s="141">
        <f>MAX(0,$FO34)+$DU34*$DW34</f>
        <v/>
      </c>
      <c r="FQ34" s="141">
        <f>(IF(COUNTIF($DZ34:$EC34,"Salto")&gt;0,1,0)+IF(COUNTIF($DZ34:$EC34,"Queima")&gt;0,1,0))*FLOOR($FP34/2,1)</f>
        <v/>
      </c>
      <c r="FR34" s="141">
        <f>MAX(0,3-SUMPRODUCT($EZ34:$FE34,$Q$2:$V$2)+MIN(2,$FF34*1+$FG34*1,SUMPRODUCT($EZ34:$FE34,$Q$2:$V$2)))+$DU34*1</f>
        <v/>
      </c>
      <c r="FS34" s="141">
        <f>MAX(0,6-SUMPRODUCT($EZ34:$FE34,$Q$3:$V$3)+MIN(4,$FF34*1+$FG34*2,SUMPRODUCT($EZ34:$FE34,$Q$3:$V$3)))+$DU34*2</f>
        <v/>
      </c>
      <c r="FT34" s="141">
        <f>MAX(0,9-SUMPRODUCT($EZ34:$FE34,$Q$4:$V$4)+MIN(6,$FF34*2+$FG34*3,SUMPRODUCT($EZ34:$FE34,$Q$4:$V$4)))+$DU34*3</f>
        <v/>
      </c>
      <c r="FU34" s="141">
        <f>MAX(0,12-SUMPRODUCT($EZ34:$FE34,$Q$5:$V$5)+MIN(8,$FF34*2+$FG34*4,SUMPRODUCT($EZ34:$FE34,$Q$5:$V$5)))+$DU34*4</f>
        <v/>
      </c>
      <c r="FV34" s="141">
        <f>MAX(0,15-SUMPRODUCT($EZ34:$FE34,$Q$6:$V$6)+MIN(10,$FF34*3+$FG34*5,SUMPRODUCT($EZ34:$FE34,$Q$6:$V$6)))+$DU34*5</f>
        <v/>
      </c>
      <c r="FW34" s="141">
        <f>MAX(0,18-SUMPRODUCT($EZ34:$FE34,$Q$7:$V$7)+MIN(12,$FF34*3+$FG34*6,SUMPRODUCT($EZ34:$FE34,$Q$7:$V$7)))+$DU34*6</f>
        <v/>
      </c>
      <c r="FX34" s="141">
        <f>MAX(0,21-SUMPRODUCT($EZ34:$FE34,$Q$8:$V$8)+MIN(14,$FF34*4+$FG34*7,SUMPRODUCT($EZ34:$FE34,$Q$8:$V$8)))+$DU34*7</f>
        <v/>
      </c>
      <c r="FY34" s="141">
        <f>IF($ET34=2,3*$FR34&amp;" de vida temp.",IF($ET34=3,"sem dano",IF($FR34=0,IF($ET34=1,"sem cura","sem dano"),IF($ET34=1,"cura ","")&amp;$FR34&amp;"d8")))</f>
        <v/>
      </c>
      <c r="FZ34" s="141">
        <f>IF($ET34=2,3*$FS34&amp;" de vida temp.",IF($ET34=3,"sem dano",IF($FS34=0,IF($ET34=1,"sem cura","sem dano"),IF($ET34=1,"cura ","")&amp;$FS34&amp;"d8")))</f>
        <v/>
      </c>
      <c r="GA34" s="141">
        <f>IF($ET34=2,3*$FT34&amp;" de vida temp.",IF($ET34=3,"sem dano",IF($FT34=0,IF($ET34=1,"sem cura","sem dano"),IF($ET34=1,"cura ","")&amp;$FT34&amp;"d8")))</f>
        <v/>
      </c>
      <c r="GB34" s="141">
        <f>IF($ET34=2,3*$FU34&amp;" de vida temp.",IF($ET34=3,"sem dano",IF($FU34=0,IF($ET34=1,"sem cura","sem dano"),IF($ET34=1,"cura ","")&amp;$FU34&amp;"d8")))</f>
        <v/>
      </c>
      <c r="GC34" s="141">
        <f>IF($ET34=2,3*$FV34&amp;" de vida temp.",IF($ET34=3,"sem dano",IF($FV34=0,IF($ET34=1,"sem cura","sem dano"),IF($ET34=1,"cura ","")&amp;$FV34&amp;"d8")))</f>
        <v/>
      </c>
      <c r="GD34" s="141">
        <f>IF($ET34=2,3*$FW34&amp;" de vida temp.",IF($ET34=3,"sem dano",IF($FW34=0,IF($ET34=1,"sem cura","sem dano"),IF($ET34=1,"cura ","")&amp;$FW34&amp;"d8")))</f>
        <v/>
      </c>
      <c r="GE34" s="141">
        <f>IF($ET34=2,3*$FX34&amp;" de vida temp.",IF($ET34=3,"sem dano",IF($FX34=0,IF($ET34=1,"sem cura","sem dano"),IF($ET34=1,"cura ","")&amp;$FX34&amp;"d8")))</f>
        <v/>
      </c>
      <c r="GF34" s="141">
        <f>IF($EF34=0,"",TEXTJOIN(" · ",TRUE,IF(AND($DU34=1,$DV34&gt;$HE$9),"O nível "&amp;$HE$2&amp;" dá "&amp;$HE$9&amp;" Liberação Máxima",""),IF($DW34&gt;$HE$4,"Classe "&amp;$DW34&amp;": o nível "&amp;$HE$2&amp;" libera até a "&amp;$HE$4,""),IF($EM34=1,"Família Fechada: a Forma "&amp;$DY34,""),IF($EN34=1,"Família Fechada: "&amp;$DZ34,""),IF($EO34=1,"Família Fechada: "&amp;$EA34,""),IF($EP34=1,"Família Fechada: "&amp;$EB34,""),IF($EQ34=1,"Família Fechada: "&amp;$EC34,""),IF($FH34&gt;INDEX($W$2:$W$8,$DW34),$FH34&amp;" Melhorias: a Classe "&amp;$DW34&amp;" aceita "&amp;INDEX($W$2:$W$8,$DW34),""),IF($FI34&gt;2,$FI34&amp;" Restrições"&amp;IF($ES34=1,", contando a que a Forma "&amp;$DY34&amp;" já traz","")&amp;": o limite é 2",""),IF($FO34&lt;0,"Orçamento estourado: faltam "&amp;(-$FO34)&amp;IF($FO34&lt;-1," pontos"," ponto"),""),IF(IFERROR(VLOOKUP($ED34,$BL$2:$BP$24,4,FALSE),0)+IFERROR(VLOOKUP($EE34,$BL$2:$BP$24,4,FALSE),0)&gt;1,$EX34&amp;" e "&amp;$EY34&amp;" são as duas de frequência",""),IF(AND((COUNTIF($DZ34:$EC34,"Rápido")+COUNTIF($EX34:$EY34,"Rápido"))&gt;0,(COUNTIF($DZ34:$EC34,"Reação")+COUNTIF($EX34:$EY34,"Reação"))&gt;0),"Rápido não entra com Reação",""),IF(AND((COUNTIF($DZ34:$EC34,"Rápido")+COUNTIF($EX34:$EY34,"Rápido"))&gt;0,(COUNTIF($DZ34:$EC34,"Atrasar")+COUNTIF($EX34:$EY34,"Atrasar"))&gt;0),"Rápido não entra com Atrasar",""),IF(AND((COUNTIF($DZ34:$EC34,"Reação")+COUNTIF($EX34:$EY34,"Reação"))&gt;0,(COUNTIF($DZ34:$EC34,"Atrasar")+COUNTIF($EX34:$EY34,"Atrasar"))&gt;0),"Reação não entra com Atrasar",""),IF(AND((COUNTIF($DZ34:$EC34,"Reação")+COUNTIF($EX34:$EY34,"Reação"))&gt;0,(COUNTIF($DZ34:$EC34,"Parado")+COUNTIF($EX34:$EY34,"Parado"))&gt;0),"Reação não entra com Parado",""),IF(AND(COUNTIF($EX34:$EY34,"Corpo a Corpo")&gt;0,$ES34=0,OR($DY34="Cone",$DY34="Linha")),"Corpo a Corpo não entra em "&amp;$DY34,""),IF(AND(COUNTIF($EX34:$EY34,"Corpo a Corpo")&gt;0,$ES34=1),"A Forma "&amp;$DY34&amp;" já traz o Corpo a Corpo",""),IF(AND(COUNTIF($EX34:$EY34,"Tudo ou Nada")&gt;0,$EU34=0),"Tudo ou Nada só entra em feitiço de Teste de Resistência",""),IF(AND(COUNTIF($DZ34:$EC34,"Inescapável")&gt;0,OR($FH34&gt;1,$FI34&gt;0)),"Inescapável não aceita outra peça",""),IF(AND($DU34=1,$DW34&lt;3),"Liberação Máxima é de Classe 3 ou mais",""),IF(AND($DU34=1,OR($ET34=1,$ET34=2)),"Liberação Máxima não serve para cura",""),IF(AND($DU34=1,COUNTIF($DZ34:$EC34,"Inescapável")+COUNTIF($DZ34:$EC34,"Toca a Alma")&gt;0),"Esta peça não entra numa Liberação Máxima",""),IF($FP34+$FQ34&gt;4*$DW34,($FP34+$FQ34)&amp;" dados somando alvos e repetições: o teto da Classe "&amp;$DW34&amp;" é "&amp;4*$DW34,"")))</f>
        <v/>
      </c>
      <c r="GG34" s="141">
        <f>IF($GF34="",0,(LEN($GF34)-LEN(SUBSTITUTE($GF34," · ","")))/3+1)</f>
        <v/>
      </c>
      <c r="GH34" s="141">
        <f>IF($EF34=0,"",TEXTJOIN(" · ",TRUE,IF($FK34&gt;2*$DW34,"A devolução parou no teto de "&amp;2*$DW34,""),IF($FN34&gt;0,"Devolução perdida: "&amp;$FN34&amp;IF($FN34&gt;1," pontos"," ponto")&amp;" sem peça para pagar",""),IF(AND($ER34&gt;0,$FP34=0),"Controle sem dano: uma rodada a mais e CD +2",""),IF(AND($ER34&gt;0,$FP34&gt;0,$FP34&lt;=$DW34),"Controle com um quarto do teto: uma rodada a mais","")))</f>
        <v/>
      </c>
      <c r="GI34" s="141">
        <f>IF($GH34="",0,(LEN($GH34)-LEN(SUBSTITUTE($GH34," · ","")))/3+1)</f>
        <v/>
      </c>
      <c r="GJ34" s="141">
        <f>IF($EF34=0,IF($FH34+$FI34-$ES34&gt;0,"Dê um nome",""),IF($GG34&gt;0,"⚠ "&amp;$GG34&amp;IF($GG34&gt;1," erros"," erro"),IF($GI34&gt;0,"! "&amp;$GI34&amp;IF($GI34&gt;1," avisos"," aviso"),"Na regra")))</f>
        <v/>
      </c>
      <c r="GK34" s="141">
        <f>IF($EF34=0,"",IF($GG34+$GI34=0,"Dentro das regras que a ficha confere",$GF34&amp;IF(AND($GG34&gt;0,$GI34&gt;0)," · ","")&amp;$GH34))</f>
        <v/>
      </c>
      <c r="GL34" s="141">
        <f>IF($EF34=0,"",IF($DU34=1,CEILING(4.5*$DW34,1),3*$DW34)&amp;" PE")</f>
        <v/>
      </c>
      <c r="GM34" s="141">
        <f>IF($EF34=0,"",IF($DU34=1,"Rodada inteira",IF(COUNTIF($EX34:$EY34,"Atrasar")&gt;0,IF(COUNTIF($EX34:$EY34,"Carregar")&gt;0,"Rodada +1 turno","Rodada inteira"),IF(COUNTIF($DZ34:$EC34,"Rápido")&gt;0,"Bônus",IF(COUNTIF($DZ34:$EC34,"Reação")&gt;0,"Reação","Padrão"))&amp;IF(COUNTIF($EX34:$EY34,"Carregar")&gt;0," +1 turno",""))))</f>
        <v/>
      </c>
      <c r="GN34" s="141">
        <f>IF(OR($EF34=0,$EG34=0),"",IF(COUNTIF($DZ34:$EC34,"Inescapável")&gt;0,"Automático",IF(COUNTIF($DZ34:$EC34,"Certeiro")&gt;0,"TR para metade",INDEX($AF$2:$AF$11,$EG34))))</f>
        <v/>
      </c>
      <c r="GO34" s="141">
        <f>IF(OR($EF34=0,$EG34=0),"",IF(OR($ET34&gt;=2,$FP34=0),UPPER(LEFT(INDEX($FY34:$GE34,1,$DW34),1))&amp;MID(INDEX($FY34:$GE34,1,$DW34),2,99),UPPER(LEFT(INDEX($FY34:$GE34,1,$DW34),1))&amp;MID(INDEX($FY34:$GE34,1,$DW34),2,99)&amp;" = "&amp;FLOOR($FP34*4.5,1)&amp;IF($FQ34&gt;0," · +"&amp;$FQ34&amp;"d8","")))</f>
        <v/>
      </c>
      <c r="GP34" s="141">
        <f>COUNTIF($DZ34:$EC34,"Longe")+3*COUNTIF($DZ34:$EC34,"Muito Longe")</f>
        <v/>
      </c>
      <c r="GQ34" s="141">
        <f>COUNTIF($DZ34:$EC34,"Maior")+3*COUNTIF($DZ34:$EC34,"Muito Maior")</f>
        <v/>
      </c>
      <c r="GR34" s="141">
        <f>IF($EG34=0,0,CHOOSE(1+INDEX($AH$2:$AH$11,$EG34),0,$GP34,$GQ34,$GP34+$GQ34))</f>
        <v/>
      </c>
      <c r="GS34" s="141">
        <f>IF($EG34=0,0,CHOOSE(1+INDEX($AI$2:$AI$11,$EG34),0,$GP34,$GQ34,$GP34+$GQ34))</f>
        <v/>
      </c>
      <c r="GT34" s="141">
        <f>IF(OR($EF34=0,$EG34=0),"",INDEX($AP$2:$AU$31,($EG34-1)*3+IF($DW34&gt;=6,3,2),1+MIN(5,$GR34))&amp;INDEX($AV$2:$BA$31,($EG34-1)*3+IF($DW34&gt;=6,3,2),1+MIN(5,$GS34))&amp;IF(INDEX($AJ$2:$AJ$11,$EG34)=1,IF(COUNTIF($DZ34:$EC34,"Mais Um")&gt;0," · +"&amp;COUNTIF($DZ34:$EC34,"Mais Um")&amp;IF(COUNTIF($DZ34:$EC34,"Mais Um")&gt;1," alvos"," alvo"),"")&amp;IF(COUNTIF($DZ34:$EC34,"Rajada")&gt;0," · "&amp;($DW34+1)&amp;" tiros",""),""))</f>
        <v/>
      </c>
      <c r="GU34" s="141">
        <f>IF($EF34=0,"",3*$DW34&amp;" − "&amp;$FJ34&amp;" + "&amp;$FM34&amp;IF($DU34=1," + "&amp;$DW34,"")&amp;" = "&amp;$FP34&amp;"d8 · teto "&amp;4*$DW34&amp;IF($ES34=1," · a Forma devolve "&amp;$DW34,"")&amp;IF($FN34&gt;0," · perde "&amp;$FN34,""))</f>
        <v/>
      </c>
      <c r="GV34" s="141">
        <f>IF($EF34=0,"",IF($DW34&gt;=$HE$4,"Já está na maior Classe que o nível liberou",TEXTJOIN(" · ",TRUE,IF(AND(2&gt;$DW34,2&lt;=$HE$4),"2 → "&amp;$FZ34&amp;", "&amp;IF($DU34=1,9,6)&amp;" PE",""),IF(AND(3&gt;$DW34,3&lt;=$HE$4),"3 → "&amp;$GA34&amp;", "&amp;IF($DU34=1,14,9)&amp;" PE",""),IF(AND(4&gt;$DW34,4&lt;=$HE$4),"4 → "&amp;$GB34&amp;", "&amp;IF($DU34=1,18,12)&amp;" PE",""),IF(AND(5&gt;$DW34,5&lt;=$HE$4),"5 → "&amp;$GC34&amp;", "&amp;IF($DU34=1,23,15)&amp;" PE",""),IF(AND(6&gt;$DW34,6&lt;=$HE$4),"6 → "&amp;$GD34&amp;", "&amp;IF($DU34=1,27,18)&amp;" PE",""),IF(AND(7&gt;$DW34,7&lt;=$HE$4),"7 → "&amp;$GE34&amp;", "&amp;IF($DU34=1,32,21)&amp;" PE",""))))</f>
        <v/>
      </c>
      <c r="GW34" s="141">
        <f>IF(OR($EF34=0,$EI34=0),"","−"&amp;INDEX($Q$2:$V$8,$DW34,$EI34)&amp;" · "&amp;CHOOSE($EI34,"Leve","Média","Pesada","Leve · Livre","Média · Livre","Pesada · Livre"))</f>
        <v/>
      </c>
      <c r="GX34" s="141">
        <f>IF(OR($EF34=0,$EJ34=0),"","−"&amp;INDEX($Q$2:$V$8,$DW34,$EJ34)&amp;" · "&amp;CHOOSE($EJ34,"Leve","Média","Pesada","Leve · Livre","Média · Livre","Pesada · Livre"))</f>
        <v/>
      </c>
      <c r="GY34" s="141">
        <f>IF(OR($EF34=0,$EK34=0),"","−"&amp;INDEX($Q$2:$V$8,$DW34,$EK34)&amp;" · "&amp;CHOOSE($EK34,"Leve","Média","Pesada","Leve · Livre","Média · Livre","Pesada · Livre"))</f>
        <v/>
      </c>
      <c r="GZ34" s="141">
        <f>IF(OR($EF34=0,$EL34=0),"","−"&amp;INDEX($Q$2:$V$8,$DW34,$EL34)&amp;" · "&amp;CHOOSE($EL34,"Leve","Média","Pesada","Leve · Livre","Média · Livre","Pesada · Livre"))</f>
        <v/>
      </c>
      <c r="HA34" s="141">
        <f>IF(OR($EF34=0,$ED34=""),"","+"&amp;IF($EV34=1,CEILING($DW34/2,1),$DW34))</f>
        <v/>
      </c>
      <c r="HB34" s="141">
        <f>IF(OR($EF34=0,$EE34=""),"","+"&amp;IF($EW34=1,CEILING($DW34/2,1),$DW34))</f>
        <v/>
      </c>
      <c r="HD34" s="114" t="inlineStr">
        <is>
          <t>degrau do domínio</t>
        </is>
      </c>
      <c r="HE34" s="141">
        <f>'FICHA AMALDIÇOADA'!$D$357&amp;""</f>
        <v/>
      </c>
      <c r="IJ34" s="114" t="inlineStr">
        <is>
          <t>D316</t>
        </is>
      </c>
      <c r="IK34" s="141">
        <f>UPPER(INDEX(DADOS_AM!$D$4:$G$4,1,DADOS_AM!$A$2))</f>
        <v/>
      </c>
    </row>
    <row r="35">
      <c r="BC35" s="114" t="inlineStr">
        <is>
          <t>Firmeza</t>
        </is>
      </c>
      <c r="BD35" s="114" t="inlineStr">
        <is>
          <t>Auxiliares</t>
        </is>
      </c>
      <c r="BE35" s="141" t="n">
        <v>2</v>
      </c>
      <c r="BF35" s="141">
        <f>$BE35+3*IFERROR(VLOOKUP($BD35,$I$2:$L$10,3,FALSE),0)</f>
        <v/>
      </c>
      <c r="BG35" s="141">
        <f>IFERROR(VLOOKUP($BD35,$I$2:$L$10,4,FALSE),0)</f>
        <v/>
      </c>
      <c r="BH35" s="141" t="n">
        <v>0</v>
      </c>
      <c r="BI35" s="141">
        <f>IF($BG35=1,"",$BC35)</f>
        <v/>
      </c>
      <c r="BJ35" s="141">
        <f>IF(AND($BE35=1,$BG35=0),$BC35,"")</f>
        <v/>
      </c>
      <c r="DT35" s="114" t="inlineStr">
        <is>
          <t>Feitiço 34</t>
        </is>
      </c>
      <c r="DU35" s="141" t="n">
        <v>0</v>
      </c>
      <c r="DV35" s="141" t="n">
        <v>34</v>
      </c>
      <c r="DW35" s="141">
        <f>MAX(1,MIN(7,N('FICHA AMALDIÇOADA'!$D$286)))</f>
        <v/>
      </c>
      <c r="DX35" s="141">
        <f>'FICHA AMALDIÇOADA'!$E$286&amp;""</f>
        <v/>
      </c>
      <c r="DY35" s="141">
        <f>'FICHA AMALDIÇOADA'!$D$293&amp;""</f>
        <v/>
      </c>
      <c r="DZ35" s="141">
        <f>'FICHA AMALDIÇOADA'!$E$295&amp;""</f>
        <v/>
      </c>
      <c r="EA35" s="141">
        <f>'FICHA AMALDIÇOADA'!$E$296&amp;""</f>
        <v/>
      </c>
      <c r="EB35" s="141">
        <f>'FICHA AMALDIÇOADA'!$E$297&amp;""</f>
        <v/>
      </c>
      <c r="EC35" s="141">
        <f>'FICHA AMALDIÇOADA'!$E$298&amp;""</f>
        <v/>
      </c>
      <c r="ED35" s="141">
        <f>'FICHA AMALDIÇOADA'!$E$299&amp;""</f>
        <v/>
      </c>
      <c r="EE35" s="141">
        <f>'FICHA AMALDIÇOADA'!$E$300&amp;""</f>
        <v/>
      </c>
      <c r="EF35" s="141">
        <f>IF($DX35&lt;&gt;"",1,0)</f>
        <v/>
      </c>
      <c r="EG35" s="141">
        <f>IFERROR(MATCH($DY35,$Y$2:$Y$11,0),0)</f>
        <v/>
      </c>
      <c r="EH35" s="141">
        <f>IF($EG35=0,0,INDEX($AB$2:$AB$11,$EG35))</f>
        <v/>
      </c>
      <c r="EI35" s="141">
        <f>IFERROR(VLOOKUP($DZ35,$BC$2:$BJ$84,4,FALSE),0)</f>
        <v/>
      </c>
      <c r="EJ35" s="141">
        <f>IFERROR(VLOOKUP($EA35,$BC$2:$BJ$84,4,FALSE),0)</f>
        <v/>
      </c>
      <c r="EK35" s="141">
        <f>IFERROR(VLOOKUP($EB35,$BC$2:$BJ$84,4,FALSE),0)</f>
        <v/>
      </c>
      <c r="EL35" s="141">
        <f>IFERROR(VLOOKUP($EC35,$BC$2:$BJ$84,4,FALSE),0)</f>
        <v/>
      </c>
      <c r="EM35" s="141">
        <f>IF($EG35=0,0,INDEX($AC$2:$AC$11,$EG35))</f>
        <v/>
      </c>
      <c r="EN35" s="141">
        <f>IFERROR(VLOOKUP($DZ35,$BC$2:$BJ$84,5,FALSE),0)</f>
        <v/>
      </c>
      <c r="EO35" s="141">
        <f>IFERROR(VLOOKUP($EA35,$BC$2:$BJ$84,5,FALSE),0)</f>
        <v/>
      </c>
      <c r="EP35" s="141">
        <f>IFERROR(VLOOKUP($EB35,$BC$2:$BJ$84,5,FALSE),0)</f>
        <v/>
      </c>
      <c r="EQ35" s="141">
        <f>IFERROR(VLOOKUP($EC35,$BC$2:$BJ$84,5,FALSE),0)</f>
        <v/>
      </c>
      <c r="ER35" s="141">
        <f>IFERROR(VLOOKUP($DZ35,$BC$2:$BJ$84,6,FALSE),0)+IFERROR(VLOOKUP($EA35,$BC$2:$BJ$84,6,FALSE),0)+IFERROR(VLOOKUP($EB35,$BC$2:$BJ$84,6,FALSE),0)+IFERROR(VLOOKUP($EC35,$BC$2:$BJ$84,6,FALSE),0)</f>
        <v/>
      </c>
      <c r="ES35" s="141">
        <f>IF($EG35=0,0,INDEX($AD$2:$AD$11,$EG35))</f>
        <v/>
      </c>
      <c r="ET35" s="141">
        <f>IF($EG35=0,0,INDEX($AE$2:$AE$11,$EG35))</f>
        <v/>
      </c>
      <c r="EU35" s="141">
        <f>IF($EG35=0,0,INDEX($AG$2:$AG$11,$EG35))</f>
        <v/>
      </c>
      <c r="EV35" s="141">
        <f>IFERROR(VLOOKUP($ED35,$BL$2:$BP$24,3,FALSE),0)</f>
        <v/>
      </c>
      <c r="EW35" s="141">
        <f>IFERROR(VLOOKUP($EE35,$BL$2:$BP$24,3,FALSE),0)</f>
        <v/>
      </c>
      <c r="EX35" s="141">
        <f>IFERROR(VLOOKUP($ED35,$BL$2:$BP$24,2,FALSE),"")</f>
        <v/>
      </c>
      <c r="EY35" s="141">
        <f>IFERROR(VLOOKUP($EE35,$BL$2:$BP$24,2,FALSE),"")</f>
        <v/>
      </c>
      <c r="EZ35" s="141">
        <f>COUNTIF($EH35:$EL35,1)</f>
        <v/>
      </c>
      <c r="FA35" s="141">
        <f>COUNTIF($EH35:$EL35,2)</f>
        <v/>
      </c>
      <c r="FB35" s="141">
        <f>COUNTIF($EH35:$EL35,3)</f>
        <v/>
      </c>
      <c r="FC35" s="141">
        <f>COUNTIF($EH35:$EL35,4)</f>
        <v/>
      </c>
      <c r="FD35" s="141">
        <f>COUNTIF($EH35:$EL35,5)</f>
        <v/>
      </c>
      <c r="FE35" s="141">
        <f>COUNTIF($EH35:$EL35,6)</f>
        <v/>
      </c>
      <c r="FF35" s="141">
        <f>COUNTIF($EV35:$EW35,1)</f>
        <v/>
      </c>
      <c r="FG35" s="141">
        <f>COUNTIF($EV35:$EW35,2)+$ES35</f>
        <v/>
      </c>
      <c r="FH35" s="141">
        <f>COUNTIF($DZ35:$EC35,"?*")</f>
        <v/>
      </c>
      <c r="FI35" s="141">
        <f>COUNTIF($ED35:$EE35,"?*")+$ES35</f>
        <v/>
      </c>
      <c r="FJ35" s="141">
        <f>SUMPRODUCT($EZ35:$FE35,INDEX($Q$2:$V$8,$DW35,0))</f>
        <v/>
      </c>
      <c r="FK35" s="141">
        <f>$FF35*CEILING($DW35/2,1)+$FG35*$DW35</f>
        <v/>
      </c>
      <c r="FL35" s="141">
        <f>MIN(2*$DW35,$FK35)</f>
        <v/>
      </c>
      <c r="FM35" s="141">
        <f>MIN($FL35,$FJ35)</f>
        <v/>
      </c>
      <c r="FN35" s="141">
        <f>$FL35-$FM35</f>
        <v/>
      </c>
      <c r="FO35" s="141">
        <f>3*$DW35-$FJ35+$FM35</f>
        <v/>
      </c>
      <c r="FP35" s="141">
        <f>MAX(0,$FO35)+$DU35*$DW35</f>
        <v/>
      </c>
      <c r="FQ35" s="141">
        <f>(IF(COUNTIF($DZ35:$EC35,"Salto")&gt;0,1,0)+IF(COUNTIF($DZ35:$EC35,"Queima")&gt;0,1,0))*FLOOR($FP35/2,1)</f>
        <v/>
      </c>
      <c r="FR35" s="141">
        <f>MAX(0,3-SUMPRODUCT($EZ35:$FE35,$Q$2:$V$2)+MIN(2,$FF35*1+$FG35*1,SUMPRODUCT($EZ35:$FE35,$Q$2:$V$2)))+$DU35*1</f>
        <v/>
      </c>
      <c r="FS35" s="141">
        <f>MAX(0,6-SUMPRODUCT($EZ35:$FE35,$Q$3:$V$3)+MIN(4,$FF35*1+$FG35*2,SUMPRODUCT($EZ35:$FE35,$Q$3:$V$3)))+$DU35*2</f>
        <v/>
      </c>
      <c r="FT35" s="141">
        <f>MAX(0,9-SUMPRODUCT($EZ35:$FE35,$Q$4:$V$4)+MIN(6,$FF35*2+$FG35*3,SUMPRODUCT($EZ35:$FE35,$Q$4:$V$4)))+$DU35*3</f>
        <v/>
      </c>
      <c r="FU35" s="141">
        <f>MAX(0,12-SUMPRODUCT($EZ35:$FE35,$Q$5:$V$5)+MIN(8,$FF35*2+$FG35*4,SUMPRODUCT($EZ35:$FE35,$Q$5:$V$5)))+$DU35*4</f>
        <v/>
      </c>
      <c r="FV35" s="141">
        <f>MAX(0,15-SUMPRODUCT($EZ35:$FE35,$Q$6:$V$6)+MIN(10,$FF35*3+$FG35*5,SUMPRODUCT($EZ35:$FE35,$Q$6:$V$6)))+$DU35*5</f>
        <v/>
      </c>
      <c r="FW35" s="141">
        <f>MAX(0,18-SUMPRODUCT($EZ35:$FE35,$Q$7:$V$7)+MIN(12,$FF35*3+$FG35*6,SUMPRODUCT($EZ35:$FE35,$Q$7:$V$7)))+$DU35*6</f>
        <v/>
      </c>
      <c r="FX35" s="141">
        <f>MAX(0,21-SUMPRODUCT($EZ35:$FE35,$Q$8:$V$8)+MIN(14,$FF35*4+$FG35*7,SUMPRODUCT($EZ35:$FE35,$Q$8:$V$8)))+$DU35*7</f>
        <v/>
      </c>
      <c r="FY35" s="141">
        <f>IF($ET35=2,3*$FR35&amp;" de vida temp.",IF($ET35=3,"sem dano",IF($FR35=0,IF($ET35=1,"sem cura","sem dano"),IF($ET35=1,"cura ","")&amp;$FR35&amp;"d8")))</f>
        <v/>
      </c>
      <c r="FZ35" s="141">
        <f>IF($ET35=2,3*$FS35&amp;" de vida temp.",IF($ET35=3,"sem dano",IF($FS35=0,IF($ET35=1,"sem cura","sem dano"),IF($ET35=1,"cura ","")&amp;$FS35&amp;"d8")))</f>
        <v/>
      </c>
      <c r="GA35" s="141">
        <f>IF($ET35=2,3*$FT35&amp;" de vida temp.",IF($ET35=3,"sem dano",IF($FT35=0,IF($ET35=1,"sem cura","sem dano"),IF($ET35=1,"cura ","")&amp;$FT35&amp;"d8")))</f>
        <v/>
      </c>
      <c r="GB35" s="141">
        <f>IF($ET35=2,3*$FU35&amp;" de vida temp.",IF($ET35=3,"sem dano",IF($FU35=0,IF($ET35=1,"sem cura","sem dano"),IF($ET35=1,"cura ","")&amp;$FU35&amp;"d8")))</f>
        <v/>
      </c>
      <c r="GC35" s="141">
        <f>IF($ET35=2,3*$FV35&amp;" de vida temp.",IF($ET35=3,"sem dano",IF($FV35=0,IF($ET35=1,"sem cura","sem dano"),IF($ET35=1,"cura ","")&amp;$FV35&amp;"d8")))</f>
        <v/>
      </c>
      <c r="GD35" s="141">
        <f>IF($ET35=2,3*$FW35&amp;" de vida temp.",IF($ET35=3,"sem dano",IF($FW35=0,IF($ET35=1,"sem cura","sem dano"),IF($ET35=1,"cura ","")&amp;$FW35&amp;"d8")))</f>
        <v/>
      </c>
      <c r="GE35" s="141">
        <f>IF($ET35=2,3*$FX35&amp;" de vida temp.",IF($ET35=3,"sem dano",IF($FX35=0,IF($ET35=1,"sem cura","sem dano"),IF($ET35=1,"cura ","")&amp;$FX35&amp;"d8")))</f>
        <v/>
      </c>
      <c r="GF35" s="141">
        <f>IF($EF35=0,"",TEXTJOIN(" · ",TRUE,IF(AND($DU35=1,$DV35&gt;$HE$9),"O nível "&amp;$HE$2&amp;" dá "&amp;$HE$9&amp;" Liberação Máxima",""),IF($DW35&gt;$HE$4,"Classe "&amp;$DW35&amp;": o nível "&amp;$HE$2&amp;" libera até a "&amp;$HE$4,""),IF($EM35=1,"Família Fechada: a Forma "&amp;$DY35,""),IF($EN35=1,"Família Fechada: "&amp;$DZ35,""),IF($EO35=1,"Família Fechada: "&amp;$EA35,""),IF($EP35=1,"Família Fechada: "&amp;$EB35,""),IF($EQ35=1,"Família Fechada: "&amp;$EC35,""),IF($FH35&gt;INDEX($W$2:$W$8,$DW35),$FH35&amp;" Melhorias: a Classe "&amp;$DW35&amp;" aceita "&amp;INDEX($W$2:$W$8,$DW35),""),IF($FI35&gt;2,$FI35&amp;" Restrições"&amp;IF($ES35=1,", contando a que a Forma "&amp;$DY35&amp;" já traz","")&amp;": o limite é 2",""),IF($FO35&lt;0,"Orçamento estourado: faltam "&amp;(-$FO35)&amp;IF($FO35&lt;-1," pontos"," ponto"),""),IF(IFERROR(VLOOKUP($ED35,$BL$2:$BP$24,4,FALSE),0)+IFERROR(VLOOKUP($EE35,$BL$2:$BP$24,4,FALSE),0)&gt;1,$EX35&amp;" e "&amp;$EY35&amp;" são as duas de frequência",""),IF(AND((COUNTIF($DZ35:$EC35,"Rápido")+COUNTIF($EX35:$EY35,"Rápido"))&gt;0,(COUNTIF($DZ35:$EC35,"Reação")+COUNTIF($EX35:$EY35,"Reação"))&gt;0),"Rápido não entra com Reação",""),IF(AND((COUNTIF($DZ35:$EC35,"Rápido")+COUNTIF($EX35:$EY35,"Rápido"))&gt;0,(COUNTIF($DZ35:$EC35,"Atrasar")+COUNTIF($EX35:$EY35,"Atrasar"))&gt;0),"Rápido não entra com Atrasar",""),IF(AND((COUNTIF($DZ35:$EC35,"Reação")+COUNTIF($EX35:$EY35,"Reação"))&gt;0,(COUNTIF($DZ35:$EC35,"Atrasar")+COUNTIF($EX35:$EY35,"Atrasar"))&gt;0),"Reação não entra com Atrasar",""),IF(AND((COUNTIF($DZ35:$EC35,"Reação")+COUNTIF($EX35:$EY35,"Reação"))&gt;0,(COUNTIF($DZ35:$EC35,"Parado")+COUNTIF($EX35:$EY35,"Parado"))&gt;0),"Reação não entra com Parado",""),IF(AND(COUNTIF($EX35:$EY35,"Corpo a Corpo")&gt;0,$ES35=0,OR($DY35="Cone",$DY35="Linha")),"Corpo a Corpo não entra em "&amp;$DY35,""),IF(AND(COUNTIF($EX35:$EY35,"Corpo a Corpo")&gt;0,$ES35=1),"A Forma "&amp;$DY35&amp;" já traz o Corpo a Corpo",""),IF(AND(COUNTIF($EX35:$EY35,"Tudo ou Nada")&gt;0,$EU35=0),"Tudo ou Nada só entra em feitiço de Teste de Resistência",""),IF(AND(COUNTIF($DZ35:$EC35,"Inescapável")&gt;0,OR($FH35&gt;1,$FI35&gt;0)),"Inescapável não aceita outra peça",""),IF(AND($DU35=1,$DW35&lt;3),"Liberação Máxima é de Classe 3 ou mais",""),IF(AND($DU35=1,OR($ET35=1,$ET35=2)),"Liberação Máxima não serve para cura",""),IF(AND($DU35=1,COUNTIF($DZ35:$EC35,"Inescapável")+COUNTIF($DZ35:$EC35,"Toca a Alma")&gt;0),"Esta peça não entra numa Liberação Máxima",""),IF($FP35+$FQ35&gt;4*$DW35,($FP35+$FQ35)&amp;" dados somando alvos e repetições: o teto da Classe "&amp;$DW35&amp;" é "&amp;4*$DW35,"")))</f>
        <v/>
      </c>
      <c r="GG35" s="141">
        <f>IF($GF35="",0,(LEN($GF35)-LEN(SUBSTITUTE($GF35," · ","")))/3+1)</f>
        <v/>
      </c>
      <c r="GH35" s="141">
        <f>IF($EF35=0,"",TEXTJOIN(" · ",TRUE,IF($FK35&gt;2*$DW35,"A devolução parou no teto de "&amp;2*$DW35,""),IF($FN35&gt;0,"Devolução perdida: "&amp;$FN35&amp;IF($FN35&gt;1," pontos"," ponto")&amp;" sem peça para pagar",""),IF(AND($ER35&gt;0,$FP35=0),"Controle sem dano: uma rodada a mais e CD +2",""),IF(AND($ER35&gt;0,$FP35&gt;0,$FP35&lt;=$DW35),"Controle com um quarto do teto: uma rodada a mais","")))</f>
        <v/>
      </c>
      <c r="GI35" s="141">
        <f>IF($GH35="",0,(LEN($GH35)-LEN(SUBSTITUTE($GH35," · ","")))/3+1)</f>
        <v/>
      </c>
      <c r="GJ35" s="141">
        <f>IF($EF35=0,IF($FH35+$FI35-$ES35&gt;0,"Dê um nome",""),IF($GG35&gt;0,"⚠ "&amp;$GG35&amp;IF($GG35&gt;1," erros"," erro"),IF($GI35&gt;0,"! "&amp;$GI35&amp;IF($GI35&gt;1," avisos"," aviso"),"Na regra")))</f>
        <v/>
      </c>
      <c r="GK35" s="141">
        <f>IF($EF35=0,"",IF($GG35+$GI35=0,"Dentro das regras que a ficha confere",$GF35&amp;IF(AND($GG35&gt;0,$GI35&gt;0)," · ","")&amp;$GH35))</f>
        <v/>
      </c>
      <c r="GL35" s="141">
        <f>IF($EF35=0,"",IF($DU35=1,CEILING(4.5*$DW35,1),3*$DW35)&amp;" PE")</f>
        <v/>
      </c>
      <c r="GM35" s="141">
        <f>IF($EF35=0,"",IF($DU35=1,"Rodada inteira",IF(COUNTIF($EX35:$EY35,"Atrasar")&gt;0,IF(COUNTIF($EX35:$EY35,"Carregar")&gt;0,"Rodada +1 turno","Rodada inteira"),IF(COUNTIF($DZ35:$EC35,"Rápido")&gt;0,"Bônus",IF(COUNTIF($DZ35:$EC35,"Reação")&gt;0,"Reação","Padrão"))&amp;IF(COUNTIF($EX35:$EY35,"Carregar")&gt;0," +1 turno",""))))</f>
        <v/>
      </c>
      <c r="GN35" s="141">
        <f>IF(OR($EF35=0,$EG35=0),"",IF(COUNTIF($DZ35:$EC35,"Inescapável")&gt;0,"Automático",IF(COUNTIF($DZ35:$EC35,"Certeiro")&gt;0,"TR para metade",INDEX($AF$2:$AF$11,$EG35))))</f>
        <v/>
      </c>
      <c r="GO35" s="141">
        <f>IF(OR($EF35=0,$EG35=0),"",IF(OR($ET35&gt;=2,$FP35=0),UPPER(LEFT(INDEX($FY35:$GE35,1,$DW35),1))&amp;MID(INDEX($FY35:$GE35,1,$DW35),2,99),UPPER(LEFT(INDEX($FY35:$GE35,1,$DW35),1))&amp;MID(INDEX($FY35:$GE35,1,$DW35),2,99)&amp;" = "&amp;FLOOR($FP35*4.5,1)&amp;IF($FQ35&gt;0," · +"&amp;$FQ35&amp;"d8","")))</f>
        <v/>
      </c>
      <c r="GP35" s="141">
        <f>COUNTIF($DZ35:$EC35,"Longe")+3*COUNTIF($DZ35:$EC35,"Muito Longe")</f>
        <v/>
      </c>
      <c r="GQ35" s="141">
        <f>COUNTIF($DZ35:$EC35,"Maior")+3*COUNTIF($DZ35:$EC35,"Muito Maior")</f>
        <v/>
      </c>
      <c r="GR35" s="141">
        <f>IF($EG35=0,0,CHOOSE(1+INDEX($AH$2:$AH$11,$EG35),0,$GP35,$GQ35,$GP35+$GQ35))</f>
        <v/>
      </c>
      <c r="GS35" s="141">
        <f>IF($EG35=0,0,CHOOSE(1+INDEX($AI$2:$AI$11,$EG35),0,$GP35,$GQ35,$GP35+$GQ35))</f>
        <v/>
      </c>
      <c r="GT35" s="141">
        <f>IF(OR($EF35=0,$EG35=0),"",INDEX($AP$2:$AU$31,($EG35-1)*3+IF($DW35&gt;=6,3,2),1+MIN(5,$GR35))&amp;INDEX($AV$2:$BA$31,($EG35-1)*3+IF($DW35&gt;=6,3,2),1+MIN(5,$GS35))&amp;IF(INDEX($AJ$2:$AJ$11,$EG35)=1,IF(COUNTIF($DZ35:$EC35,"Mais Um")&gt;0," · +"&amp;COUNTIF($DZ35:$EC35,"Mais Um")&amp;IF(COUNTIF($DZ35:$EC35,"Mais Um")&gt;1," alvos"," alvo"),"")&amp;IF(COUNTIF($DZ35:$EC35,"Rajada")&gt;0," · "&amp;($DW35+1)&amp;" tiros",""),""))</f>
        <v/>
      </c>
      <c r="GU35" s="141">
        <f>IF($EF35=0,"",3*$DW35&amp;" − "&amp;$FJ35&amp;" + "&amp;$FM35&amp;IF($DU35=1," + "&amp;$DW35,"")&amp;" = "&amp;$FP35&amp;"d8 · teto "&amp;4*$DW35&amp;IF($ES35=1," · a Forma devolve "&amp;$DW35,"")&amp;IF($FN35&gt;0," · perde "&amp;$FN35,""))</f>
        <v/>
      </c>
      <c r="GV35" s="141">
        <f>IF($EF35=0,"",IF($DW35&gt;=$HE$4,"Já está na maior Classe que o nível liberou",TEXTJOIN(" · ",TRUE,IF(AND(2&gt;$DW35,2&lt;=$HE$4),"2 → "&amp;$FZ35&amp;", "&amp;IF($DU35=1,9,6)&amp;" PE",""),IF(AND(3&gt;$DW35,3&lt;=$HE$4),"3 → "&amp;$GA35&amp;", "&amp;IF($DU35=1,14,9)&amp;" PE",""),IF(AND(4&gt;$DW35,4&lt;=$HE$4),"4 → "&amp;$GB35&amp;", "&amp;IF($DU35=1,18,12)&amp;" PE",""),IF(AND(5&gt;$DW35,5&lt;=$HE$4),"5 → "&amp;$GC35&amp;", "&amp;IF($DU35=1,23,15)&amp;" PE",""),IF(AND(6&gt;$DW35,6&lt;=$HE$4),"6 → "&amp;$GD35&amp;", "&amp;IF($DU35=1,27,18)&amp;" PE",""),IF(AND(7&gt;$DW35,7&lt;=$HE$4),"7 → "&amp;$GE35&amp;", "&amp;IF($DU35=1,32,21)&amp;" PE",""))))</f>
        <v/>
      </c>
      <c r="GW35" s="141">
        <f>IF(OR($EF35=0,$EI35=0),"","−"&amp;INDEX($Q$2:$V$8,$DW35,$EI35)&amp;" · "&amp;CHOOSE($EI35,"Leve","Média","Pesada","Leve · Livre","Média · Livre","Pesada · Livre"))</f>
        <v/>
      </c>
      <c r="GX35" s="141">
        <f>IF(OR($EF35=0,$EJ35=0),"","−"&amp;INDEX($Q$2:$V$8,$DW35,$EJ35)&amp;" · "&amp;CHOOSE($EJ35,"Leve","Média","Pesada","Leve · Livre","Média · Livre","Pesada · Livre"))</f>
        <v/>
      </c>
      <c r="GY35" s="141">
        <f>IF(OR($EF35=0,$EK35=0),"","−"&amp;INDEX($Q$2:$V$8,$DW35,$EK35)&amp;" · "&amp;CHOOSE($EK35,"Leve","Média","Pesada","Leve · Livre","Média · Livre","Pesada · Livre"))</f>
        <v/>
      </c>
      <c r="GZ35" s="141">
        <f>IF(OR($EF35=0,$EL35=0),"","−"&amp;INDEX($Q$2:$V$8,$DW35,$EL35)&amp;" · "&amp;CHOOSE($EL35,"Leve","Média","Pesada","Leve · Livre","Média · Livre","Pesada · Livre"))</f>
        <v/>
      </c>
      <c r="HA35" s="141">
        <f>IF(OR($EF35=0,$ED35=""),"","+"&amp;IF($EV35=1,CEILING($DW35/2,1),$DW35))</f>
        <v/>
      </c>
      <c r="HB35" s="141">
        <f>IF(OR($EF35=0,$EE35=""),"","+"&amp;IF($EW35=1,CEILING($DW35/2,1),$DW35))</f>
        <v/>
      </c>
      <c r="HD35" s="114" t="inlineStr">
        <is>
          <t>dados da técnica máxima</t>
        </is>
      </c>
      <c r="HE35" s="141">
        <f>IFERROR(VLOOKUP($HE$2,$DE$2:$DG$4,2,TRUE),0)</f>
        <v/>
      </c>
      <c r="IJ35" s="114" t="inlineStr">
        <is>
          <t>D340</t>
        </is>
      </c>
      <c r="IK35" s="141">
        <f>UPPER(INDEX(DADOS_AM!$D$5:$G$5,1,DADOS_AM!$A$2))</f>
        <v/>
      </c>
    </row>
    <row r="36">
      <c r="BC36" s="114" t="inlineStr">
        <is>
          <t>Guarda</t>
        </is>
      </c>
      <c r="BD36" s="114" t="inlineStr">
        <is>
          <t>Auxiliares</t>
        </is>
      </c>
      <c r="BE36" s="141" t="n">
        <v>2</v>
      </c>
      <c r="BF36" s="141">
        <f>$BE36+3*IFERROR(VLOOKUP($BD36,$I$2:$L$10,3,FALSE),0)</f>
        <v/>
      </c>
      <c r="BG36" s="141">
        <f>IFERROR(VLOOKUP($BD36,$I$2:$L$10,4,FALSE),0)</f>
        <v/>
      </c>
      <c r="BH36" s="141" t="n">
        <v>0</v>
      </c>
      <c r="BI36" s="141">
        <f>IF($BG36=1,"",$BC36)</f>
        <v/>
      </c>
      <c r="BJ36" s="141">
        <f>IF(AND($BE36=1,$BG36=0),$BC36,"")</f>
        <v/>
      </c>
      <c r="DT36" s="114" t="inlineStr">
        <is>
          <t>Feitiço 35</t>
        </is>
      </c>
      <c r="DU36" s="141" t="n">
        <v>0</v>
      </c>
      <c r="DV36" s="141" t="n">
        <v>35</v>
      </c>
      <c r="DW36" s="141">
        <f>MAX(1,MIN(7,N('FICHA AMALDIÇOADA'!$J$286)))</f>
        <v/>
      </c>
      <c r="DX36" s="141">
        <f>'FICHA AMALDIÇOADA'!$K$286&amp;""</f>
        <v/>
      </c>
      <c r="DY36" s="141">
        <f>'FICHA AMALDIÇOADA'!$J$293&amp;""</f>
        <v/>
      </c>
      <c r="DZ36" s="141">
        <f>'FICHA AMALDIÇOADA'!$K$295&amp;""</f>
        <v/>
      </c>
      <c r="EA36" s="141">
        <f>'FICHA AMALDIÇOADA'!$K$296&amp;""</f>
        <v/>
      </c>
      <c r="EB36" s="141">
        <f>'FICHA AMALDIÇOADA'!$K$297&amp;""</f>
        <v/>
      </c>
      <c r="EC36" s="141">
        <f>'FICHA AMALDIÇOADA'!$K$298&amp;""</f>
        <v/>
      </c>
      <c r="ED36" s="141">
        <f>'FICHA AMALDIÇOADA'!$K$299&amp;""</f>
        <v/>
      </c>
      <c r="EE36" s="141">
        <f>'FICHA AMALDIÇOADA'!$K$300&amp;""</f>
        <v/>
      </c>
      <c r="EF36" s="141">
        <f>IF($DX36&lt;&gt;"",1,0)</f>
        <v/>
      </c>
      <c r="EG36" s="141">
        <f>IFERROR(MATCH($DY36,$Y$2:$Y$11,0),0)</f>
        <v/>
      </c>
      <c r="EH36" s="141">
        <f>IF($EG36=0,0,INDEX($AB$2:$AB$11,$EG36))</f>
        <v/>
      </c>
      <c r="EI36" s="141">
        <f>IFERROR(VLOOKUP($DZ36,$BC$2:$BJ$84,4,FALSE),0)</f>
        <v/>
      </c>
      <c r="EJ36" s="141">
        <f>IFERROR(VLOOKUP($EA36,$BC$2:$BJ$84,4,FALSE),0)</f>
        <v/>
      </c>
      <c r="EK36" s="141">
        <f>IFERROR(VLOOKUP($EB36,$BC$2:$BJ$84,4,FALSE),0)</f>
        <v/>
      </c>
      <c r="EL36" s="141">
        <f>IFERROR(VLOOKUP($EC36,$BC$2:$BJ$84,4,FALSE),0)</f>
        <v/>
      </c>
      <c r="EM36" s="141">
        <f>IF($EG36=0,0,INDEX($AC$2:$AC$11,$EG36))</f>
        <v/>
      </c>
      <c r="EN36" s="141">
        <f>IFERROR(VLOOKUP($DZ36,$BC$2:$BJ$84,5,FALSE),0)</f>
        <v/>
      </c>
      <c r="EO36" s="141">
        <f>IFERROR(VLOOKUP($EA36,$BC$2:$BJ$84,5,FALSE),0)</f>
        <v/>
      </c>
      <c r="EP36" s="141">
        <f>IFERROR(VLOOKUP($EB36,$BC$2:$BJ$84,5,FALSE),0)</f>
        <v/>
      </c>
      <c r="EQ36" s="141">
        <f>IFERROR(VLOOKUP($EC36,$BC$2:$BJ$84,5,FALSE),0)</f>
        <v/>
      </c>
      <c r="ER36" s="141">
        <f>IFERROR(VLOOKUP($DZ36,$BC$2:$BJ$84,6,FALSE),0)+IFERROR(VLOOKUP($EA36,$BC$2:$BJ$84,6,FALSE),0)+IFERROR(VLOOKUP($EB36,$BC$2:$BJ$84,6,FALSE),0)+IFERROR(VLOOKUP($EC36,$BC$2:$BJ$84,6,FALSE),0)</f>
        <v/>
      </c>
      <c r="ES36" s="141">
        <f>IF($EG36=0,0,INDEX($AD$2:$AD$11,$EG36))</f>
        <v/>
      </c>
      <c r="ET36" s="141">
        <f>IF($EG36=0,0,INDEX($AE$2:$AE$11,$EG36))</f>
        <v/>
      </c>
      <c r="EU36" s="141">
        <f>IF($EG36=0,0,INDEX($AG$2:$AG$11,$EG36))</f>
        <v/>
      </c>
      <c r="EV36" s="141">
        <f>IFERROR(VLOOKUP($ED36,$BL$2:$BP$24,3,FALSE),0)</f>
        <v/>
      </c>
      <c r="EW36" s="141">
        <f>IFERROR(VLOOKUP($EE36,$BL$2:$BP$24,3,FALSE),0)</f>
        <v/>
      </c>
      <c r="EX36" s="141">
        <f>IFERROR(VLOOKUP($ED36,$BL$2:$BP$24,2,FALSE),"")</f>
        <v/>
      </c>
      <c r="EY36" s="141">
        <f>IFERROR(VLOOKUP($EE36,$BL$2:$BP$24,2,FALSE),"")</f>
        <v/>
      </c>
      <c r="EZ36" s="141">
        <f>COUNTIF($EH36:$EL36,1)</f>
        <v/>
      </c>
      <c r="FA36" s="141">
        <f>COUNTIF($EH36:$EL36,2)</f>
        <v/>
      </c>
      <c r="FB36" s="141">
        <f>COUNTIF($EH36:$EL36,3)</f>
        <v/>
      </c>
      <c r="FC36" s="141">
        <f>COUNTIF($EH36:$EL36,4)</f>
        <v/>
      </c>
      <c r="FD36" s="141">
        <f>COUNTIF($EH36:$EL36,5)</f>
        <v/>
      </c>
      <c r="FE36" s="141">
        <f>COUNTIF($EH36:$EL36,6)</f>
        <v/>
      </c>
      <c r="FF36" s="141">
        <f>COUNTIF($EV36:$EW36,1)</f>
        <v/>
      </c>
      <c r="FG36" s="141">
        <f>COUNTIF($EV36:$EW36,2)+$ES36</f>
        <v/>
      </c>
      <c r="FH36" s="141">
        <f>COUNTIF($DZ36:$EC36,"?*")</f>
        <v/>
      </c>
      <c r="FI36" s="141">
        <f>COUNTIF($ED36:$EE36,"?*")+$ES36</f>
        <v/>
      </c>
      <c r="FJ36" s="141">
        <f>SUMPRODUCT($EZ36:$FE36,INDEX($Q$2:$V$8,$DW36,0))</f>
        <v/>
      </c>
      <c r="FK36" s="141">
        <f>$FF36*CEILING($DW36/2,1)+$FG36*$DW36</f>
        <v/>
      </c>
      <c r="FL36" s="141">
        <f>MIN(2*$DW36,$FK36)</f>
        <v/>
      </c>
      <c r="FM36" s="141">
        <f>MIN($FL36,$FJ36)</f>
        <v/>
      </c>
      <c r="FN36" s="141">
        <f>$FL36-$FM36</f>
        <v/>
      </c>
      <c r="FO36" s="141">
        <f>3*$DW36-$FJ36+$FM36</f>
        <v/>
      </c>
      <c r="FP36" s="141">
        <f>MAX(0,$FO36)+$DU36*$DW36</f>
        <v/>
      </c>
      <c r="FQ36" s="141">
        <f>(IF(COUNTIF($DZ36:$EC36,"Salto")&gt;0,1,0)+IF(COUNTIF($DZ36:$EC36,"Queima")&gt;0,1,0))*FLOOR($FP36/2,1)</f>
        <v/>
      </c>
      <c r="FR36" s="141">
        <f>MAX(0,3-SUMPRODUCT($EZ36:$FE36,$Q$2:$V$2)+MIN(2,$FF36*1+$FG36*1,SUMPRODUCT($EZ36:$FE36,$Q$2:$V$2)))+$DU36*1</f>
        <v/>
      </c>
      <c r="FS36" s="141">
        <f>MAX(0,6-SUMPRODUCT($EZ36:$FE36,$Q$3:$V$3)+MIN(4,$FF36*1+$FG36*2,SUMPRODUCT($EZ36:$FE36,$Q$3:$V$3)))+$DU36*2</f>
        <v/>
      </c>
      <c r="FT36" s="141">
        <f>MAX(0,9-SUMPRODUCT($EZ36:$FE36,$Q$4:$V$4)+MIN(6,$FF36*2+$FG36*3,SUMPRODUCT($EZ36:$FE36,$Q$4:$V$4)))+$DU36*3</f>
        <v/>
      </c>
      <c r="FU36" s="141">
        <f>MAX(0,12-SUMPRODUCT($EZ36:$FE36,$Q$5:$V$5)+MIN(8,$FF36*2+$FG36*4,SUMPRODUCT($EZ36:$FE36,$Q$5:$V$5)))+$DU36*4</f>
        <v/>
      </c>
      <c r="FV36" s="141">
        <f>MAX(0,15-SUMPRODUCT($EZ36:$FE36,$Q$6:$V$6)+MIN(10,$FF36*3+$FG36*5,SUMPRODUCT($EZ36:$FE36,$Q$6:$V$6)))+$DU36*5</f>
        <v/>
      </c>
      <c r="FW36" s="141">
        <f>MAX(0,18-SUMPRODUCT($EZ36:$FE36,$Q$7:$V$7)+MIN(12,$FF36*3+$FG36*6,SUMPRODUCT($EZ36:$FE36,$Q$7:$V$7)))+$DU36*6</f>
        <v/>
      </c>
      <c r="FX36" s="141">
        <f>MAX(0,21-SUMPRODUCT($EZ36:$FE36,$Q$8:$V$8)+MIN(14,$FF36*4+$FG36*7,SUMPRODUCT($EZ36:$FE36,$Q$8:$V$8)))+$DU36*7</f>
        <v/>
      </c>
      <c r="FY36" s="141">
        <f>IF($ET36=2,3*$FR36&amp;" de vida temp.",IF($ET36=3,"sem dano",IF($FR36=0,IF($ET36=1,"sem cura","sem dano"),IF($ET36=1,"cura ","")&amp;$FR36&amp;"d8")))</f>
        <v/>
      </c>
      <c r="FZ36" s="141">
        <f>IF($ET36=2,3*$FS36&amp;" de vida temp.",IF($ET36=3,"sem dano",IF($FS36=0,IF($ET36=1,"sem cura","sem dano"),IF($ET36=1,"cura ","")&amp;$FS36&amp;"d8")))</f>
        <v/>
      </c>
      <c r="GA36" s="141">
        <f>IF($ET36=2,3*$FT36&amp;" de vida temp.",IF($ET36=3,"sem dano",IF($FT36=0,IF($ET36=1,"sem cura","sem dano"),IF($ET36=1,"cura ","")&amp;$FT36&amp;"d8")))</f>
        <v/>
      </c>
      <c r="GB36" s="141">
        <f>IF($ET36=2,3*$FU36&amp;" de vida temp.",IF($ET36=3,"sem dano",IF($FU36=0,IF($ET36=1,"sem cura","sem dano"),IF($ET36=1,"cura ","")&amp;$FU36&amp;"d8")))</f>
        <v/>
      </c>
      <c r="GC36" s="141">
        <f>IF($ET36=2,3*$FV36&amp;" de vida temp.",IF($ET36=3,"sem dano",IF($FV36=0,IF($ET36=1,"sem cura","sem dano"),IF($ET36=1,"cura ","")&amp;$FV36&amp;"d8")))</f>
        <v/>
      </c>
      <c r="GD36" s="141">
        <f>IF($ET36=2,3*$FW36&amp;" de vida temp.",IF($ET36=3,"sem dano",IF($FW36=0,IF($ET36=1,"sem cura","sem dano"),IF($ET36=1,"cura ","")&amp;$FW36&amp;"d8")))</f>
        <v/>
      </c>
      <c r="GE36" s="141">
        <f>IF($ET36=2,3*$FX36&amp;" de vida temp.",IF($ET36=3,"sem dano",IF($FX36=0,IF($ET36=1,"sem cura","sem dano"),IF($ET36=1,"cura ","")&amp;$FX36&amp;"d8")))</f>
        <v/>
      </c>
      <c r="GF36" s="141">
        <f>IF($EF36=0,"",TEXTJOIN(" · ",TRUE,IF(AND($DU36=1,$DV36&gt;$HE$9),"O nível "&amp;$HE$2&amp;" dá "&amp;$HE$9&amp;" Liberação Máxima",""),IF($DW36&gt;$HE$4,"Classe "&amp;$DW36&amp;": o nível "&amp;$HE$2&amp;" libera até a "&amp;$HE$4,""),IF($EM36=1,"Família Fechada: a Forma "&amp;$DY36,""),IF($EN36=1,"Família Fechada: "&amp;$DZ36,""),IF($EO36=1,"Família Fechada: "&amp;$EA36,""),IF($EP36=1,"Família Fechada: "&amp;$EB36,""),IF($EQ36=1,"Família Fechada: "&amp;$EC36,""),IF($FH36&gt;INDEX($W$2:$W$8,$DW36),$FH36&amp;" Melhorias: a Classe "&amp;$DW36&amp;" aceita "&amp;INDEX($W$2:$W$8,$DW36),""),IF($FI36&gt;2,$FI36&amp;" Restrições"&amp;IF($ES36=1,", contando a que a Forma "&amp;$DY36&amp;" já traz","")&amp;": o limite é 2",""),IF($FO36&lt;0,"Orçamento estourado: faltam "&amp;(-$FO36)&amp;IF($FO36&lt;-1," pontos"," ponto"),""),IF(IFERROR(VLOOKUP($ED36,$BL$2:$BP$24,4,FALSE),0)+IFERROR(VLOOKUP($EE36,$BL$2:$BP$24,4,FALSE),0)&gt;1,$EX36&amp;" e "&amp;$EY36&amp;" são as duas de frequência",""),IF(AND((COUNTIF($DZ36:$EC36,"Rápido")+COUNTIF($EX36:$EY36,"Rápido"))&gt;0,(COUNTIF($DZ36:$EC36,"Reação")+COUNTIF($EX36:$EY36,"Reação"))&gt;0),"Rápido não entra com Reação",""),IF(AND((COUNTIF($DZ36:$EC36,"Rápido")+COUNTIF($EX36:$EY36,"Rápido"))&gt;0,(COUNTIF($DZ36:$EC36,"Atrasar")+COUNTIF($EX36:$EY36,"Atrasar"))&gt;0),"Rápido não entra com Atrasar",""),IF(AND((COUNTIF($DZ36:$EC36,"Reação")+COUNTIF($EX36:$EY36,"Reação"))&gt;0,(COUNTIF($DZ36:$EC36,"Atrasar")+COUNTIF($EX36:$EY36,"Atrasar"))&gt;0),"Reação não entra com Atrasar",""),IF(AND((COUNTIF($DZ36:$EC36,"Reação")+COUNTIF($EX36:$EY36,"Reação"))&gt;0,(COUNTIF($DZ36:$EC36,"Parado")+COUNTIF($EX36:$EY36,"Parado"))&gt;0),"Reação não entra com Parado",""),IF(AND(COUNTIF($EX36:$EY36,"Corpo a Corpo")&gt;0,$ES36=0,OR($DY36="Cone",$DY36="Linha")),"Corpo a Corpo não entra em "&amp;$DY36,""),IF(AND(COUNTIF($EX36:$EY36,"Corpo a Corpo")&gt;0,$ES36=1),"A Forma "&amp;$DY36&amp;" já traz o Corpo a Corpo",""),IF(AND(COUNTIF($EX36:$EY36,"Tudo ou Nada")&gt;0,$EU36=0),"Tudo ou Nada só entra em feitiço de Teste de Resistência",""),IF(AND(COUNTIF($DZ36:$EC36,"Inescapável")&gt;0,OR($FH36&gt;1,$FI36&gt;0)),"Inescapável não aceita outra peça",""),IF(AND($DU36=1,$DW36&lt;3),"Liberação Máxima é de Classe 3 ou mais",""),IF(AND($DU36=1,OR($ET36=1,$ET36=2)),"Liberação Máxima não serve para cura",""),IF(AND($DU36=1,COUNTIF($DZ36:$EC36,"Inescapável")+COUNTIF($DZ36:$EC36,"Toca a Alma")&gt;0),"Esta peça não entra numa Liberação Máxima",""),IF($FP36+$FQ36&gt;4*$DW36,($FP36+$FQ36)&amp;" dados somando alvos e repetições: o teto da Classe "&amp;$DW36&amp;" é "&amp;4*$DW36,"")))</f>
        <v/>
      </c>
      <c r="GG36" s="141">
        <f>IF($GF36="",0,(LEN($GF36)-LEN(SUBSTITUTE($GF36," · ","")))/3+1)</f>
        <v/>
      </c>
      <c r="GH36" s="141">
        <f>IF($EF36=0,"",TEXTJOIN(" · ",TRUE,IF($FK36&gt;2*$DW36,"A devolução parou no teto de "&amp;2*$DW36,""),IF($FN36&gt;0,"Devolução perdida: "&amp;$FN36&amp;IF($FN36&gt;1," pontos"," ponto")&amp;" sem peça para pagar",""),IF(AND($ER36&gt;0,$FP36=0),"Controle sem dano: uma rodada a mais e CD +2",""),IF(AND($ER36&gt;0,$FP36&gt;0,$FP36&lt;=$DW36),"Controle com um quarto do teto: uma rodada a mais","")))</f>
        <v/>
      </c>
      <c r="GI36" s="141">
        <f>IF($GH36="",0,(LEN($GH36)-LEN(SUBSTITUTE($GH36," · ","")))/3+1)</f>
        <v/>
      </c>
      <c r="GJ36" s="141">
        <f>IF($EF36=0,IF($FH36+$FI36-$ES36&gt;0,"Dê um nome",""),IF($GG36&gt;0,"⚠ "&amp;$GG36&amp;IF($GG36&gt;1," erros"," erro"),IF($GI36&gt;0,"! "&amp;$GI36&amp;IF($GI36&gt;1," avisos"," aviso"),"Na regra")))</f>
        <v/>
      </c>
      <c r="GK36" s="141">
        <f>IF($EF36=0,"",IF($GG36+$GI36=0,"Dentro das regras que a ficha confere",$GF36&amp;IF(AND($GG36&gt;0,$GI36&gt;0)," · ","")&amp;$GH36))</f>
        <v/>
      </c>
      <c r="GL36" s="141">
        <f>IF($EF36=0,"",IF($DU36=1,CEILING(4.5*$DW36,1),3*$DW36)&amp;" PE")</f>
        <v/>
      </c>
      <c r="GM36" s="141">
        <f>IF($EF36=0,"",IF($DU36=1,"Rodada inteira",IF(COUNTIF($EX36:$EY36,"Atrasar")&gt;0,IF(COUNTIF($EX36:$EY36,"Carregar")&gt;0,"Rodada +1 turno","Rodada inteira"),IF(COUNTIF($DZ36:$EC36,"Rápido")&gt;0,"Bônus",IF(COUNTIF($DZ36:$EC36,"Reação")&gt;0,"Reação","Padrão"))&amp;IF(COUNTIF($EX36:$EY36,"Carregar")&gt;0," +1 turno",""))))</f>
        <v/>
      </c>
      <c r="GN36" s="141">
        <f>IF(OR($EF36=0,$EG36=0),"",IF(COUNTIF($DZ36:$EC36,"Inescapável")&gt;0,"Automático",IF(COUNTIF($DZ36:$EC36,"Certeiro")&gt;0,"TR para metade",INDEX($AF$2:$AF$11,$EG36))))</f>
        <v/>
      </c>
      <c r="GO36" s="141">
        <f>IF(OR($EF36=0,$EG36=0),"",IF(OR($ET36&gt;=2,$FP36=0),UPPER(LEFT(INDEX($FY36:$GE36,1,$DW36),1))&amp;MID(INDEX($FY36:$GE36,1,$DW36),2,99),UPPER(LEFT(INDEX($FY36:$GE36,1,$DW36),1))&amp;MID(INDEX($FY36:$GE36,1,$DW36),2,99)&amp;" = "&amp;FLOOR($FP36*4.5,1)&amp;IF($FQ36&gt;0," · +"&amp;$FQ36&amp;"d8","")))</f>
        <v/>
      </c>
      <c r="GP36" s="141">
        <f>COUNTIF($DZ36:$EC36,"Longe")+3*COUNTIF($DZ36:$EC36,"Muito Longe")</f>
        <v/>
      </c>
      <c r="GQ36" s="141">
        <f>COUNTIF($DZ36:$EC36,"Maior")+3*COUNTIF($DZ36:$EC36,"Muito Maior")</f>
        <v/>
      </c>
      <c r="GR36" s="141">
        <f>IF($EG36=0,0,CHOOSE(1+INDEX($AH$2:$AH$11,$EG36),0,$GP36,$GQ36,$GP36+$GQ36))</f>
        <v/>
      </c>
      <c r="GS36" s="141">
        <f>IF($EG36=0,0,CHOOSE(1+INDEX($AI$2:$AI$11,$EG36),0,$GP36,$GQ36,$GP36+$GQ36))</f>
        <v/>
      </c>
      <c r="GT36" s="141">
        <f>IF(OR($EF36=0,$EG36=0),"",INDEX($AP$2:$AU$31,($EG36-1)*3+IF($DW36&gt;=6,3,2),1+MIN(5,$GR36))&amp;INDEX($AV$2:$BA$31,($EG36-1)*3+IF($DW36&gt;=6,3,2),1+MIN(5,$GS36))&amp;IF(INDEX($AJ$2:$AJ$11,$EG36)=1,IF(COUNTIF($DZ36:$EC36,"Mais Um")&gt;0," · +"&amp;COUNTIF($DZ36:$EC36,"Mais Um")&amp;IF(COUNTIF($DZ36:$EC36,"Mais Um")&gt;1," alvos"," alvo"),"")&amp;IF(COUNTIF($DZ36:$EC36,"Rajada")&gt;0," · "&amp;($DW36+1)&amp;" tiros",""),""))</f>
        <v/>
      </c>
      <c r="GU36" s="141">
        <f>IF($EF36=0,"",3*$DW36&amp;" − "&amp;$FJ36&amp;" + "&amp;$FM36&amp;IF($DU36=1," + "&amp;$DW36,"")&amp;" = "&amp;$FP36&amp;"d8 · teto "&amp;4*$DW36&amp;IF($ES36=1," · a Forma devolve "&amp;$DW36,"")&amp;IF($FN36&gt;0," · perde "&amp;$FN36,""))</f>
        <v/>
      </c>
      <c r="GV36" s="141">
        <f>IF($EF36=0,"",IF($DW36&gt;=$HE$4,"Já está na maior Classe que o nível liberou",TEXTJOIN(" · ",TRUE,IF(AND(2&gt;$DW36,2&lt;=$HE$4),"2 → "&amp;$FZ36&amp;", "&amp;IF($DU36=1,9,6)&amp;" PE",""),IF(AND(3&gt;$DW36,3&lt;=$HE$4),"3 → "&amp;$GA36&amp;", "&amp;IF($DU36=1,14,9)&amp;" PE",""),IF(AND(4&gt;$DW36,4&lt;=$HE$4),"4 → "&amp;$GB36&amp;", "&amp;IF($DU36=1,18,12)&amp;" PE",""),IF(AND(5&gt;$DW36,5&lt;=$HE$4),"5 → "&amp;$GC36&amp;", "&amp;IF($DU36=1,23,15)&amp;" PE",""),IF(AND(6&gt;$DW36,6&lt;=$HE$4),"6 → "&amp;$GD36&amp;", "&amp;IF($DU36=1,27,18)&amp;" PE",""),IF(AND(7&gt;$DW36,7&lt;=$HE$4),"7 → "&amp;$GE36&amp;", "&amp;IF($DU36=1,32,21)&amp;" PE",""))))</f>
        <v/>
      </c>
      <c r="GW36" s="141">
        <f>IF(OR($EF36=0,$EI36=0),"","−"&amp;INDEX($Q$2:$V$8,$DW36,$EI36)&amp;" · "&amp;CHOOSE($EI36,"Leve","Média","Pesada","Leve · Livre","Média · Livre","Pesada · Livre"))</f>
        <v/>
      </c>
      <c r="GX36" s="141">
        <f>IF(OR($EF36=0,$EJ36=0),"","−"&amp;INDEX($Q$2:$V$8,$DW36,$EJ36)&amp;" · "&amp;CHOOSE($EJ36,"Leve","Média","Pesada","Leve · Livre","Média · Livre","Pesada · Livre"))</f>
        <v/>
      </c>
      <c r="GY36" s="141">
        <f>IF(OR($EF36=0,$EK36=0),"","−"&amp;INDEX($Q$2:$V$8,$DW36,$EK36)&amp;" · "&amp;CHOOSE($EK36,"Leve","Média","Pesada","Leve · Livre","Média · Livre","Pesada · Livre"))</f>
        <v/>
      </c>
      <c r="GZ36" s="141">
        <f>IF(OR($EF36=0,$EL36=0),"","−"&amp;INDEX($Q$2:$V$8,$DW36,$EL36)&amp;" · "&amp;CHOOSE($EL36,"Leve","Média","Pesada","Leve · Livre","Média · Livre","Pesada · Livre"))</f>
        <v/>
      </c>
      <c r="HA36" s="141">
        <f>IF(OR($EF36=0,$ED36=""),"","+"&amp;IF($EV36=1,CEILING($DW36/2,1),$DW36))</f>
        <v/>
      </c>
      <c r="HB36" s="141">
        <f>IF(OR($EF36=0,$EE36=""),"","+"&amp;IF($EW36=1,CEILING($DW36/2,1),$DW36))</f>
        <v/>
      </c>
      <c r="HD36" s="114" t="inlineStr">
        <is>
          <t>montagem da técnica máxima</t>
        </is>
      </c>
      <c r="HE36" s="141">
        <f>IFERROR(VLOOKUP($HE$2,$DE$2:$DG$4,3,TRUE),0)</f>
        <v/>
      </c>
      <c r="IJ36" s="114" t="inlineStr">
        <is>
          <t>L343</t>
        </is>
      </c>
      <c r="IK36" s="141">
        <f>IF(DADOS_AM!$HE$35=0,"Nível 17",DADOS_AM!$HE$35&amp;"d8 = "&amp;FLOOR(DADOS_AM!$HE$35*4.5,1))</f>
        <v/>
      </c>
    </row>
    <row r="37">
      <c r="BC37" s="114" t="inlineStr">
        <is>
          <t>Pressa</t>
        </is>
      </c>
      <c r="BD37" s="114" t="inlineStr">
        <is>
          <t>Auxiliares</t>
        </is>
      </c>
      <c r="BE37" s="141" t="n">
        <v>2</v>
      </c>
      <c r="BF37" s="141">
        <f>$BE37+3*IFERROR(VLOOKUP($BD37,$I$2:$L$10,3,FALSE),0)</f>
        <v/>
      </c>
      <c r="BG37" s="141">
        <f>IFERROR(VLOOKUP($BD37,$I$2:$L$10,4,FALSE),0)</f>
        <v/>
      </c>
      <c r="BH37" s="141" t="n">
        <v>0</v>
      </c>
      <c r="BI37" s="141">
        <f>IF($BG37=1,"",$BC37)</f>
        <v/>
      </c>
      <c r="BJ37" s="141">
        <f>IF(AND($BE37=1,$BG37=0),$BC37,"")</f>
        <v/>
      </c>
      <c r="DT37" s="114" t="inlineStr">
        <is>
          <t>Feitiço 36</t>
        </is>
      </c>
      <c r="DU37" s="141" t="n">
        <v>0</v>
      </c>
      <c r="DV37" s="141" t="n">
        <v>36</v>
      </c>
      <c r="DW37" s="141">
        <f>MAX(1,MIN(7,N('FICHA AMALDIÇOADA'!$P$286)))</f>
        <v/>
      </c>
      <c r="DX37" s="141">
        <f>'FICHA AMALDIÇOADA'!$Q$286&amp;""</f>
        <v/>
      </c>
      <c r="DY37" s="141">
        <f>'FICHA AMALDIÇOADA'!$P$293&amp;""</f>
        <v/>
      </c>
      <c r="DZ37" s="141">
        <f>'FICHA AMALDIÇOADA'!$Q$295&amp;""</f>
        <v/>
      </c>
      <c r="EA37" s="141">
        <f>'FICHA AMALDIÇOADA'!$Q$296&amp;""</f>
        <v/>
      </c>
      <c r="EB37" s="141">
        <f>'FICHA AMALDIÇOADA'!$Q$297&amp;""</f>
        <v/>
      </c>
      <c r="EC37" s="141">
        <f>'FICHA AMALDIÇOADA'!$Q$298&amp;""</f>
        <v/>
      </c>
      <c r="ED37" s="141">
        <f>'FICHA AMALDIÇOADA'!$Q$299&amp;""</f>
        <v/>
      </c>
      <c r="EE37" s="141">
        <f>'FICHA AMALDIÇOADA'!$Q$300&amp;""</f>
        <v/>
      </c>
      <c r="EF37" s="141">
        <f>IF($DX37&lt;&gt;"",1,0)</f>
        <v/>
      </c>
      <c r="EG37" s="141">
        <f>IFERROR(MATCH($DY37,$Y$2:$Y$11,0),0)</f>
        <v/>
      </c>
      <c r="EH37" s="141">
        <f>IF($EG37=0,0,INDEX($AB$2:$AB$11,$EG37))</f>
        <v/>
      </c>
      <c r="EI37" s="141">
        <f>IFERROR(VLOOKUP($DZ37,$BC$2:$BJ$84,4,FALSE),0)</f>
        <v/>
      </c>
      <c r="EJ37" s="141">
        <f>IFERROR(VLOOKUP($EA37,$BC$2:$BJ$84,4,FALSE),0)</f>
        <v/>
      </c>
      <c r="EK37" s="141">
        <f>IFERROR(VLOOKUP($EB37,$BC$2:$BJ$84,4,FALSE),0)</f>
        <v/>
      </c>
      <c r="EL37" s="141">
        <f>IFERROR(VLOOKUP($EC37,$BC$2:$BJ$84,4,FALSE),0)</f>
        <v/>
      </c>
      <c r="EM37" s="141">
        <f>IF($EG37=0,0,INDEX($AC$2:$AC$11,$EG37))</f>
        <v/>
      </c>
      <c r="EN37" s="141">
        <f>IFERROR(VLOOKUP($DZ37,$BC$2:$BJ$84,5,FALSE),0)</f>
        <v/>
      </c>
      <c r="EO37" s="141">
        <f>IFERROR(VLOOKUP($EA37,$BC$2:$BJ$84,5,FALSE),0)</f>
        <v/>
      </c>
      <c r="EP37" s="141">
        <f>IFERROR(VLOOKUP($EB37,$BC$2:$BJ$84,5,FALSE),0)</f>
        <v/>
      </c>
      <c r="EQ37" s="141">
        <f>IFERROR(VLOOKUP($EC37,$BC$2:$BJ$84,5,FALSE),0)</f>
        <v/>
      </c>
      <c r="ER37" s="141">
        <f>IFERROR(VLOOKUP($DZ37,$BC$2:$BJ$84,6,FALSE),0)+IFERROR(VLOOKUP($EA37,$BC$2:$BJ$84,6,FALSE),0)+IFERROR(VLOOKUP($EB37,$BC$2:$BJ$84,6,FALSE),0)+IFERROR(VLOOKUP($EC37,$BC$2:$BJ$84,6,FALSE),0)</f>
        <v/>
      </c>
      <c r="ES37" s="141">
        <f>IF($EG37=0,0,INDEX($AD$2:$AD$11,$EG37))</f>
        <v/>
      </c>
      <c r="ET37" s="141">
        <f>IF($EG37=0,0,INDEX($AE$2:$AE$11,$EG37))</f>
        <v/>
      </c>
      <c r="EU37" s="141">
        <f>IF($EG37=0,0,INDEX($AG$2:$AG$11,$EG37))</f>
        <v/>
      </c>
      <c r="EV37" s="141">
        <f>IFERROR(VLOOKUP($ED37,$BL$2:$BP$24,3,FALSE),0)</f>
        <v/>
      </c>
      <c r="EW37" s="141">
        <f>IFERROR(VLOOKUP($EE37,$BL$2:$BP$24,3,FALSE),0)</f>
        <v/>
      </c>
      <c r="EX37" s="141">
        <f>IFERROR(VLOOKUP($ED37,$BL$2:$BP$24,2,FALSE),"")</f>
        <v/>
      </c>
      <c r="EY37" s="141">
        <f>IFERROR(VLOOKUP($EE37,$BL$2:$BP$24,2,FALSE),"")</f>
        <v/>
      </c>
      <c r="EZ37" s="141">
        <f>COUNTIF($EH37:$EL37,1)</f>
        <v/>
      </c>
      <c r="FA37" s="141">
        <f>COUNTIF($EH37:$EL37,2)</f>
        <v/>
      </c>
      <c r="FB37" s="141">
        <f>COUNTIF($EH37:$EL37,3)</f>
        <v/>
      </c>
      <c r="FC37" s="141">
        <f>COUNTIF($EH37:$EL37,4)</f>
        <v/>
      </c>
      <c r="FD37" s="141">
        <f>COUNTIF($EH37:$EL37,5)</f>
        <v/>
      </c>
      <c r="FE37" s="141">
        <f>COUNTIF($EH37:$EL37,6)</f>
        <v/>
      </c>
      <c r="FF37" s="141">
        <f>COUNTIF($EV37:$EW37,1)</f>
        <v/>
      </c>
      <c r="FG37" s="141">
        <f>COUNTIF($EV37:$EW37,2)+$ES37</f>
        <v/>
      </c>
      <c r="FH37" s="141">
        <f>COUNTIF($DZ37:$EC37,"?*")</f>
        <v/>
      </c>
      <c r="FI37" s="141">
        <f>COUNTIF($ED37:$EE37,"?*")+$ES37</f>
        <v/>
      </c>
      <c r="FJ37" s="141">
        <f>SUMPRODUCT($EZ37:$FE37,INDEX($Q$2:$V$8,$DW37,0))</f>
        <v/>
      </c>
      <c r="FK37" s="141">
        <f>$FF37*CEILING($DW37/2,1)+$FG37*$DW37</f>
        <v/>
      </c>
      <c r="FL37" s="141">
        <f>MIN(2*$DW37,$FK37)</f>
        <v/>
      </c>
      <c r="FM37" s="141">
        <f>MIN($FL37,$FJ37)</f>
        <v/>
      </c>
      <c r="FN37" s="141">
        <f>$FL37-$FM37</f>
        <v/>
      </c>
      <c r="FO37" s="141">
        <f>3*$DW37-$FJ37+$FM37</f>
        <v/>
      </c>
      <c r="FP37" s="141">
        <f>MAX(0,$FO37)+$DU37*$DW37</f>
        <v/>
      </c>
      <c r="FQ37" s="141">
        <f>(IF(COUNTIF($DZ37:$EC37,"Salto")&gt;0,1,0)+IF(COUNTIF($DZ37:$EC37,"Queima")&gt;0,1,0))*FLOOR($FP37/2,1)</f>
        <v/>
      </c>
      <c r="FR37" s="141">
        <f>MAX(0,3-SUMPRODUCT($EZ37:$FE37,$Q$2:$V$2)+MIN(2,$FF37*1+$FG37*1,SUMPRODUCT($EZ37:$FE37,$Q$2:$V$2)))+$DU37*1</f>
        <v/>
      </c>
      <c r="FS37" s="141">
        <f>MAX(0,6-SUMPRODUCT($EZ37:$FE37,$Q$3:$V$3)+MIN(4,$FF37*1+$FG37*2,SUMPRODUCT($EZ37:$FE37,$Q$3:$V$3)))+$DU37*2</f>
        <v/>
      </c>
      <c r="FT37" s="141">
        <f>MAX(0,9-SUMPRODUCT($EZ37:$FE37,$Q$4:$V$4)+MIN(6,$FF37*2+$FG37*3,SUMPRODUCT($EZ37:$FE37,$Q$4:$V$4)))+$DU37*3</f>
        <v/>
      </c>
      <c r="FU37" s="141">
        <f>MAX(0,12-SUMPRODUCT($EZ37:$FE37,$Q$5:$V$5)+MIN(8,$FF37*2+$FG37*4,SUMPRODUCT($EZ37:$FE37,$Q$5:$V$5)))+$DU37*4</f>
        <v/>
      </c>
      <c r="FV37" s="141">
        <f>MAX(0,15-SUMPRODUCT($EZ37:$FE37,$Q$6:$V$6)+MIN(10,$FF37*3+$FG37*5,SUMPRODUCT($EZ37:$FE37,$Q$6:$V$6)))+$DU37*5</f>
        <v/>
      </c>
      <c r="FW37" s="141">
        <f>MAX(0,18-SUMPRODUCT($EZ37:$FE37,$Q$7:$V$7)+MIN(12,$FF37*3+$FG37*6,SUMPRODUCT($EZ37:$FE37,$Q$7:$V$7)))+$DU37*6</f>
        <v/>
      </c>
      <c r="FX37" s="141">
        <f>MAX(0,21-SUMPRODUCT($EZ37:$FE37,$Q$8:$V$8)+MIN(14,$FF37*4+$FG37*7,SUMPRODUCT($EZ37:$FE37,$Q$8:$V$8)))+$DU37*7</f>
        <v/>
      </c>
      <c r="FY37" s="141">
        <f>IF($ET37=2,3*$FR37&amp;" de vida temp.",IF($ET37=3,"sem dano",IF($FR37=0,IF($ET37=1,"sem cura","sem dano"),IF($ET37=1,"cura ","")&amp;$FR37&amp;"d8")))</f>
        <v/>
      </c>
      <c r="FZ37" s="141">
        <f>IF($ET37=2,3*$FS37&amp;" de vida temp.",IF($ET37=3,"sem dano",IF($FS37=0,IF($ET37=1,"sem cura","sem dano"),IF($ET37=1,"cura ","")&amp;$FS37&amp;"d8")))</f>
        <v/>
      </c>
      <c r="GA37" s="141">
        <f>IF($ET37=2,3*$FT37&amp;" de vida temp.",IF($ET37=3,"sem dano",IF($FT37=0,IF($ET37=1,"sem cura","sem dano"),IF($ET37=1,"cura ","")&amp;$FT37&amp;"d8")))</f>
        <v/>
      </c>
      <c r="GB37" s="141">
        <f>IF($ET37=2,3*$FU37&amp;" de vida temp.",IF($ET37=3,"sem dano",IF($FU37=0,IF($ET37=1,"sem cura","sem dano"),IF($ET37=1,"cura ","")&amp;$FU37&amp;"d8")))</f>
        <v/>
      </c>
      <c r="GC37" s="141">
        <f>IF($ET37=2,3*$FV37&amp;" de vida temp.",IF($ET37=3,"sem dano",IF($FV37=0,IF($ET37=1,"sem cura","sem dano"),IF($ET37=1,"cura ","")&amp;$FV37&amp;"d8")))</f>
        <v/>
      </c>
      <c r="GD37" s="141">
        <f>IF($ET37=2,3*$FW37&amp;" de vida temp.",IF($ET37=3,"sem dano",IF($FW37=0,IF($ET37=1,"sem cura","sem dano"),IF($ET37=1,"cura ","")&amp;$FW37&amp;"d8")))</f>
        <v/>
      </c>
      <c r="GE37" s="141">
        <f>IF($ET37=2,3*$FX37&amp;" de vida temp.",IF($ET37=3,"sem dano",IF($FX37=0,IF($ET37=1,"sem cura","sem dano"),IF($ET37=1,"cura ","")&amp;$FX37&amp;"d8")))</f>
        <v/>
      </c>
      <c r="GF37" s="141">
        <f>IF($EF37=0,"",TEXTJOIN(" · ",TRUE,IF(AND($DU37=1,$DV37&gt;$HE$9),"O nível "&amp;$HE$2&amp;" dá "&amp;$HE$9&amp;" Liberação Máxima",""),IF($DW37&gt;$HE$4,"Classe "&amp;$DW37&amp;": o nível "&amp;$HE$2&amp;" libera até a "&amp;$HE$4,""),IF($EM37=1,"Família Fechada: a Forma "&amp;$DY37,""),IF($EN37=1,"Família Fechada: "&amp;$DZ37,""),IF($EO37=1,"Família Fechada: "&amp;$EA37,""),IF($EP37=1,"Família Fechada: "&amp;$EB37,""),IF($EQ37=1,"Família Fechada: "&amp;$EC37,""),IF($FH37&gt;INDEX($W$2:$W$8,$DW37),$FH37&amp;" Melhorias: a Classe "&amp;$DW37&amp;" aceita "&amp;INDEX($W$2:$W$8,$DW37),""),IF($FI37&gt;2,$FI37&amp;" Restrições"&amp;IF($ES37=1,", contando a que a Forma "&amp;$DY37&amp;" já traz","")&amp;": o limite é 2",""),IF($FO37&lt;0,"Orçamento estourado: faltam "&amp;(-$FO37)&amp;IF($FO37&lt;-1," pontos"," ponto"),""),IF(IFERROR(VLOOKUP($ED37,$BL$2:$BP$24,4,FALSE),0)+IFERROR(VLOOKUP($EE37,$BL$2:$BP$24,4,FALSE),0)&gt;1,$EX37&amp;" e "&amp;$EY37&amp;" são as duas de frequência",""),IF(AND((COUNTIF($DZ37:$EC37,"Rápido")+COUNTIF($EX37:$EY37,"Rápido"))&gt;0,(COUNTIF($DZ37:$EC37,"Reação")+COUNTIF($EX37:$EY37,"Reação"))&gt;0),"Rápido não entra com Reação",""),IF(AND((COUNTIF($DZ37:$EC37,"Rápido")+COUNTIF($EX37:$EY37,"Rápido"))&gt;0,(COUNTIF($DZ37:$EC37,"Atrasar")+COUNTIF($EX37:$EY37,"Atrasar"))&gt;0),"Rápido não entra com Atrasar",""),IF(AND((COUNTIF($DZ37:$EC37,"Reação")+COUNTIF($EX37:$EY37,"Reação"))&gt;0,(COUNTIF($DZ37:$EC37,"Atrasar")+COUNTIF($EX37:$EY37,"Atrasar"))&gt;0),"Reação não entra com Atrasar",""),IF(AND((COUNTIF($DZ37:$EC37,"Reação")+COUNTIF($EX37:$EY37,"Reação"))&gt;0,(COUNTIF($DZ37:$EC37,"Parado")+COUNTIF($EX37:$EY37,"Parado"))&gt;0),"Reação não entra com Parado",""),IF(AND(COUNTIF($EX37:$EY37,"Corpo a Corpo")&gt;0,$ES37=0,OR($DY37="Cone",$DY37="Linha")),"Corpo a Corpo não entra em "&amp;$DY37,""),IF(AND(COUNTIF($EX37:$EY37,"Corpo a Corpo")&gt;0,$ES37=1),"A Forma "&amp;$DY37&amp;" já traz o Corpo a Corpo",""),IF(AND(COUNTIF($EX37:$EY37,"Tudo ou Nada")&gt;0,$EU37=0),"Tudo ou Nada só entra em feitiço de Teste de Resistência",""),IF(AND(COUNTIF($DZ37:$EC37,"Inescapável")&gt;0,OR($FH37&gt;1,$FI37&gt;0)),"Inescapável não aceita outra peça",""),IF(AND($DU37=1,$DW37&lt;3),"Liberação Máxima é de Classe 3 ou mais",""),IF(AND($DU37=1,OR($ET37=1,$ET37=2)),"Liberação Máxima não serve para cura",""),IF(AND($DU37=1,COUNTIF($DZ37:$EC37,"Inescapável")+COUNTIF($DZ37:$EC37,"Toca a Alma")&gt;0),"Esta peça não entra numa Liberação Máxima",""),IF($FP37+$FQ37&gt;4*$DW37,($FP37+$FQ37)&amp;" dados somando alvos e repetições: o teto da Classe "&amp;$DW37&amp;" é "&amp;4*$DW37,"")))</f>
        <v/>
      </c>
      <c r="GG37" s="141">
        <f>IF($GF37="",0,(LEN($GF37)-LEN(SUBSTITUTE($GF37," · ","")))/3+1)</f>
        <v/>
      </c>
      <c r="GH37" s="141">
        <f>IF($EF37=0,"",TEXTJOIN(" · ",TRUE,IF($FK37&gt;2*$DW37,"A devolução parou no teto de "&amp;2*$DW37,""),IF($FN37&gt;0,"Devolução perdida: "&amp;$FN37&amp;IF($FN37&gt;1," pontos"," ponto")&amp;" sem peça para pagar",""),IF(AND($ER37&gt;0,$FP37=0),"Controle sem dano: uma rodada a mais e CD +2",""),IF(AND($ER37&gt;0,$FP37&gt;0,$FP37&lt;=$DW37),"Controle com um quarto do teto: uma rodada a mais","")))</f>
        <v/>
      </c>
      <c r="GI37" s="141">
        <f>IF($GH37="",0,(LEN($GH37)-LEN(SUBSTITUTE($GH37," · ","")))/3+1)</f>
        <v/>
      </c>
      <c r="GJ37" s="141">
        <f>IF($EF37=0,IF($FH37+$FI37-$ES37&gt;0,"Dê um nome",""),IF($GG37&gt;0,"⚠ "&amp;$GG37&amp;IF($GG37&gt;1," erros"," erro"),IF($GI37&gt;0,"! "&amp;$GI37&amp;IF($GI37&gt;1," avisos"," aviso"),"Na regra")))</f>
        <v/>
      </c>
      <c r="GK37" s="141">
        <f>IF($EF37=0,"",IF($GG37+$GI37=0,"Dentro das regras que a ficha confere",$GF37&amp;IF(AND($GG37&gt;0,$GI37&gt;0)," · ","")&amp;$GH37))</f>
        <v/>
      </c>
      <c r="GL37" s="141">
        <f>IF($EF37=0,"",IF($DU37=1,CEILING(4.5*$DW37,1),3*$DW37)&amp;" PE")</f>
        <v/>
      </c>
      <c r="GM37" s="141">
        <f>IF($EF37=0,"",IF($DU37=1,"Rodada inteira",IF(COUNTIF($EX37:$EY37,"Atrasar")&gt;0,IF(COUNTIF($EX37:$EY37,"Carregar")&gt;0,"Rodada +1 turno","Rodada inteira"),IF(COUNTIF($DZ37:$EC37,"Rápido")&gt;0,"Bônus",IF(COUNTIF($DZ37:$EC37,"Reação")&gt;0,"Reação","Padrão"))&amp;IF(COUNTIF($EX37:$EY37,"Carregar")&gt;0," +1 turno",""))))</f>
        <v/>
      </c>
      <c r="GN37" s="141">
        <f>IF(OR($EF37=0,$EG37=0),"",IF(COUNTIF($DZ37:$EC37,"Inescapável")&gt;0,"Automático",IF(COUNTIF($DZ37:$EC37,"Certeiro")&gt;0,"TR para metade",INDEX($AF$2:$AF$11,$EG37))))</f>
        <v/>
      </c>
      <c r="GO37" s="141">
        <f>IF(OR($EF37=0,$EG37=0),"",IF(OR($ET37&gt;=2,$FP37=0),UPPER(LEFT(INDEX($FY37:$GE37,1,$DW37),1))&amp;MID(INDEX($FY37:$GE37,1,$DW37),2,99),UPPER(LEFT(INDEX($FY37:$GE37,1,$DW37),1))&amp;MID(INDEX($FY37:$GE37,1,$DW37),2,99)&amp;" = "&amp;FLOOR($FP37*4.5,1)&amp;IF($FQ37&gt;0," · +"&amp;$FQ37&amp;"d8","")))</f>
        <v/>
      </c>
      <c r="GP37" s="141">
        <f>COUNTIF($DZ37:$EC37,"Longe")+3*COUNTIF($DZ37:$EC37,"Muito Longe")</f>
        <v/>
      </c>
      <c r="GQ37" s="141">
        <f>COUNTIF($DZ37:$EC37,"Maior")+3*COUNTIF($DZ37:$EC37,"Muito Maior")</f>
        <v/>
      </c>
      <c r="GR37" s="141">
        <f>IF($EG37=0,0,CHOOSE(1+INDEX($AH$2:$AH$11,$EG37),0,$GP37,$GQ37,$GP37+$GQ37))</f>
        <v/>
      </c>
      <c r="GS37" s="141">
        <f>IF($EG37=0,0,CHOOSE(1+INDEX($AI$2:$AI$11,$EG37),0,$GP37,$GQ37,$GP37+$GQ37))</f>
        <v/>
      </c>
      <c r="GT37" s="141">
        <f>IF(OR($EF37=0,$EG37=0),"",INDEX($AP$2:$AU$31,($EG37-1)*3+IF($DW37&gt;=6,3,2),1+MIN(5,$GR37))&amp;INDEX($AV$2:$BA$31,($EG37-1)*3+IF($DW37&gt;=6,3,2),1+MIN(5,$GS37))&amp;IF(INDEX($AJ$2:$AJ$11,$EG37)=1,IF(COUNTIF($DZ37:$EC37,"Mais Um")&gt;0," · +"&amp;COUNTIF($DZ37:$EC37,"Mais Um")&amp;IF(COUNTIF($DZ37:$EC37,"Mais Um")&gt;1," alvos"," alvo"),"")&amp;IF(COUNTIF($DZ37:$EC37,"Rajada")&gt;0," · "&amp;($DW37+1)&amp;" tiros",""),""))</f>
        <v/>
      </c>
      <c r="GU37" s="141">
        <f>IF($EF37=0,"",3*$DW37&amp;" − "&amp;$FJ37&amp;" + "&amp;$FM37&amp;IF($DU37=1," + "&amp;$DW37,"")&amp;" = "&amp;$FP37&amp;"d8 · teto "&amp;4*$DW37&amp;IF($ES37=1," · a Forma devolve "&amp;$DW37,"")&amp;IF($FN37&gt;0," · perde "&amp;$FN37,""))</f>
        <v/>
      </c>
      <c r="GV37" s="141">
        <f>IF($EF37=0,"",IF($DW37&gt;=$HE$4,"Já está na maior Classe que o nível liberou",TEXTJOIN(" · ",TRUE,IF(AND(2&gt;$DW37,2&lt;=$HE$4),"2 → "&amp;$FZ37&amp;", "&amp;IF($DU37=1,9,6)&amp;" PE",""),IF(AND(3&gt;$DW37,3&lt;=$HE$4),"3 → "&amp;$GA37&amp;", "&amp;IF($DU37=1,14,9)&amp;" PE",""),IF(AND(4&gt;$DW37,4&lt;=$HE$4),"4 → "&amp;$GB37&amp;", "&amp;IF($DU37=1,18,12)&amp;" PE",""),IF(AND(5&gt;$DW37,5&lt;=$HE$4),"5 → "&amp;$GC37&amp;", "&amp;IF($DU37=1,23,15)&amp;" PE",""),IF(AND(6&gt;$DW37,6&lt;=$HE$4),"6 → "&amp;$GD37&amp;", "&amp;IF($DU37=1,27,18)&amp;" PE",""),IF(AND(7&gt;$DW37,7&lt;=$HE$4),"7 → "&amp;$GE37&amp;", "&amp;IF($DU37=1,32,21)&amp;" PE",""))))</f>
        <v/>
      </c>
      <c r="GW37" s="141">
        <f>IF(OR($EF37=0,$EI37=0),"","−"&amp;INDEX($Q$2:$V$8,$DW37,$EI37)&amp;" · "&amp;CHOOSE($EI37,"Leve","Média","Pesada","Leve · Livre","Média · Livre","Pesada · Livre"))</f>
        <v/>
      </c>
      <c r="GX37" s="141">
        <f>IF(OR($EF37=0,$EJ37=0),"","−"&amp;INDEX($Q$2:$V$8,$DW37,$EJ37)&amp;" · "&amp;CHOOSE($EJ37,"Leve","Média","Pesada","Leve · Livre","Média · Livre","Pesada · Livre"))</f>
        <v/>
      </c>
      <c r="GY37" s="141">
        <f>IF(OR($EF37=0,$EK37=0),"","−"&amp;INDEX($Q$2:$V$8,$DW37,$EK37)&amp;" · "&amp;CHOOSE($EK37,"Leve","Média","Pesada","Leve · Livre","Média · Livre","Pesada · Livre"))</f>
        <v/>
      </c>
      <c r="GZ37" s="141">
        <f>IF(OR($EF37=0,$EL37=0),"","−"&amp;INDEX($Q$2:$V$8,$DW37,$EL37)&amp;" · "&amp;CHOOSE($EL37,"Leve","Média","Pesada","Leve · Livre","Média · Livre","Pesada · Livre"))</f>
        <v/>
      </c>
      <c r="HA37" s="141">
        <f>IF(OR($EF37=0,$ED37=""),"","+"&amp;IF($EV37=1,CEILING($DW37/2,1),$DW37))</f>
        <v/>
      </c>
      <c r="HB37" s="141">
        <f>IF(OR($EF37=0,$EE37=""),"","+"&amp;IF($EW37=1,CEILING($DW37/2,1),$DW37))</f>
        <v/>
      </c>
      <c r="HD37" s="114" t="inlineStr">
        <is>
          <t>gasto da técnica máxima</t>
        </is>
      </c>
      <c r="HE37" s="141">
        <f>IF(IFERROR(VLOOKUP('FICHA AMALDIÇOADA'!$J$343,$Y$2:$AB$11,4,FALSE),0)=0,0,INDEX($Q$2:$V$8,$HE$4,IFERROR(VLOOKUP('FICHA AMALDIÇOADA'!$J$343,$Y$2:$AB$11,4,FALSE),0)))+IF(IFERROR(VLOOKUP('FICHA AMALDIÇOADA'!$J$346,$BC$2:$BJ$84,4,FALSE),0)=0,0,INDEX($Q$2:$V$8,$HE$4,IFERROR(VLOOKUP('FICHA AMALDIÇOADA'!$J$346,$BC$2:$BJ$84,4,FALSE),0)))+IF(IFERROR(VLOOKUP('FICHA AMALDIÇOADA'!$L$346,$BC$2:$BJ$84,4,FALSE),0)=0,0,INDEX($Q$2:$V$8,$HE$4,IFERROR(VLOOKUP('FICHA AMALDIÇOADA'!$L$346,$BC$2:$BJ$84,4,FALSE),0)))+IF(IFERROR(VLOOKUP('FICHA AMALDIÇOADA'!$P$346,$BC$2:$BJ$84,4,FALSE),0)=0,0,INDEX($Q$2:$V$8,$HE$4,IFERROR(VLOOKUP('FICHA AMALDIÇOADA'!$P$346,$BC$2:$BJ$84,4,FALSE),0)))+IF(IFERROR(VLOOKUP('FICHA AMALDIÇOADA'!$R$346,$BC$2:$BJ$84,4,FALSE),0)=0,0,INDEX($Q$2:$V$8,$HE$4,IFERROR(VLOOKUP('FICHA AMALDIÇOADA'!$R$346,$BC$2:$BJ$84,4,FALSE),0)))</f>
        <v/>
      </c>
      <c r="IJ37" s="114" t="inlineStr">
        <is>
          <t>P343</t>
        </is>
      </c>
      <c r="IK37" s="141">
        <f>IF(DADOS_AM!$HE$35=0,"—",5*DADOS_AM!$HE$4)</f>
        <v/>
      </c>
    </row>
    <row r="38">
      <c r="BC38" s="114" t="inlineStr">
        <is>
          <t>Enfraquece</t>
        </is>
      </c>
      <c r="BD38" s="114" t="inlineStr">
        <is>
          <t>Auxiliares</t>
        </is>
      </c>
      <c r="BE38" s="141" t="n">
        <v>2</v>
      </c>
      <c r="BF38" s="141">
        <f>$BE38+3*IFERROR(VLOOKUP($BD38,$I$2:$L$10,3,FALSE),0)</f>
        <v/>
      </c>
      <c r="BG38" s="141">
        <f>IFERROR(VLOOKUP($BD38,$I$2:$L$10,4,FALSE),0)</f>
        <v/>
      </c>
      <c r="BH38" s="141" t="n">
        <v>0</v>
      </c>
      <c r="BI38" s="141">
        <f>IF($BG38=1,"",$BC38)</f>
        <v/>
      </c>
      <c r="BJ38" s="141">
        <f>IF(AND($BE38=1,$BG38=0),$BC38,"")</f>
        <v/>
      </c>
      <c r="DT38" s="114" t="inlineStr">
        <is>
          <t>Liberação 1</t>
        </is>
      </c>
      <c r="DU38" s="141" t="n">
        <v>1</v>
      </c>
      <c r="DV38" s="141" t="n">
        <v>1</v>
      </c>
      <c r="DW38" s="141">
        <f>MAX(1,MIN(7,N('FICHA AMALDIÇOADA'!$D$319)))</f>
        <v/>
      </c>
      <c r="DX38" s="141">
        <f>'FICHA AMALDIÇOADA'!$E$319&amp;""</f>
        <v/>
      </c>
      <c r="DY38" s="141">
        <f>'FICHA AMALDIÇOADA'!$D$326&amp;""</f>
        <v/>
      </c>
      <c r="DZ38" s="141">
        <f>'FICHA AMALDIÇOADA'!$E$328&amp;""</f>
        <v/>
      </c>
      <c r="EA38" s="141">
        <f>'FICHA AMALDIÇOADA'!$E$329&amp;""</f>
        <v/>
      </c>
      <c r="EB38" s="141">
        <f>'FICHA AMALDIÇOADA'!$E$330&amp;""</f>
        <v/>
      </c>
      <c r="EC38" s="141">
        <f>'FICHA AMALDIÇOADA'!$E$331&amp;""</f>
        <v/>
      </c>
      <c r="ED38" s="141">
        <f>'FICHA AMALDIÇOADA'!$E$332&amp;""</f>
        <v/>
      </c>
      <c r="EE38" s="141">
        <f>'FICHA AMALDIÇOADA'!$E$333&amp;""</f>
        <v/>
      </c>
      <c r="EF38" s="141">
        <f>IF($DX38&lt;&gt;"",1,0)</f>
        <v/>
      </c>
      <c r="EG38" s="141">
        <f>IFERROR(MATCH($DY38,$Y$2:$Y$11,0),0)</f>
        <v/>
      </c>
      <c r="EH38" s="141">
        <f>IF($EG38=0,0,INDEX($AB$2:$AB$11,$EG38))</f>
        <v/>
      </c>
      <c r="EI38" s="141">
        <f>IFERROR(VLOOKUP($DZ38,$BC$2:$BJ$84,4,FALSE),0)</f>
        <v/>
      </c>
      <c r="EJ38" s="141">
        <f>IFERROR(VLOOKUP($EA38,$BC$2:$BJ$84,4,FALSE),0)</f>
        <v/>
      </c>
      <c r="EK38" s="141">
        <f>IFERROR(VLOOKUP($EB38,$BC$2:$BJ$84,4,FALSE),0)</f>
        <v/>
      </c>
      <c r="EL38" s="141">
        <f>IFERROR(VLOOKUP($EC38,$BC$2:$BJ$84,4,FALSE),0)</f>
        <v/>
      </c>
      <c r="EM38" s="141">
        <f>IF($EG38=0,0,INDEX($AC$2:$AC$11,$EG38))</f>
        <v/>
      </c>
      <c r="EN38" s="141">
        <f>IFERROR(VLOOKUP($DZ38,$BC$2:$BJ$84,5,FALSE),0)</f>
        <v/>
      </c>
      <c r="EO38" s="141">
        <f>IFERROR(VLOOKUP($EA38,$BC$2:$BJ$84,5,FALSE),0)</f>
        <v/>
      </c>
      <c r="EP38" s="141">
        <f>IFERROR(VLOOKUP($EB38,$BC$2:$BJ$84,5,FALSE),0)</f>
        <v/>
      </c>
      <c r="EQ38" s="141">
        <f>IFERROR(VLOOKUP($EC38,$BC$2:$BJ$84,5,FALSE),0)</f>
        <v/>
      </c>
      <c r="ER38" s="141">
        <f>IFERROR(VLOOKUP($DZ38,$BC$2:$BJ$84,6,FALSE),0)+IFERROR(VLOOKUP($EA38,$BC$2:$BJ$84,6,FALSE),0)+IFERROR(VLOOKUP($EB38,$BC$2:$BJ$84,6,FALSE),0)+IFERROR(VLOOKUP($EC38,$BC$2:$BJ$84,6,FALSE),0)</f>
        <v/>
      </c>
      <c r="ES38" s="141">
        <f>IF($EG38=0,0,INDEX($AD$2:$AD$11,$EG38))</f>
        <v/>
      </c>
      <c r="ET38" s="141">
        <f>IF($EG38=0,0,INDEX($AE$2:$AE$11,$EG38))</f>
        <v/>
      </c>
      <c r="EU38" s="141">
        <f>IF($EG38=0,0,INDEX($AG$2:$AG$11,$EG38))</f>
        <v/>
      </c>
      <c r="EV38" s="141">
        <f>IFERROR(VLOOKUP($ED38,$BL$2:$BP$24,3,FALSE),0)</f>
        <v/>
      </c>
      <c r="EW38" s="141">
        <f>IFERROR(VLOOKUP($EE38,$BL$2:$BP$24,3,FALSE),0)</f>
        <v/>
      </c>
      <c r="EX38" s="141">
        <f>IFERROR(VLOOKUP($ED38,$BL$2:$BP$24,2,FALSE),"")</f>
        <v/>
      </c>
      <c r="EY38" s="141">
        <f>IFERROR(VLOOKUP($EE38,$BL$2:$BP$24,2,FALSE),"")</f>
        <v/>
      </c>
      <c r="EZ38" s="141">
        <f>COUNTIF($EH38:$EL38,1)</f>
        <v/>
      </c>
      <c r="FA38" s="141">
        <f>COUNTIF($EH38:$EL38,2)</f>
        <v/>
      </c>
      <c r="FB38" s="141">
        <f>COUNTIF($EH38:$EL38,3)</f>
        <v/>
      </c>
      <c r="FC38" s="141">
        <f>COUNTIF($EH38:$EL38,4)</f>
        <v/>
      </c>
      <c r="FD38" s="141">
        <f>COUNTIF($EH38:$EL38,5)</f>
        <v/>
      </c>
      <c r="FE38" s="141">
        <f>COUNTIF($EH38:$EL38,6)</f>
        <v/>
      </c>
      <c r="FF38" s="141">
        <f>COUNTIF($EV38:$EW38,1)</f>
        <v/>
      </c>
      <c r="FG38" s="141">
        <f>COUNTIF($EV38:$EW38,2)+$ES38</f>
        <v/>
      </c>
      <c r="FH38" s="141">
        <f>COUNTIF($DZ38:$EC38,"?*")</f>
        <v/>
      </c>
      <c r="FI38" s="141">
        <f>COUNTIF($ED38:$EE38,"?*")+$ES38</f>
        <v/>
      </c>
      <c r="FJ38" s="141">
        <f>SUMPRODUCT($EZ38:$FE38,INDEX($Q$2:$V$8,$DW38,0))</f>
        <v/>
      </c>
      <c r="FK38" s="141">
        <f>$FF38*CEILING($DW38/2,1)+$FG38*$DW38</f>
        <v/>
      </c>
      <c r="FL38" s="141">
        <f>MIN(2*$DW38,$FK38)</f>
        <v/>
      </c>
      <c r="FM38" s="141">
        <f>MIN($FL38,$FJ38)</f>
        <v/>
      </c>
      <c r="FN38" s="141">
        <f>$FL38-$FM38</f>
        <v/>
      </c>
      <c r="FO38" s="141">
        <f>3*$DW38-$FJ38+$FM38</f>
        <v/>
      </c>
      <c r="FP38" s="141">
        <f>MAX(0,$FO38)+$DU38*$DW38</f>
        <v/>
      </c>
      <c r="FQ38" s="141">
        <f>(IF(COUNTIF($DZ38:$EC38,"Salto")&gt;0,1,0)+IF(COUNTIF($DZ38:$EC38,"Queima")&gt;0,1,0))*FLOOR($FP38/2,1)</f>
        <v/>
      </c>
      <c r="FR38" s="141">
        <f>MAX(0,3-SUMPRODUCT($EZ38:$FE38,$Q$2:$V$2)+MIN(2,$FF38*1+$FG38*1,SUMPRODUCT($EZ38:$FE38,$Q$2:$V$2)))+$DU38*1</f>
        <v/>
      </c>
      <c r="FS38" s="141">
        <f>MAX(0,6-SUMPRODUCT($EZ38:$FE38,$Q$3:$V$3)+MIN(4,$FF38*1+$FG38*2,SUMPRODUCT($EZ38:$FE38,$Q$3:$V$3)))+$DU38*2</f>
        <v/>
      </c>
      <c r="FT38" s="141">
        <f>MAX(0,9-SUMPRODUCT($EZ38:$FE38,$Q$4:$V$4)+MIN(6,$FF38*2+$FG38*3,SUMPRODUCT($EZ38:$FE38,$Q$4:$V$4)))+$DU38*3</f>
        <v/>
      </c>
      <c r="FU38" s="141">
        <f>MAX(0,12-SUMPRODUCT($EZ38:$FE38,$Q$5:$V$5)+MIN(8,$FF38*2+$FG38*4,SUMPRODUCT($EZ38:$FE38,$Q$5:$V$5)))+$DU38*4</f>
        <v/>
      </c>
      <c r="FV38" s="141">
        <f>MAX(0,15-SUMPRODUCT($EZ38:$FE38,$Q$6:$V$6)+MIN(10,$FF38*3+$FG38*5,SUMPRODUCT($EZ38:$FE38,$Q$6:$V$6)))+$DU38*5</f>
        <v/>
      </c>
      <c r="FW38" s="141">
        <f>MAX(0,18-SUMPRODUCT($EZ38:$FE38,$Q$7:$V$7)+MIN(12,$FF38*3+$FG38*6,SUMPRODUCT($EZ38:$FE38,$Q$7:$V$7)))+$DU38*6</f>
        <v/>
      </c>
      <c r="FX38" s="141">
        <f>MAX(0,21-SUMPRODUCT($EZ38:$FE38,$Q$8:$V$8)+MIN(14,$FF38*4+$FG38*7,SUMPRODUCT($EZ38:$FE38,$Q$8:$V$8)))+$DU38*7</f>
        <v/>
      </c>
      <c r="FY38" s="141">
        <f>IF($ET38=2,3*$FR38&amp;" de vida temp.",IF($ET38=3,"sem dano",IF($FR38=0,IF($ET38=1,"sem cura","sem dano"),IF($ET38=1,"cura ","")&amp;$FR38&amp;"d8")))</f>
        <v/>
      </c>
      <c r="FZ38" s="141">
        <f>IF($ET38=2,3*$FS38&amp;" de vida temp.",IF($ET38=3,"sem dano",IF($FS38=0,IF($ET38=1,"sem cura","sem dano"),IF($ET38=1,"cura ","")&amp;$FS38&amp;"d8")))</f>
        <v/>
      </c>
      <c r="GA38" s="141">
        <f>IF($ET38=2,3*$FT38&amp;" de vida temp.",IF($ET38=3,"sem dano",IF($FT38=0,IF($ET38=1,"sem cura","sem dano"),IF($ET38=1,"cura ","")&amp;$FT38&amp;"d8")))</f>
        <v/>
      </c>
      <c r="GB38" s="141">
        <f>IF($ET38=2,3*$FU38&amp;" de vida temp.",IF($ET38=3,"sem dano",IF($FU38=0,IF($ET38=1,"sem cura","sem dano"),IF($ET38=1,"cura ","")&amp;$FU38&amp;"d8")))</f>
        <v/>
      </c>
      <c r="GC38" s="141">
        <f>IF($ET38=2,3*$FV38&amp;" de vida temp.",IF($ET38=3,"sem dano",IF($FV38=0,IF($ET38=1,"sem cura","sem dano"),IF($ET38=1,"cura ","")&amp;$FV38&amp;"d8")))</f>
        <v/>
      </c>
      <c r="GD38" s="141">
        <f>IF($ET38=2,3*$FW38&amp;" de vida temp.",IF($ET38=3,"sem dano",IF($FW38=0,IF($ET38=1,"sem cura","sem dano"),IF($ET38=1,"cura ","")&amp;$FW38&amp;"d8")))</f>
        <v/>
      </c>
      <c r="GE38" s="141">
        <f>IF($ET38=2,3*$FX38&amp;" de vida temp.",IF($ET38=3,"sem dano",IF($FX38=0,IF($ET38=1,"sem cura","sem dano"),IF($ET38=1,"cura ","")&amp;$FX38&amp;"d8")))</f>
        <v/>
      </c>
      <c r="GF38" s="141">
        <f>IF($EF38=0,"",TEXTJOIN(" · ",TRUE,IF(AND($DU38=1,$DV38&gt;$HE$9),"O nível "&amp;$HE$2&amp;" dá "&amp;$HE$9&amp;" Liberação Máxima",""),IF($DW38&gt;$HE$4,"Classe "&amp;$DW38&amp;": o nível "&amp;$HE$2&amp;" libera até a "&amp;$HE$4,""),IF($EM38=1,"Família Fechada: a Forma "&amp;$DY38,""),IF($EN38=1,"Família Fechada: "&amp;$DZ38,""),IF($EO38=1,"Família Fechada: "&amp;$EA38,""),IF($EP38=1,"Família Fechada: "&amp;$EB38,""),IF($EQ38=1,"Família Fechada: "&amp;$EC38,""),IF($FH38&gt;INDEX($W$2:$W$8,$DW38),$FH38&amp;" Melhorias: a Classe "&amp;$DW38&amp;" aceita "&amp;INDEX($W$2:$W$8,$DW38),""),IF($FI38&gt;2,$FI38&amp;" Restrições"&amp;IF($ES38=1,", contando a que a Forma "&amp;$DY38&amp;" já traz","")&amp;": o limite é 2",""),IF($FO38&lt;0,"Orçamento estourado: faltam "&amp;(-$FO38)&amp;IF($FO38&lt;-1," pontos"," ponto"),""),IF(IFERROR(VLOOKUP($ED38,$BL$2:$BP$24,4,FALSE),0)+IFERROR(VLOOKUP($EE38,$BL$2:$BP$24,4,FALSE),0)&gt;1,$EX38&amp;" e "&amp;$EY38&amp;" são as duas de frequência",""),IF(AND((COUNTIF($DZ38:$EC38,"Rápido")+COUNTIF($EX38:$EY38,"Rápido"))&gt;0,(COUNTIF($DZ38:$EC38,"Reação")+COUNTIF($EX38:$EY38,"Reação"))&gt;0),"Rápido não entra com Reação",""),IF(AND((COUNTIF($DZ38:$EC38,"Rápido")+COUNTIF($EX38:$EY38,"Rápido"))&gt;0,(COUNTIF($DZ38:$EC38,"Atrasar")+COUNTIF($EX38:$EY38,"Atrasar"))&gt;0),"Rápido não entra com Atrasar",""),IF(AND((COUNTIF($DZ38:$EC38,"Reação")+COUNTIF($EX38:$EY38,"Reação"))&gt;0,(COUNTIF($DZ38:$EC38,"Atrasar")+COUNTIF($EX38:$EY38,"Atrasar"))&gt;0),"Reação não entra com Atrasar",""),IF(AND((COUNTIF($DZ38:$EC38,"Reação")+COUNTIF($EX38:$EY38,"Reação"))&gt;0,(COUNTIF($DZ38:$EC38,"Parado")+COUNTIF($EX38:$EY38,"Parado"))&gt;0),"Reação não entra com Parado",""),IF(AND(COUNTIF($EX38:$EY38,"Corpo a Corpo")&gt;0,$ES38=0,OR($DY38="Cone",$DY38="Linha")),"Corpo a Corpo não entra em "&amp;$DY38,""),IF(AND(COUNTIF($EX38:$EY38,"Corpo a Corpo")&gt;0,$ES38=1),"A Forma "&amp;$DY38&amp;" já traz o Corpo a Corpo",""),IF(AND(COUNTIF($EX38:$EY38,"Tudo ou Nada")&gt;0,$EU38=0),"Tudo ou Nada só entra em feitiço de Teste de Resistência",""),IF(AND(COUNTIF($DZ38:$EC38,"Inescapável")&gt;0,OR($FH38&gt;1,$FI38&gt;0)),"Inescapável não aceita outra peça",""),IF(AND($DU38=1,$DW38&lt;3),"Liberação Máxima é de Classe 3 ou mais",""),IF(AND($DU38=1,OR($ET38=1,$ET38=2)),"Liberação Máxima não serve para cura",""),IF(AND($DU38=1,COUNTIF($DZ38:$EC38,"Inescapável")+COUNTIF($DZ38:$EC38,"Toca a Alma")&gt;0),"Esta peça não entra numa Liberação Máxima",""),IF($FP38+$FQ38&gt;4*$DW38,($FP38+$FQ38)&amp;" dados somando alvos e repetições: o teto da Classe "&amp;$DW38&amp;" é "&amp;4*$DW38,"")))</f>
        <v/>
      </c>
      <c r="GG38" s="141">
        <f>IF($GF38="",0,(LEN($GF38)-LEN(SUBSTITUTE($GF38," · ","")))/3+1)</f>
        <v/>
      </c>
      <c r="GH38" s="141">
        <f>IF($EF38=0,"",TEXTJOIN(" · ",TRUE,IF($FK38&gt;2*$DW38,"A devolução parou no teto de "&amp;2*$DW38,""),IF($FN38&gt;0,"Devolução perdida: "&amp;$FN38&amp;IF($FN38&gt;1," pontos"," ponto")&amp;" sem peça para pagar",""),IF(AND($ER38&gt;0,$FP38=0),"Controle sem dano: uma rodada a mais e CD +2",""),IF(AND($ER38&gt;0,$FP38&gt;0,$FP38&lt;=$DW38),"Controle com um quarto do teto: uma rodada a mais","")))</f>
        <v/>
      </c>
      <c r="GI38" s="141">
        <f>IF($GH38="",0,(LEN($GH38)-LEN(SUBSTITUTE($GH38," · ","")))/3+1)</f>
        <v/>
      </c>
      <c r="GJ38" s="141">
        <f>IF($EF38=0,IF($FH38+$FI38-$ES38&gt;0,"Dê um nome",""),IF($GG38&gt;0,"⚠ "&amp;$GG38&amp;IF($GG38&gt;1," erros"," erro"),IF($GI38&gt;0,"! "&amp;$GI38&amp;IF($GI38&gt;1," avisos"," aviso"),"Na regra")))</f>
        <v/>
      </c>
      <c r="GK38" s="141">
        <f>IF($EF38=0,"",IF($GG38+$GI38=0,"Dentro das regras que a ficha confere",$GF38&amp;IF(AND($GG38&gt;0,$GI38&gt;0)," · ","")&amp;$GH38))</f>
        <v/>
      </c>
      <c r="GL38" s="141">
        <f>IF($EF38=0,"",IF($DU38=1,CEILING(4.5*$DW38,1),3*$DW38)&amp;" PE")</f>
        <v/>
      </c>
      <c r="GM38" s="141">
        <f>IF($EF38=0,"",IF($DU38=1,"Rodada inteira",IF(COUNTIF($EX38:$EY38,"Atrasar")&gt;0,IF(COUNTIF($EX38:$EY38,"Carregar")&gt;0,"Rodada +1 turno","Rodada inteira"),IF(COUNTIF($DZ38:$EC38,"Rápido")&gt;0,"Bônus",IF(COUNTIF($DZ38:$EC38,"Reação")&gt;0,"Reação","Padrão"))&amp;IF(COUNTIF($EX38:$EY38,"Carregar")&gt;0," +1 turno",""))))</f>
        <v/>
      </c>
      <c r="GN38" s="141">
        <f>IF(OR($EF38=0,$EG38=0),"",IF(COUNTIF($DZ38:$EC38,"Inescapável")&gt;0,"Automático",IF(COUNTIF($DZ38:$EC38,"Certeiro")&gt;0,"TR para metade",INDEX($AF$2:$AF$11,$EG38))))</f>
        <v/>
      </c>
      <c r="GO38" s="141">
        <f>IF(OR($EF38=0,$EG38=0),"",IF(OR($ET38&gt;=2,$FP38=0),UPPER(LEFT(INDEX($FY38:$GE38,1,$DW38),1))&amp;MID(INDEX($FY38:$GE38,1,$DW38),2,99),UPPER(LEFT(INDEX($FY38:$GE38,1,$DW38),1))&amp;MID(INDEX($FY38:$GE38,1,$DW38),2,99)&amp;" = "&amp;FLOOR($FP38*4.5,1)&amp;IF($FQ38&gt;0," · +"&amp;$FQ38&amp;"d8","")))</f>
        <v/>
      </c>
      <c r="GP38" s="141">
        <f>COUNTIF($DZ38:$EC38,"Longe")+3*COUNTIF($DZ38:$EC38,"Muito Longe")</f>
        <v/>
      </c>
      <c r="GQ38" s="141">
        <f>COUNTIF($DZ38:$EC38,"Maior")+3*COUNTIF($DZ38:$EC38,"Muito Maior")</f>
        <v/>
      </c>
      <c r="GR38" s="141">
        <f>IF($EG38=0,0,CHOOSE(1+INDEX($AH$2:$AH$11,$EG38),0,$GP38,$GQ38,$GP38+$GQ38))</f>
        <v/>
      </c>
      <c r="GS38" s="141">
        <f>IF($EG38=0,0,CHOOSE(1+INDEX($AI$2:$AI$11,$EG38),0,$GP38,$GQ38,$GP38+$GQ38))</f>
        <v/>
      </c>
      <c r="GT38" s="141">
        <f>IF(OR($EF38=0,$EG38=0),"",INDEX($AP$2:$AU$31,($EG38-1)*3+IF($DW38&gt;=6,3,2),1+MIN(5,$GR38))&amp;INDEX($AV$2:$BA$31,($EG38-1)*3+IF($DW38&gt;=6,3,2),1+MIN(5,$GS38))&amp;IF(INDEX($AJ$2:$AJ$11,$EG38)=1,IF(COUNTIF($DZ38:$EC38,"Mais Um")&gt;0," · +"&amp;COUNTIF($DZ38:$EC38,"Mais Um")&amp;IF(COUNTIF($DZ38:$EC38,"Mais Um")&gt;1," alvos"," alvo"),"")&amp;IF(COUNTIF($DZ38:$EC38,"Rajada")&gt;0," · "&amp;($DW38+1)&amp;" tiros",""),""))</f>
        <v/>
      </c>
      <c r="GU38" s="141">
        <f>IF($EF38=0,"",3*$DW38&amp;" − "&amp;$FJ38&amp;" + "&amp;$FM38&amp;IF($DU38=1," + "&amp;$DW38,"")&amp;" = "&amp;$FP38&amp;"d8 · teto "&amp;4*$DW38&amp;IF($ES38=1," · a Forma devolve "&amp;$DW38,"")&amp;IF($FN38&gt;0," · perde "&amp;$FN38,""))</f>
        <v/>
      </c>
      <c r="GV38" s="141">
        <f>IF($EF38=0,"",IF($DW38&gt;=$HE$4,"Já está na maior Classe que o nível liberou",TEXTJOIN(" · ",TRUE,IF(AND(2&gt;$DW38,2&lt;=$HE$4),"2 → "&amp;$FZ38&amp;", "&amp;IF($DU38=1,9,6)&amp;" PE",""),IF(AND(3&gt;$DW38,3&lt;=$HE$4),"3 → "&amp;$GA38&amp;", "&amp;IF($DU38=1,14,9)&amp;" PE",""),IF(AND(4&gt;$DW38,4&lt;=$HE$4),"4 → "&amp;$GB38&amp;", "&amp;IF($DU38=1,18,12)&amp;" PE",""),IF(AND(5&gt;$DW38,5&lt;=$HE$4),"5 → "&amp;$GC38&amp;", "&amp;IF($DU38=1,23,15)&amp;" PE",""),IF(AND(6&gt;$DW38,6&lt;=$HE$4),"6 → "&amp;$GD38&amp;", "&amp;IF($DU38=1,27,18)&amp;" PE",""),IF(AND(7&gt;$DW38,7&lt;=$HE$4),"7 → "&amp;$GE38&amp;", "&amp;IF($DU38=1,32,21)&amp;" PE",""))))</f>
        <v/>
      </c>
      <c r="GW38" s="141">
        <f>IF(OR($EF38=0,$EI38=0),"","−"&amp;INDEX($Q$2:$V$8,$DW38,$EI38)&amp;" · "&amp;CHOOSE($EI38,"Leve","Média","Pesada","Leve · Livre","Média · Livre","Pesada · Livre"))</f>
        <v/>
      </c>
      <c r="GX38" s="141">
        <f>IF(OR($EF38=0,$EJ38=0),"","−"&amp;INDEX($Q$2:$V$8,$DW38,$EJ38)&amp;" · "&amp;CHOOSE($EJ38,"Leve","Média","Pesada","Leve · Livre","Média · Livre","Pesada · Livre"))</f>
        <v/>
      </c>
      <c r="GY38" s="141">
        <f>IF(OR($EF38=0,$EK38=0),"","−"&amp;INDEX($Q$2:$V$8,$DW38,$EK38)&amp;" · "&amp;CHOOSE($EK38,"Leve","Média","Pesada","Leve · Livre","Média · Livre","Pesada · Livre"))</f>
        <v/>
      </c>
      <c r="GZ38" s="141">
        <f>IF(OR($EF38=0,$EL38=0),"","−"&amp;INDEX($Q$2:$V$8,$DW38,$EL38)&amp;" · "&amp;CHOOSE($EL38,"Leve","Média","Pesada","Leve · Livre","Média · Livre","Pesada · Livre"))</f>
        <v/>
      </c>
      <c r="HA38" s="141">
        <f>IF(OR($EF38=0,$ED38=""),"","+"&amp;IF($EV38=1,CEILING($DW38/2,1),$DW38))</f>
        <v/>
      </c>
      <c r="HB38" s="141">
        <f>IF(OR($EF38=0,$EE38=""),"","+"&amp;IF($EW38=1,CEILING($DW38/2,1),$DW38))</f>
        <v/>
      </c>
      <c r="HD38" s="114" t="inlineStr">
        <is>
          <t>fechada na técnica máxima</t>
        </is>
      </c>
      <c r="HE38" s="141">
        <f>IFERROR(VLOOKUP('FICHA AMALDIÇOADA'!$J$343,$Y$2:$AC$11,5,FALSE),0)+IFERROR(VLOOKUP('FICHA AMALDIÇOADA'!$J$346,$BC$2:$BJ$84,5,FALSE),0)+IFERROR(VLOOKUP('FICHA AMALDIÇOADA'!$L$346,$BC$2:$BJ$84,5,FALSE),0)+IFERROR(VLOOKUP('FICHA AMALDIÇOADA'!$P$346,$BC$2:$BJ$84,5,FALSE),0)+IFERROR(VLOOKUP('FICHA AMALDIÇOADA'!$R$346,$BC$2:$BJ$84,5,FALSE),0)</f>
        <v/>
      </c>
      <c r="IJ38" s="114" t="inlineStr">
        <is>
          <t>R343</t>
        </is>
      </c>
      <c r="IK38" s="141">
        <f>IF(DADOS_AM!$HE$35=0,"—",IF(OR(DADOS_AM!$HE$37&gt;DADOS_AM!$HE$36,DADOS_AM!$HE$38&gt;0),"⚠ ","")&amp;DADOS_AM!$HE$37&amp;" de "&amp;DADOS_AM!$HE$36&amp;IF(DADOS_AM!$HE$38&gt;0," · Família Fechada",""))</f>
        <v/>
      </c>
    </row>
    <row r="39">
      <c r="BC39" s="114" t="inlineStr">
        <is>
          <t>Ecoa</t>
        </is>
      </c>
      <c r="BD39" s="114" t="inlineStr">
        <is>
          <t>Auxiliares</t>
        </is>
      </c>
      <c r="BE39" s="141" t="n">
        <v>2</v>
      </c>
      <c r="BF39" s="141">
        <f>$BE39+3*IFERROR(VLOOKUP($BD39,$I$2:$L$10,3,FALSE),0)</f>
        <v/>
      </c>
      <c r="BG39" s="141">
        <f>IFERROR(VLOOKUP($BD39,$I$2:$L$10,4,FALSE),0)</f>
        <v/>
      </c>
      <c r="BH39" s="141" t="n">
        <v>0</v>
      </c>
      <c r="BI39" s="141">
        <f>IF($BG39=1,"",$BC39)</f>
        <v/>
      </c>
      <c r="BJ39" s="141">
        <f>IF(AND($BE39=1,$BG39=0),$BC39,"")</f>
        <v/>
      </c>
      <c r="DT39" s="114" t="inlineStr">
        <is>
          <t>Liberação 2</t>
        </is>
      </c>
      <c r="DU39" s="141" t="n">
        <v>1</v>
      </c>
      <c r="DV39" s="141" t="n">
        <v>2</v>
      </c>
      <c r="DW39" s="141">
        <f>MAX(1,MIN(7,N('FICHA AMALDIÇOADA'!$J$319)))</f>
        <v/>
      </c>
      <c r="DX39" s="141">
        <f>'FICHA AMALDIÇOADA'!$K$319&amp;""</f>
        <v/>
      </c>
      <c r="DY39" s="141">
        <f>'FICHA AMALDIÇOADA'!$J$326&amp;""</f>
        <v/>
      </c>
      <c r="DZ39" s="141">
        <f>'FICHA AMALDIÇOADA'!$K$328&amp;""</f>
        <v/>
      </c>
      <c r="EA39" s="141">
        <f>'FICHA AMALDIÇOADA'!$K$329&amp;""</f>
        <v/>
      </c>
      <c r="EB39" s="141">
        <f>'FICHA AMALDIÇOADA'!$K$330&amp;""</f>
        <v/>
      </c>
      <c r="EC39" s="141">
        <f>'FICHA AMALDIÇOADA'!$K$331&amp;""</f>
        <v/>
      </c>
      <c r="ED39" s="141">
        <f>'FICHA AMALDIÇOADA'!$K$332&amp;""</f>
        <v/>
      </c>
      <c r="EE39" s="141">
        <f>'FICHA AMALDIÇOADA'!$K$333&amp;""</f>
        <v/>
      </c>
      <c r="EF39" s="141">
        <f>IF($DX39&lt;&gt;"",1,0)</f>
        <v/>
      </c>
      <c r="EG39" s="141">
        <f>IFERROR(MATCH($DY39,$Y$2:$Y$11,0),0)</f>
        <v/>
      </c>
      <c r="EH39" s="141">
        <f>IF($EG39=0,0,INDEX($AB$2:$AB$11,$EG39))</f>
        <v/>
      </c>
      <c r="EI39" s="141">
        <f>IFERROR(VLOOKUP($DZ39,$BC$2:$BJ$84,4,FALSE),0)</f>
        <v/>
      </c>
      <c r="EJ39" s="141">
        <f>IFERROR(VLOOKUP($EA39,$BC$2:$BJ$84,4,FALSE),0)</f>
        <v/>
      </c>
      <c r="EK39" s="141">
        <f>IFERROR(VLOOKUP($EB39,$BC$2:$BJ$84,4,FALSE),0)</f>
        <v/>
      </c>
      <c r="EL39" s="141">
        <f>IFERROR(VLOOKUP($EC39,$BC$2:$BJ$84,4,FALSE),0)</f>
        <v/>
      </c>
      <c r="EM39" s="141">
        <f>IF($EG39=0,0,INDEX($AC$2:$AC$11,$EG39))</f>
        <v/>
      </c>
      <c r="EN39" s="141">
        <f>IFERROR(VLOOKUP($DZ39,$BC$2:$BJ$84,5,FALSE),0)</f>
        <v/>
      </c>
      <c r="EO39" s="141">
        <f>IFERROR(VLOOKUP($EA39,$BC$2:$BJ$84,5,FALSE),0)</f>
        <v/>
      </c>
      <c r="EP39" s="141">
        <f>IFERROR(VLOOKUP($EB39,$BC$2:$BJ$84,5,FALSE),0)</f>
        <v/>
      </c>
      <c r="EQ39" s="141">
        <f>IFERROR(VLOOKUP($EC39,$BC$2:$BJ$84,5,FALSE),0)</f>
        <v/>
      </c>
      <c r="ER39" s="141">
        <f>IFERROR(VLOOKUP($DZ39,$BC$2:$BJ$84,6,FALSE),0)+IFERROR(VLOOKUP($EA39,$BC$2:$BJ$84,6,FALSE),0)+IFERROR(VLOOKUP($EB39,$BC$2:$BJ$84,6,FALSE),0)+IFERROR(VLOOKUP($EC39,$BC$2:$BJ$84,6,FALSE),0)</f>
        <v/>
      </c>
      <c r="ES39" s="141">
        <f>IF($EG39=0,0,INDEX($AD$2:$AD$11,$EG39))</f>
        <v/>
      </c>
      <c r="ET39" s="141">
        <f>IF($EG39=0,0,INDEX($AE$2:$AE$11,$EG39))</f>
        <v/>
      </c>
      <c r="EU39" s="141">
        <f>IF($EG39=0,0,INDEX($AG$2:$AG$11,$EG39))</f>
        <v/>
      </c>
      <c r="EV39" s="141">
        <f>IFERROR(VLOOKUP($ED39,$BL$2:$BP$24,3,FALSE),0)</f>
        <v/>
      </c>
      <c r="EW39" s="141">
        <f>IFERROR(VLOOKUP($EE39,$BL$2:$BP$24,3,FALSE),0)</f>
        <v/>
      </c>
      <c r="EX39" s="141">
        <f>IFERROR(VLOOKUP($ED39,$BL$2:$BP$24,2,FALSE),"")</f>
        <v/>
      </c>
      <c r="EY39" s="141">
        <f>IFERROR(VLOOKUP($EE39,$BL$2:$BP$24,2,FALSE),"")</f>
        <v/>
      </c>
      <c r="EZ39" s="141">
        <f>COUNTIF($EH39:$EL39,1)</f>
        <v/>
      </c>
      <c r="FA39" s="141">
        <f>COUNTIF($EH39:$EL39,2)</f>
        <v/>
      </c>
      <c r="FB39" s="141">
        <f>COUNTIF($EH39:$EL39,3)</f>
        <v/>
      </c>
      <c r="FC39" s="141">
        <f>COUNTIF($EH39:$EL39,4)</f>
        <v/>
      </c>
      <c r="FD39" s="141">
        <f>COUNTIF($EH39:$EL39,5)</f>
        <v/>
      </c>
      <c r="FE39" s="141">
        <f>COUNTIF($EH39:$EL39,6)</f>
        <v/>
      </c>
      <c r="FF39" s="141">
        <f>COUNTIF($EV39:$EW39,1)</f>
        <v/>
      </c>
      <c r="FG39" s="141">
        <f>COUNTIF($EV39:$EW39,2)+$ES39</f>
        <v/>
      </c>
      <c r="FH39" s="141">
        <f>COUNTIF($DZ39:$EC39,"?*")</f>
        <v/>
      </c>
      <c r="FI39" s="141">
        <f>COUNTIF($ED39:$EE39,"?*")+$ES39</f>
        <v/>
      </c>
      <c r="FJ39" s="141">
        <f>SUMPRODUCT($EZ39:$FE39,INDEX($Q$2:$V$8,$DW39,0))</f>
        <v/>
      </c>
      <c r="FK39" s="141">
        <f>$FF39*CEILING($DW39/2,1)+$FG39*$DW39</f>
        <v/>
      </c>
      <c r="FL39" s="141">
        <f>MIN(2*$DW39,$FK39)</f>
        <v/>
      </c>
      <c r="FM39" s="141">
        <f>MIN($FL39,$FJ39)</f>
        <v/>
      </c>
      <c r="FN39" s="141">
        <f>$FL39-$FM39</f>
        <v/>
      </c>
      <c r="FO39" s="141">
        <f>3*$DW39-$FJ39+$FM39</f>
        <v/>
      </c>
      <c r="FP39" s="141">
        <f>MAX(0,$FO39)+$DU39*$DW39</f>
        <v/>
      </c>
      <c r="FQ39" s="141">
        <f>(IF(COUNTIF($DZ39:$EC39,"Salto")&gt;0,1,0)+IF(COUNTIF($DZ39:$EC39,"Queima")&gt;0,1,0))*FLOOR($FP39/2,1)</f>
        <v/>
      </c>
      <c r="FR39" s="141">
        <f>MAX(0,3-SUMPRODUCT($EZ39:$FE39,$Q$2:$V$2)+MIN(2,$FF39*1+$FG39*1,SUMPRODUCT($EZ39:$FE39,$Q$2:$V$2)))+$DU39*1</f>
        <v/>
      </c>
      <c r="FS39" s="141">
        <f>MAX(0,6-SUMPRODUCT($EZ39:$FE39,$Q$3:$V$3)+MIN(4,$FF39*1+$FG39*2,SUMPRODUCT($EZ39:$FE39,$Q$3:$V$3)))+$DU39*2</f>
        <v/>
      </c>
      <c r="FT39" s="141">
        <f>MAX(0,9-SUMPRODUCT($EZ39:$FE39,$Q$4:$V$4)+MIN(6,$FF39*2+$FG39*3,SUMPRODUCT($EZ39:$FE39,$Q$4:$V$4)))+$DU39*3</f>
        <v/>
      </c>
      <c r="FU39" s="141">
        <f>MAX(0,12-SUMPRODUCT($EZ39:$FE39,$Q$5:$V$5)+MIN(8,$FF39*2+$FG39*4,SUMPRODUCT($EZ39:$FE39,$Q$5:$V$5)))+$DU39*4</f>
        <v/>
      </c>
      <c r="FV39" s="141">
        <f>MAX(0,15-SUMPRODUCT($EZ39:$FE39,$Q$6:$V$6)+MIN(10,$FF39*3+$FG39*5,SUMPRODUCT($EZ39:$FE39,$Q$6:$V$6)))+$DU39*5</f>
        <v/>
      </c>
      <c r="FW39" s="141">
        <f>MAX(0,18-SUMPRODUCT($EZ39:$FE39,$Q$7:$V$7)+MIN(12,$FF39*3+$FG39*6,SUMPRODUCT($EZ39:$FE39,$Q$7:$V$7)))+$DU39*6</f>
        <v/>
      </c>
      <c r="FX39" s="141">
        <f>MAX(0,21-SUMPRODUCT($EZ39:$FE39,$Q$8:$V$8)+MIN(14,$FF39*4+$FG39*7,SUMPRODUCT($EZ39:$FE39,$Q$8:$V$8)))+$DU39*7</f>
        <v/>
      </c>
      <c r="FY39" s="141">
        <f>IF($ET39=2,3*$FR39&amp;" de vida temp.",IF($ET39=3,"sem dano",IF($FR39=0,IF($ET39=1,"sem cura","sem dano"),IF($ET39=1,"cura ","")&amp;$FR39&amp;"d8")))</f>
        <v/>
      </c>
      <c r="FZ39" s="141">
        <f>IF($ET39=2,3*$FS39&amp;" de vida temp.",IF($ET39=3,"sem dano",IF($FS39=0,IF($ET39=1,"sem cura","sem dano"),IF($ET39=1,"cura ","")&amp;$FS39&amp;"d8")))</f>
        <v/>
      </c>
      <c r="GA39" s="141">
        <f>IF($ET39=2,3*$FT39&amp;" de vida temp.",IF($ET39=3,"sem dano",IF($FT39=0,IF($ET39=1,"sem cura","sem dano"),IF($ET39=1,"cura ","")&amp;$FT39&amp;"d8")))</f>
        <v/>
      </c>
      <c r="GB39" s="141">
        <f>IF($ET39=2,3*$FU39&amp;" de vida temp.",IF($ET39=3,"sem dano",IF($FU39=0,IF($ET39=1,"sem cura","sem dano"),IF($ET39=1,"cura ","")&amp;$FU39&amp;"d8")))</f>
        <v/>
      </c>
      <c r="GC39" s="141">
        <f>IF($ET39=2,3*$FV39&amp;" de vida temp.",IF($ET39=3,"sem dano",IF($FV39=0,IF($ET39=1,"sem cura","sem dano"),IF($ET39=1,"cura ","")&amp;$FV39&amp;"d8")))</f>
        <v/>
      </c>
      <c r="GD39" s="141">
        <f>IF($ET39=2,3*$FW39&amp;" de vida temp.",IF($ET39=3,"sem dano",IF($FW39=0,IF($ET39=1,"sem cura","sem dano"),IF($ET39=1,"cura ","")&amp;$FW39&amp;"d8")))</f>
        <v/>
      </c>
      <c r="GE39" s="141">
        <f>IF($ET39=2,3*$FX39&amp;" de vida temp.",IF($ET39=3,"sem dano",IF($FX39=0,IF($ET39=1,"sem cura","sem dano"),IF($ET39=1,"cura ","")&amp;$FX39&amp;"d8")))</f>
        <v/>
      </c>
      <c r="GF39" s="141">
        <f>IF($EF39=0,"",TEXTJOIN(" · ",TRUE,IF(AND($DU39=1,$DV39&gt;$HE$9),"O nível "&amp;$HE$2&amp;" dá "&amp;$HE$9&amp;" Liberação Máxima",""),IF($DW39&gt;$HE$4,"Classe "&amp;$DW39&amp;": o nível "&amp;$HE$2&amp;" libera até a "&amp;$HE$4,""),IF($EM39=1,"Família Fechada: a Forma "&amp;$DY39,""),IF($EN39=1,"Família Fechada: "&amp;$DZ39,""),IF($EO39=1,"Família Fechada: "&amp;$EA39,""),IF($EP39=1,"Família Fechada: "&amp;$EB39,""),IF($EQ39=1,"Família Fechada: "&amp;$EC39,""),IF($FH39&gt;INDEX($W$2:$W$8,$DW39),$FH39&amp;" Melhorias: a Classe "&amp;$DW39&amp;" aceita "&amp;INDEX($W$2:$W$8,$DW39),""),IF($FI39&gt;2,$FI39&amp;" Restrições"&amp;IF($ES39=1,", contando a que a Forma "&amp;$DY39&amp;" já traz","")&amp;": o limite é 2",""),IF($FO39&lt;0,"Orçamento estourado: faltam "&amp;(-$FO39)&amp;IF($FO39&lt;-1," pontos"," ponto"),""),IF(IFERROR(VLOOKUP($ED39,$BL$2:$BP$24,4,FALSE),0)+IFERROR(VLOOKUP($EE39,$BL$2:$BP$24,4,FALSE),0)&gt;1,$EX39&amp;" e "&amp;$EY39&amp;" são as duas de frequência",""),IF(AND((COUNTIF($DZ39:$EC39,"Rápido")+COUNTIF($EX39:$EY39,"Rápido"))&gt;0,(COUNTIF($DZ39:$EC39,"Reação")+COUNTIF($EX39:$EY39,"Reação"))&gt;0),"Rápido não entra com Reação",""),IF(AND((COUNTIF($DZ39:$EC39,"Rápido")+COUNTIF($EX39:$EY39,"Rápido"))&gt;0,(COUNTIF($DZ39:$EC39,"Atrasar")+COUNTIF($EX39:$EY39,"Atrasar"))&gt;0),"Rápido não entra com Atrasar",""),IF(AND((COUNTIF($DZ39:$EC39,"Reação")+COUNTIF($EX39:$EY39,"Reação"))&gt;0,(COUNTIF($DZ39:$EC39,"Atrasar")+COUNTIF($EX39:$EY39,"Atrasar"))&gt;0),"Reação não entra com Atrasar",""),IF(AND((COUNTIF($DZ39:$EC39,"Reação")+COUNTIF($EX39:$EY39,"Reação"))&gt;0,(COUNTIF($DZ39:$EC39,"Parado")+COUNTIF($EX39:$EY39,"Parado"))&gt;0),"Reação não entra com Parado",""),IF(AND(COUNTIF($EX39:$EY39,"Corpo a Corpo")&gt;0,$ES39=0,OR($DY39="Cone",$DY39="Linha")),"Corpo a Corpo não entra em "&amp;$DY39,""),IF(AND(COUNTIF($EX39:$EY39,"Corpo a Corpo")&gt;0,$ES39=1),"A Forma "&amp;$DY39&amp;" já traz o Corpo a Corpo",""),IF(AND(COUNTIF($EX39:$EY39,"Tudo ou Nada")&gt;0,$EU39=0),"Tudo ou Nada só entra em feitiço de Teste de Resistência",""),IF(AND(COUNTIF($DZ39:$EC39,"Inescapável")&gt;0,OR($FH39&gt;1,$FI39&gt;0)),"Inescapável não aceita outra peça",""),IF(AND($DU39=1,$DW39&lt;3),"Liberação Máxima é de Classe 3 ou mais",""),IF(AND($DU39=1,OR($ET39=1,$ET39=2)),"Liberação Máxima não serve para cura",""),IF(AND($DU39=1,COUNTIF($DZ39:$EC39,"Inescapável")+COUNTIF($DZ39:$EC39,"Toca a Alma")&gt;0),"Esta peça não entra numa Liberação Máxima",""),IF($FP39+$FQ39&gt;4*$DW39,($FP39+$FQ39)&amp;" dados somando alvos e repetições: o teto da Classe "&amp;$DW39&amp;" é "&amp;4*$DW39,"")))</f>
        <v/>
      </c>
      <c r="GG39" s="141">
        <f>IF($GF39="",0,(LEN($GF39)-LEN(SUBSTITUTE($GF39," · ","")))/3+1)</f>
        <v/>
      </c>
      <c r="GH39" s="141">
        <f>IF($EF39=0,"",TEXTJOIN(" · ",TRUE,IF($FK39&gt;2*$DW39,"A devolução parou no teto de "&amp;2*$DW39,""),IF($FN39&gt;0,"Devolução perdida: "&amp;$FN39&amp;IF($FN39&gt;1," pontos"," ponto")&amp;" sem peça para pagar",""),IF(AND($ER39&gt;0,$FP39=0),"Controle sem dano: uma rodada a mais e CD +2",""),IF(AND($ER39&gt;0,$FP39&gt;0,$FP39&lt;=$DW39),"Controle com um quarto do teto: uma rodada a mais","")))</f>
        <v/>
      </c>
      <c r="GI39" s="141">
        <f>IF($GH39="",0,(LEN($GH39)-LEN(SUBSTITUTE($GH39," · ","")))/3+1)</f>
        <v/>
      </c>
      <c r="GJ39" s="141">
        <f>IF($EF39=0,IF($FH39+$FI39-$ES39&gt;0,"Dê um nome",""),IF($GG39&gt;0,"⚠ "&amp;$GG39&amp;IF($GG39&gt;1," erros"," erro"),IF($GI39&gt;0,"! "&amp;$GI39&amp;IF($GI39&gt;1," avisos"," aviso"),"Na regra")))</f>
        <v/>
      </c>
      <c r="GK39" s="141">
        <f>IF($EF39=0,"",IF($GG39+$GI39=0,"Dentro das regras que a ficha confere",$GF39&amp;IF(AND($GG39&gt;0,$GI39&gt;0)," · ","")&amp;$GH39))</f>
        <v/>
      </c>
      <c r="GL39" s="141">
        <f>IF($EF39=0,"",IF($DU39=1,CEILING(4.5*$DW39,1),3*$DW39)&amp;" PE")</f>
        <v/>
      </c>
      <c r="GM39" s="141">
        <f>IF($EF39=0,"",IF($DU39=1,"Rodada inteira",IF(COUNTIF($EX39:$EY39,"Atrasar")&gt;0,IF(COUNTIF($EX39:$EY39,"Carregar")&gt;0,"Rodada +1 turno","Rodada inteira"),IF(COUNTIF($DZ39:$EC39,"Rápido")&gt;0,"Bônus",IF(COUNTIF($DZ39:$EC39,"Reação")&gt;0,"Reação","Padrão"))&amp;IF(COUNTIF($EX39:$EY39,"Carregar")&gt;0," +1 turno",""))))</f>
        <v/>
      </c>
      <c r="GN39" s="141">
        <f>IF(OR($EF39=0,$EG39=0),"",IF(COUNTIF($DZ39:$EC39,"Inescapável")&gt;0,"Automático",IF(COUNTIF($DZ39:$EC39,"Certeiro")&gt;0,"TR para metade",INDEX($AF$2:$AF$11,$EG39))))</f>
        <v/>
      </c>
      <c r="GO39" s="141">
        <f>IF(OR($EF39=0,$EG39=0),"",IF(OR($ET39&gt;=2,$FP39=0),UPPER(LEFT(INDEX($FY39:$GE39,1,$DW39),1))&amp;MID(INDEX($FY39:$GE39,1,$DW39),2,99),UPPER(LEFT(INDEX($FY39:$GE39,1,$DW39),1))&amp;MID(INDEX($FY39:$GE39,1,$DW39),2,99)&amp;" = "&amp;FLOOR($FP39*4.5,1)&amp;IF($FQ39&gt;0," · +"&amp;$FQ39&amp;"d8","")))</f>
        <v/>
      </c>
      <c r="GP39" s="141">
        <f>COUNTIF($DZ39:$EC39,"Longe")+3*COUNTIF($DZ39:$EC39,"Muito Longe")</f>
        <v/>
      </c>
      <c r="GQ39" s="141">
        <f>COUNTIF($DZ39:$EC39,"Maior")+3*COUNTIF($DZ39:$EC39,"Muito Maior")</f>
        <v/>
      </c>
      <c r="GR39" s="141">
        <f>IF($EG39=0,0,CHOOSE(1+INDEX($AH$2:$AH$11,$EG39),0,$GP39,$GQ39,$GP39+$GQ39))</f>
        <v/>
      </c>
      <c r="GS39" s="141">
        <f>IF($EG39=0,0,CHOOSE(1+INDEX($AI$2:$AI$11,$EG39),0,$GP39,$GQ39,$GP39+$GQ39))</f>
        <v/>
      </c>
      <c r="GT39" s="141">
        <f>IF(OR($EF39=0,$EG39=0),"",INDEX($AP$2:$AU$31,($EG39-1)*3+IF($DW39&gt;=6,3,2),1+MIN(5,$GR39))&amp;INDEX($AV$2:$BA$31,($EG39-1)*3+IF($DW39&gt;=6,3,2),1+MIN(5,$GS39))&amp;IF(INDEX($AJ$2:$AJ$11,$EG39)=1,IF(COUNTIF($DZ39:$EC39,"Mais Um")&gt;0," · +"&amp;COUNTIF($DZ39:$EC39,"Mais Um")&amp;IF(COUNTIF($DZ39:$EC39,"Mais Um")&gt;1," alvos"," alvo"),"")&amp;IF(COUNTIF($DZ39:$EC39,"Rajada")&gt;0," · "&amp;($DW39+1)&amp;" tiros",""),""))</f>
        <v/>
      </c>
      <c r="GU39" s="141">
        <f>IF($EF39=0,"",3*$DW39&amp;" − "&amp;$FJ39&amp;" + "&amp;$FM39&amp;IF($DU39=1," + "&amp;$DW39,"")&amp;" = "&amp;$FP39&amp;"d8 · teto "&amp;4*$DW39&amp;IF($ES39=1," · a Forma devolve "&amp;$DW39,"")&amp;IF($FN39&gt;0," · perde "&amp;$FN39,""))</f>
        <v/>
      </c>
      <c r="GV39" s="141">
        <f>IF($EF39=0,"",IF($DW39&gt;=$HE$4,"Já está na maior Classe que o nível liberou",TEXTJOIN(" · ",TRUE,IF(AND(2&gt;$DW39,2&lt;=$HE$4),"2 → "&amp;$FZ39&amp;", "&amp;IF($DU39=1,9,6)&amp;" PE",""),IF(AND(3&gt;$DW39,3&lt;=$HE$4),"3 → "&amp;$GA39&amp;", "&amp;IF($DU39=1,14,9)&amp;" PE",""),IF(AND(4&gt;$DW39,4&lt;=$HE$4),"4 → "&amp;$GB39&amp;", "&amp;IF($DU39=1,18,12)&amp;" PE",""),IF(AND(5&gt;$DW39,5&lt;=$HE$4),"5 → "&amp;$GC39&amp;", "&amp;IF($DU39=1,23,15)&amp;" PE",""),IF(AND(6&gt;$DW39,6&lt;=$HE$4),"6 → "&amp;$GD39&amp;", "&amp;IF($DU39=1,27,18)&amp;" PE",""),IF(AND(7&gt;$DW39,7&lt;=$HE$4),"7 → "&amp;$GE39&amp;", "&amp;IF($DU39=1,32,21)&amp;" PE",""))))</f>
        <v/>
      </c>
      <c r="GW39" s="141">
        <f>IF(OR($EF39=0,$EI39=0),"","−"&amp;INDEX($Q$2:$V$8,$DW39,$EI39)&amp;" · "&amp;CHOOSE($EI39,"Leve","Média","Pesada","Leve · Livre","Média · Livre","Pesada · Livre"))</f>
        <v/>
      </c>
      <c r="GX39" s="141">
        <f>IF(OR($EF39=0,$EJ39=0),"","−"&amp;INDEX($Q$2:$V$8,$DW39,$EJ39)&amp;" · "&amp;CHOOSE($EJ39,"Leve","Média","Pesada","Leve · Livre","Média · Livre","Pesada · Livre"))</f>
        <v/>
      </c>
      <c r="GY39" s="141">
        <f>IF(OR($EF39=0,$EK39=0),"","−"&amp;INDEX($Q$2:$V$8,$DW39,$EK39)&amp;" · "&amp;CHOOSE($EK39,"Leve","Média","Pesada","Leve · Livre","Média · Livre","Pesada · Livre"))</f>
        <v/>
      </c>
      <c r="GZ39" s="141">
        <f>IF(OR($EF39=0,$EL39=0),"","−"&amp;INDEX($Q$2:$V$8,$DW39,$EL39)&amp;" · "&amp;CHOOSE($EL39,"Leve","Média","Pesada","Leve · Livre","Média · Livre","Pesada · Livre"))</f>
        <v/>
      </c>
      <c r="HA39" s="141">
        <f>IF(OR($EF39=0,$ED39=""),"","+"&amp;IF($EV39=1,CEILING($DW39/2,1),$DW39))</f>
        <v/>
      </c>
      <c r="HB39" s="141">
        <f>IF(OR($EF39=0,$EE39=""),"","+"&amp;IF($EW39=1,CEILING($DW39/2,1),$DW39))</f>
        <v/>
      </c>
      <c r="HD39" s="114" t="inlineStr">
        <is>
          <t>rota</t>
        </is>
      </c>
      <c r="HE39" s="141">
        <f>$A$2</f>
        <v/>
      </c>
      <c r="IJ39" s="114" t="inlineStr">
        <is>
          <t>D354</t>
        </is>
      </c>
      <c r="IK39" s="141">
        <f>IF(DADOS_AM!$A$2=1,"EXPANSÃO DE DOMÍNIO","EXPANSÃO DE DOMÍNIO · ESTA ROTA NÃO TEM")</f>
        <v/>
      </c>
    </row>
    <row r="40">
      <c r="BC40" s="114" t="inlineStr">
        <is>
          <t>Queima</t>
        </is>
      </c>
      <c r="BD40" s="114" t="inlineStr">
        <is>
          <t>Castigo</t>
        </is>
      </c>
      <c r="BE40" s="141" t="n">
        <v>2</v>
      </c>
      <c r="BF40" s="141">
        <f>$BE40+3*IFERROR(VLOOKUP($BD40,$I$2:$L$10,3,FALSE),0)</f>
        <v/>
      </c>
      <c r="BG40" s="141">
        <f>IFERROR(VLOOKUP($BD40,$I$2:$L$10,4,FALSE),0)</f>
        <v/>
      </c>
      <c r="BH40" s="141" t="n">
        <v>0</v>
      </c>
      <c r="BI40" s="141">
        <f>IF($BG40=1,"",$BC40)</f>
        <v/>
      </c>
      <c r="BJ40" s="141">
        <f>IF(AND($BE40=1,$BG40=0),$BC40,"")</f>
        <v/>
      </c>
      <c r="DT40" s="114" t="inlineStr">
        <is>
          <t>Liberação 3</t>
        </is>
      </c>
      <c r="DU40" s="141" t="n">
        <v>1</v>
      </c>
      <c r="DV40" s="141" t="n">
        <v>3</v>
      </c>
      <c r="DW40" s="141">
        <f>MAX(1,MIN(7,N('FICHA AMALDIÇOADA'!$P$319)))</f>
        <v/>
      </c>
      <c r="DX40" s="141">
        <f>'FICHA AMALDIÇOADA'!$Q$319&amp;""</f>
        <v/>
      </c>
      <c r="DY40" s="141">
        <f>'FICHA AMALDIÇOADA'!$P$326&amp;""</f>
        <v/>
      </c>
      <c r="DZ40" s="141">
        <f>'FICHA AMALDIÇOADA'!$Q$328&amp;""</f>
        <v/>
      </c>
      <c r="EA40" s="141">
        <f>'FICHA AMALDIÇOADA'!$Q$329&amp;""</f>
        <v/>
      </c>
      <c r="EB40" s="141">
        <f>'FICHA AMALDIÇOADA'!$Q$330&amp;""</f>
        <v/>
      </c>
      <c r="EC40" s="141">
        <f>'FICHA AMALDIÇOADA'!$Q$331&amp;""</f>
        <v/>
      </c>
      <c r="ED40" s="141">
        <f>'FICHA AMALDIÇOADA'!$Q$332&amp;""</f>
        <v/>
      </c>
      <c r="EE40" s="141">
        <f>'FICHA AMALDIÇOADA'!$Q$333&amp;""</f>
        <v/>
      </c>
      <c r="EF40" s="141">
        <f>IF($DX40&lt;&gt;"",1,0)</f>
        <v/>
      </c>
      <c r="EG40" s="141">
        <f>IFERROR(MATCH($DY40,$Y$2:$Y$11,0),0)</f>
        <v/>
      </c>
      <c r="EH40" s="141">
        <f>IF($EG40=0,0,INDEX($AB$2:$AB$11,$EG40))</f>
        <v/>
      </c>
      <c r="EI40" s="141">
        <f>IFERROR(VLOOKUP($DZ40,$BC$2:$BJ$84,4,FALSE),0)</f>
        <v/>
      </c>
      <c r="EJ40" s="141">
        <f>IFERROR(VLOOKUP($EA40,$BC$2:$BJ$84,4,FALSE),0)</f>
        <v/>
      </c>
      <c r="EK40" s="141">
        <f>IFERROR(VLOOKUP($EB40,$BC$2:$BJ$84,4,FALSE),0)</f>
        <v/>
      </c>
      <c r="EL40" s="141">
        <f>IFERROR(VLOOKUP($EC40,$BC$2:$BJ$84,4,FALSE),0)</f>
        <v/>
      </c>
      <c r="EM40" s="141">
        <f>IF($EG40=0,0,INDEX($AC$2:$AC$11,$EG40))</f>
        <v/>
      </c>
      <c r="EN40" s="141">
        <f>IFERROR(VLOOKUP($DZ40,$BC$2:$BJ$84,5,FALSE),0)</f>
        <v/>
      </c>
      <c r="EO40" s="141">
        <f>IFERROR(VLOOKUP($EA40,$BC$2:$BJ$84,5,FALSE),0)</f>
        <v/>
      </c>
      <c r="EP40" s="141">
        <f>IFERROR(VLOOKUP($EB40,$BC$2:$BJ$84,5,FALSE),0)</f>
        <v/>
      </c>
      <c r="EQ40" s="141">
        <f>IFERROR(VLOOKUP($EC40,$BC$2:$BJ$84,5,FALSE),0)</f>
        <v/>
      </c>
      <c r="ER40" s="141">
        <f>IFERROR(VLOOKUP($DZ40,$BC$2:$BJ$84,6,FALSE),0)+IFERROR(VLOOKUP($EA40,$BC$2:$BJ$84,6,FALSE),0)+IFERROR(VLOOKUP($EB40,$BC$2:$BJ$84,6,FALSE),0)+IFERROR(VLOOKUP($EC40,$BC$2:$BJ$84,6,FALSE),0)</f>
        <v/>
      </c>
      <c r="ES40" s="141">
        <f>IF($EG40=0,0,INDEX($AD$2:$AD$11,$EG40))</f>
        <v/>
      </c>
      <c r="ET40" s="141">
        <f>IF($EG40=0,0,INDEX($AE$2:$AE$11,$EG40))</f>
        <v/>
      </c>
      <c r="EU40" s="141">
        <f>IF($EG40=0,0,INDEX($AG$2:$AG$11,$EG40))</f>
        <v/>
      </c>
      <c r="EV40" s="141">
        <f>IFERROR(VLOOKUP($ED40,$BL$2:$BP$24,3,FALSE),0)</f>
        <v/>
      </c>
      <c r="EW40" s="141">
        <f>IFERROR(VLOOKUP($EE40,$BL$2:$BP$24,3,FALSE),0)</f>
        <v/>
      </c>
      <c r="EX40" s="141">
        <f>IFERROR(VLOOKUP($ED40,$BL$2:$BP$24,2,FALSE),"")</f>
        <v/>
      </c>
      <c r="EY40" s="141">
        <f>IFERROR(VLOOKUP($EE40,$BL$2:$BP$24,2,FALSE),"")</f>
        <v/>
      </c>
      <c r="EZ40" s="141">
        <f>COUNTIF($EH40:$EL40,1)</f>
        <v/>
      </c>
      <c r="FA40" s="141">
        <f>COUNTIF($EH40:$EL40,2)</f>
        <v/>
      </c>
      <c r="FB40" s="141">
        <f>COUNTIF($EH40:$EL40,3)</f>
        <v/>
      </c>
      <c r="FC40" s="141">
        <f>COUNTIF($EH40:$EL40,4)</f>
        <v/>
      </c>
      <c r="FD40" s="141">
        <f>COUNTIF($EH40:$EL40,5)</f>
        <v/>
      </c>
      <c r="FE40" s="141">
        <f>COUNTIF($EH40:$EL40,6)</f>
        <v/>
      </c>
      <c r="FF40" s="141">
        <f>COUNTIF($EV40:$EW40,1)</f>
        <v/>
      </c>
      <c r="FG40" s="141">
        <f>COUNTIF($EV40:$EW40,2)+$ES40</f>
        <v/>
      </c>
      <c r="FH40" s="141">
        <f>COUNTIF($DZ40:$EC40,"?*")</f>
        <v/>
      </c>
      <c r="FI40" s="141">
        <f>COUNTIF($ED40:$EE40,"?*")+$ES40</f>
        <v/>
      </c>
      <c r="FJ40" s="141">
        <f>SUMPRODUCT($EZ40:$FE40,INDEX($Q$2:$V$8,$DW40,0))</f>
        <v/>
      </c>
      <c r="FK40" s="141">
        <f>$FF40*CEILING($DW40/2,1)+$FG40*$DW40</f>
        <v/>
      </c>
      <c r="FL40" s="141">
        <f>MIN(2*$DW40,$FK40)</f>
        <v/>
      </c>
      <c r="FM40" s="141">
        <f>MIN($FL40,$FJ40)</f>
        <v/>
      </c>
      <c r="FN40" s="141">
        <f>$FL40-$FM40</f>
        <v/>
      </c>
      <c r="FO40" s="141">
        <f>3*$DW40-$FJ40+$FM40</f>
        <v/>
      </c>
      <c r="FP40" s="141">
        <f>MAX(0,$FO40)+$DU40*$DW40</f>
        <v/>
      </c>
      <c r="FQ40" s="141">
        <f>(IF(COUNTIF($DZ40:$EC40,"Salto")&gt;0,1,0)+IF(COUNTIF($DZ40:$EC40,"Queima")&gt;0,1,0))*FLOOR($FP40/2,1)</f>
        <v/>
      </c>
      <c r="FR40" s="141">
        <f>MAX(0,3-SUMPRODUCT($EZ40:$FE40,$Q$2:$V$2)+MIN(2,$FF40*1+$FG40*1,SUMPRODUCT($EZ40:$FE40,$Q$2:$V$2)))+$DU40*1</f>
        <v/>
      </c>
      <c r="FS40" s="141">
        <f>MAX(0,6-SUMPRODUCT($EZ40:$FE40,$Q$3:$V$3)+MIN(4,$FF40*1+$FG40*2,SUMPRODUCT($EZ40:$FE40,$Q$3:$V$3)))+$DU40*2</f>
        <v/>
      </c>
      <c r="FT40" s="141">
        <f>MAX(0,9-SUMPRODUCT($EZ40:$FE40,$Q$4:$V$4)+MIN(6,$FF40*2+$FG40*3,SUMPRODUCT($EZ40:$FE40,$Q$4:$V$4)))+$DU40*3</f>
        <v/>
      </c>
      <c r="FU40" s="141">
        <f>MAX(0,12-SUMPRODUCT($EZ40:$FE40,$Q$5:$V$5)+MIN(8,$FF40*2+$FG40*4,SUMPRODUCT($EZ40:$FE40,$Q$5:$V$5)))+$DU40*4</f>
        <v/>
      </c>
      <c r="FV40" s="141">
        <f>MAX(0,15-SUMPRODUCT($EZ40:$FE40,$Q$6:$V$6)+MIN(10,$FF40*3+$FG40*5,SUMPRODUCT($EZ40:$FE40,$Q$6:$V$6)))+$DU40*5</f>
        <v/>
      </c>
      <c r="FW40" s="141">
        <f>MAX(0,18-SUMPRODUCT($EZ40:$FE40,$Q$7:$V$7)+MIN(12,$FF40*3+$FG40*6,SUMPRODUCT($EZ40:$FE40,$Q$7:$V$7)))+$DU40*6</f>
        <v/>
      </c>
      <c r="FX40" s="141">
        <f>MAX(0,21-SUMPRODUCT($EZ40:$FE40,$Q$8:$V$8)+MIN(14,$FF40*4+$FG40*7,SUMPRODUCT($EZ40:$FE40,$Q$8:$V$8)))+$DU40*7</f>
        <v/>
      </c>
      <c r="FY40" s="141">
        <f>IF($ET40=2,3*$FR40&amp;" de vida temp.",IF($ET40=3,"sem dano",IF($FR40=0,IF($ET40=1,"sem cura","sem dano"),IF($ET40=1,"cura ","")&amp;$FR40&amp;"d8")))</f>
        <v/>
      </c>
      <c r="FZ40" s="141">
        <f>IF($ET40=2,3*$FS40&amp;" de vida temp.",IF($ET40=3,"sem dano",IF($FS40=0,IF($ET40=1,"sem cura","sem dano"),IF($ET40=1,"cura ","")&amp;$FS40&amp;"d8")))</f>
        <v/>
      </c>
      <c r="GA40" s="141">
        <f>IF($ET40=2,3*$FT40&amp;" de vida temp.",IF($ET40=3,"sem dano",IF($FT40=0,IF($ET40=1,"sem cura","sem dano"),IF($ET40=1,"cura ","")&amp;$FT40&amp;"d8")))</f>
        <v/>
      </c>
      <c r="GB40" s="141">
        <f>IF($ET40=2,3*$FU40&amp;" de vida temp.",IF($ET40=3,"sem dano",IF($FU40=0,IF($ET40=1,"sem cura","sem dano"),IF($ET40=1,"cura ","")&amp;$FU40&amp;"d8")))</f>
        <v/>
      </c>
      <c r="GC40" s="141">
        <f>IF($ET40=2,3*$FV40&amp;" de vida temp.",IF($ET40=3,"sem dano",IF($FV40=0,IF($ET40=1,"sem cura","sem dano"),IF($ET40=1,"cura ","")&amp;$FV40&amp;"d8")))</f>
        <v/>
      </c>
      <c r="GD40" s="141">
        <f>IF($ET40=2,3*$FW40&amp;" de vida temp.",IF($ET40=3,"sem dano",IF($FW40=0,IF($ET40=1,"sem cura","sem dano"),IF($ET40=1,"cura ","")&amp;$FW40&amp;"d8")))</f>
        <v/>
      </c>
      <c r="GE40" s="141">
        <f>IF($ET40=2,3*$FX40&amp;" de vida temp.",IF($ET40=3,"sem dano",IF($FX40=0,IF($ET40=1,"sem cura","sem dano"),IF($ET40=1,"cura ","")&amp;$FX40&amp;"d8")))</f>
        <v/>
      </c>
      <c r="GF40" s="141">
        <f>IF($EF40=0,"",TEXTJOIN(" · ",TRUE,IF(AND($DU40=1,$DV40&gt;$HE$9),"O nível "&amp;$HE$2&amp;" dá "&amp;$HE$9&amp;" Liberação Máxima",""),IF($DW40&gt;$HE$4,"Classe "&amp;$DW40&amp;": o nível "&amp;$HE$2&amp;" libera até a "&amp;$HE$4,""),IF($EM40=1,"Família Fechada: a Forma "&amp;$DY40,""),IF($EN40=1,"Família Fechada: "&amp;$DZ40,""),IF($EO40=1,"Família Fechada: "&amp;$EA40,""),IF($EP40=1,"Família Fechada: "&amp;$EB40,""),IF($EQ40=1,"Família Fechada: "&amp;$EC40,""),IF($FH40&gt;INDEX($W$2:$W$8,$DW40),$FH40&amp;" Melhorias: a Classe "&amp;$DW40&amp;" aceita "&amp;INDEX($W$2:$W$8,$DW40),""),IF($FI40&gt;2,$FI40&amp;" Restrições"&amp;IF($ES40=1,", contando a que a Forma "&amp;$DY40&amp;" já traz","")&amp;": o limite é 2",""),IF($FO40&lt;0,"Orçamento estourado: faltam "&amp;(-$FO40)&amp;IF($FO40&lt;-1," pontos"," ponto"),""),IF(IFERROR(VLOOKUP($ED40,$BL$2:$BP$24,4,FALSE),0)+IFERROR(VLOOKUP($EE40,$BL$2:$BP$24,4,FALSE),0)&gt;1,$EX40&amp;" e "&amp;$EY40&amp;" são as duas de frequência",""),IF(AND((COUNTIF($DZ40:$EC40,"Rápido")+COUNTIF($EX40:$EY40,"Rápido"))&gt;0,(COUNTIF($DZ40:$EC40,"Reação")+COUNTIF($EX40:$EY40,"Reação"))&gt;0),"Rápido não entra com Reação",""),IF(AND((COUNTIF($DZ40:$EC40,"Rápido")+COUNTIF($EX40:$EY40,"Rápido"))&gt;0,(COUNTIF($DZ40:$EC40,"Atrasar")+COUNTIF($EX40:$EY40,"Atrasar"))&gt;0),"Rápido não entra com Atrasar",""),IF(AND((COUNTIF($DZ40:$EC40,"Reação")+COUNTIF($EX40:$EY40,"Reação"))&gt;0,(COUNTIF($DZ40:$EC40,"Atrasar")+COUNTIF($EX40:$EY40,"Atrasar"))&gt;0),"Reação não entra com Atrasar",""),IF(AND((COUNTIF($DZ40:$EC40,"Reação")+COUNTIF($EX40:$EY40,"Reação"))&gt;0,(COUNTIF($DZ40:$EC40,"Parado")+COUNTIF($EX40:$EY40,"Parado"))&gt;0),"Reação não entra com Parado",""),IF(AND(COUNTIF($EX40:$EY40,"Corpo a Corpo")&gt;0,$ES40=0,OR($DY40="Cone",$DY40="Linha")),"Corpo a Corpo não entra em "&amp;$DY40,""),IF(AND(COUNTIF($EX40:$EY40,"Corpo a Corpo")&gt;0,$ES40=1),"A Forma "&amp;$DY40&amp;" já traz o Corpo a Corpo",""),IF(AND(COUNTIF($EX40:$EY40,"Tudo ou Nada")&gt;0,$EU40=0),"Tudo ou Nada só entra em feitiço de Teste de Resistência",""),IF(AND(COUNTIF($DZ40:$EC40,"Inescapável")&gt;0,OR($FH40&gt;1,$FI40&gt;0)),"Inescapável não aceita outra peça",""),IF(AND($DU40=1,$DW40&lt;3),"Liberação Máxima é de Classe 3 ou mais",""),IF(AND($DU40=1,OR($ET40=1,$ET40=2)),"Liberação Máxima não serve para cura",""),IF(AND($DU40=1,COUNTIF($DZ40:$EC40,"Inescapável")+COUNTIF($DZ40:$EC40,"Toca a Alma")&gt;0),"Esta peça não entra numa Liberação Máxima",""),IF($FP40+$FQ40&gt;4*$DW40,($FP40+$FQ40)&amp;" dados somando alvos e repetições: o teto da Classe "&amp;$DW40&amp;" é "&amp;4*$DW40,"")))</f>
        <v/>
      </c>
      <c r="GG40" s="141">
        <f>IF($GF40="",0,(LEN($GF40)-LEN(SUBSTITUTE($GF40," · ","")))/3+1)</f>
        <v/>
      </c>
      <c r="GH40" s="141">
        <f>IF($EF40=0,"",TEXTJOIN(" · ",TRUE,IF($FK40&gt;2*$DW40,"A devolução parou no teto de "&amp;2*$DW40,""),IF($FN40&gt;0,"Devolução perdida: "&amp;$FN40&amp;IF($FN40&gt;1," pontos"," ponto")&amp;" sem peça para pagar",""),IF(AND($ER40&gt;0,$FP40=0),"Controle sem dano: uma rodada a mais e CD +2",""),IF(AND($ER40&gt;0,$FP40&gt;0,$FP40&lt;=$DW40),"Controle com um quarto do teto: uma rodada a mais","")))</f>
        <v/>
      </c>
      <c r="GI40" s="141">
        <f>IF($GH40="",0,(LEN($GH40)-LEN(SUBSTITUTE($GH40," · ","")))/3+1)</f>
        <v/>
      </c>
      <c r="GJ40" s="141">
        <f>IF($EF40=0,IF($FH40+$FI40-$ES40&gt;0,"Dê um nome",""),IF($GG40&gt;0,"⚠ "&amp;$GG40&amp;IF($GG40&gt;1," erros"," erro"),IF($GI40&gt;0,"! "&amp;$GI40&amp;IF($GI40&gt;1," avisos"," aviso"),"Na regra")))</f>
        <v/>
      </c>
      <c r="GK40" s="141">
        <f>IF($EF40=0,"",IF($GG40+$GI40=0,"Dentro das regras que a ficha confere",$GF40&amp;IF(AND($GG40&gt;0,$GI40&gt;0)," · ","")&amp;$GH40))</f>
        <v/>
      </c>
      <c r="GL40" s="141">
        <f>IF($EF40=0,"",IF($DU40=1,CEILING(4.5*$DW40,1),3*$DW40)&amp;" PE")</f>
        <v/>
      </c>
      <c r="GM40" s="141">
        <f>IF($EF40=0,"",IF($DU40=1,"Rodada inteira",IF(COUNTIF($EX40:$EY40,"Atrasar")&gt;0,IF(COUNTIF($EX40:$EY40,"Carregar")&gt;0,"Rodada +1 turno","Rodada inteira"),IF(COUNTIF($DZ40:$EC40,"Rápido")&gt;0,"Bônus",IF(COUNTIF($DZ40:$EC40,"Reação")&gt;0,"Reação","Padrão"))&amp;IF(COUNTIF($EX40:$EY40,"Carregar")&gt;0," +1 turno",""))))</f>
        <v/>
      </c>
      <c r="GN40" s="141">
        <f>IF(OR($EF40=0,$EG40=0),"",IF(COUNTIF($DZ40:$EC40,"Inescapável")&gt;0,"Automático",IF(COUNTIF($DZ40:$EC40,"Certeiro")&gt;0,"TR para metade",INDEX($AF$2:$AF$11,$EG40))))</f>
        <v/>
      </c>
      <c r="GO40" s="141">
        <f>IF(OR($EF40=0,$EG40=0),"",IF(OR($ET40&gt;=2,$FP40=0),UPPER(LEFT(INDEX($FY40:$GE40,1,$DW40),1))&amp;MID(INDEX($FY40:$GE40,1,$DW40),2,99),UPPER(LEFT(INDEX($FY40:$GE40,1,$DW40),1))&amp;MID(INDEX($FY40:$GE40,1,$DW40),2,99)&amp;" = "&amp;FLOOR($FP40*4.5,1)&amp;IF($FQ40&gt;0," · +"&amp;$FQ40&amp;"d8","")))</f>
        <v/>
      </c>
      <c r="GP40" s="141">
        <f>COUNTIF($DZ40:$EC40,"Longe")+3*COUNTIF($DZ40:$EC40,"Muito Longe")</f>
        <v/>
      </c>
      <c r="GQ40" s="141">
        <f>COUNTIF($DZ40:$EC40,"Maior")+3*COUNTIF($DZ40:$EC40,"Muito Maior")</f>
        <v/>
      </c>
      <c r="GR40" s="141">
        <f>IF($EG40=0,0,CHOOSE(1+INDEX($AH$2:$AH$11,$EG40),0,$GP40,$GQ40,$GP40+$GQ40))</f>
        <v/>
      </c>
      <c r="GS40" s="141">
        <f>IF($EG40=0,0,CHOOSE(1+INDEX($AI$2:$AI$11,$EG40),0,$GP40,$GQ40,$GP40+$GQ40))</f>
        <v/>
      </c>
      <c r="GT40" s="141">
        <f>IF(OR($EF40=0,$EG40=0),"",INDEX($AP$2:$AU$31,($EG40-1)*3+IF($DW40&gt;=6,3,2),1+MIN(5,$GR40))&amp;INDEX($AV$2:$BA$31,($EG40-1)*3+IF($DW40&gt;=6,3,2),1+MIN(5,$GS40))&amp;IF(INDEX($AJ$2:$AJ$11,$EG40)=1,IF(COUNTIF($DZ40:$EC40,"Mais Um")&gt;0," · +"&amp;COUNTIF($DZ40:$EC40,"Mais Um")&amp;IF(COUNTIF($DZ40:$EC40,"Mais Um")&gt;1," alvos"," alvo"),"")&amp;IF(COUNTIF($DZ40:$EC40,"Rajada")&gt;0," · "&amp;($DW40+1)&amp;" tiros",""),""))</f>
        <v/>
      </c>
      <c r="GU40" s="141">
        <f>IF($EF40=0,"",3*$DW40&amp;" − "&amp;$FJ40&amp;" + "&amp;$FM40&amp;IF($DU40=1," + "&amp;$DW40,"")&amp;" = "&amp;$FP40&amp;"d8 · teto "&amp;4*$DW40&amp;IF($ES40=1," · a Forma devolve "&amp;$DW40,"")&amp;IF($FN40&gt;0," · perde "&amp;$FN40,""))</f>
        <v/>
      </c>
      <c r="GV40" s="141">
        <f>IF($EF40=0,"",IF($DW40&gt;=$HE$4,"Já está na maior Classe que o nível liberou",TEXTJOIN(" · ",TRUE,IF(AND(2&gt;$DW40,2&lt;=$HE$4),"2 → "&amp;$FZ40&amp;", "&amp;IF($DU40=1,9,6)&amp;" PE",""),IF(AND(3&gt;$DW40,3&lt;=$HE$4),"3 → "&amp;$GA40&amp;", "&amp;IF($DU40=1,14,9)&amp;" PE",""),IF(AND(4&gt;$DW40,4&lt;=$HE$4),"4 → "&amp;$GB40&amp;", "&amp;IF($DU40=1,18,12)&amp;" PE",""),IF(AND(5&gt;$DW40,5&lt;=$HE$4),"5 → "&amp;$GC40&amp;", "&amp;IF($DU40=1,23,15)&amp;" PE",""),IF(AND(6&gt;$DW40,6&lt;=$HE$4),"6 → "&amp;$GD40&amp;", "&amp;IF($DU40=1,27,18)&amp;" PE",""),IF(AND(7&gt;$DW40,7&lt;=$HE$4),"7 → "&amp;$GE40&amp;", "&amp;IF($DU40=1,32,21)&amp;" PE",""))))</f>
        <v/>
      </c>
      <c r="GW40" s="141">
        <f>IF(OR($EF40=0,$EI40=0),"","−"&amp;INDEX($Q$2:$V$8,$DW40,$EI40)&amp;" · "&amp;CHOOSE($EI40,"Leve","Média","Pesada","Leve · Livre","Média · Livre","Pesada · Livre"))</f>
        <v/>
      </c>
      <c r="GX40" s="141">
        <f>IF(OR($EF40=0,$EJ40=0),"","−"&amp;INDEX($Q$2:$V$8,$DW40,$EJ40)&amp;" · "&amp;CHOOSE($EJ40,"Leve","Média","Pesada","Leve · Livre","Média · Livre","Pesada · Livre"))</f>
        <v/>
      </c>
      <c r="GY40" s="141">
        <f>IF(OR($EF40=0,$EK40=0),"","−"&amp;INDEX($Q$2:$V$8,$DW40,$EK40)&amp;" · "&amp;CHOOSE($EK40,"Leve","Média","Pesada","Leve · Livre","Média · Livre","Pesada · Livre"))</f>
        <v/>
      </c>
      <c r="GZ40" s="141">
        <f>IF(OR($EF40=0,$EL40=0),"","−"&amp;INDEX($Q$2:$V$8,$DW40,$EL40)&amp;" · "&amp;CHOOSE($EL40,"Leve","Média","Pesada","Leve · Livre","Média · Livre","Pesada · Livre"))</f>
        <v/>
      </c>
      <c r="HA40" s="141">
        <f>IF(OR($EF40=0,$ED40=""),"","+"&amp;IF($EV40=1,CEILING($DW40/2,1),$DW40))</f>
        <v/>
      </c>
      <c r="HB40" s="141">
        <f>IF(OR($EF40=0,$EE40=""),"","+"&amp;IF($EW40=1,CEILING($DW40/2,1),$DW40))</f>
        <v/>
      </c>
      <c r="HD40" s="114" t="inlineStr">
        <is>
          <t>equipamento</t>
        </is>
      </c>
      <c r="HE40" s="141">
        <f>'FICHA AMALDIÇOADA'!$J$16&amp;""</f>
        <v/>
      </c>
      <c r="IJ40" s="114" t="inlineStr">
        <is>
          <t>F357</t>
        </is>
      </c>
      <c r="IK40" s="141">
        <f>IF(OR(DADOS_AM!$A$2&lt;&gt;1,DADOS_AM!$HE$34=""),"—",DADOS_AM!$HE$19&amp;" espaços")</f>
        <v/>
      </c>
    </row>
    <row r="41">
      <c r="BC41" s="114" t="inlineStr">
        <is>
          <t>Acúmulo</t>
        </is>
      </c>
      <c r="BD41" s="114" t="inlineStr">
        <is>
          <t>Castigo</t>
        </is>
      </c>
      <c r="BE41" s="141" t="n">
        <v>2</v>
      </c>
      <c r="BF41" s="141">
        <f>$BE41+3*IFERROR(VLOOKUP($BD41,$I$2:$L$10,3,FALSE),0)</f>
        <v/>
      </c>
      <c r="BG41" s="141">
        <f>IFERROR(VLOOKUP($BD41,$I$2:$L$10,4,FALSE),0)</f>
        <v/>
      </c>
      <c r="BH41" s="141" t="n">
        <v>0</v>
      </c>
      <c r="BI41" s="141">
        <f>IF($BG41=1,"",$BC41)</f>
        <v/>
      </c>
      <c r="BJ41" s="141">
        <f>IF(AND($BE41=1,$BG41=0),$BC41,"")</f>
        <v/>
      </c>
      <c r="HD41" s="114" t="inlineStr">
        <is>
          <t>arma</t>
        </is>
      </c>
      <c r="HE41" s="141">
        <f>IF(AND($A$2&gt;=3,'FICHA AMALDIÇOADA'!$J$16&amp;""="Três grupos de arma"),1,0)</f>
        <v/>
      </c>
      <c r="IJ41" s="114" t="inlineStr">
        <is>
          <t>J357</t>
        </is>
      </c>
      <c r="IK41" s="141">
        <f>IF(DADOS_AM!$A$2&lt;&gt;1,"Só o Fundamento tem",IF(DADOS_AM!$HE$34="","—",IF(AND(DADOS_AM!$HE$2&gt;=IFERROR(VLOOKUP(DADOS_AM!$HE$34,DADOS_AM!$DI$2:$DM$4,3,FALSE),0),DADOS_AM!$HE$6&gt;=IFERROR(VLOOKUP(DADOS_AM!$HE$34,DADOS_AM!$DI$2:$DM$4,4,FALSE),0)),"","⚠ ")&amp;IFERROR(VLOOKUP(DADOS_AM!$HE$34,DADOS_AM!$DI$2:$DM$4,5,FALSE),"")))</f>
        <v/>
      </c>
    </row>
    <row r="42">
      <c r="BC42" s="114" t="inlineStr">
        <is>
          <t>Remate</t>
        </is>
      </c>
      <c r="BD42" s="114" t="inlineStr">
        <is>
          <t>Castigo</t>
        </is>
      </c>
      <c r="BE42" s="141" t="n">
        <v>2</v>
      </c>
      <c r="BF42" s="141">
        <f>$BE42+3*IFERROR(VLOOKUP($BD42,$I$2:$L$10,3,FALSE),0)</f>
        <v/>
      </c>
      <c r="BG42" s="141">
        <f>IFERROR(VLOOKUP($BD42,$I$2:$L$10,4,FALSE),0)</f>
        <v/>
      </c>
      <c r="BH42" s="141" t="n">
        <v>0</v>
      </c>
      <c r="BI42" s="141">
        <f>IF($BG42=1,"",$BC42)</f>
        <v/>
      </c>
      <c r="BJ42" s="141">
        <f>IF(AND($BE42=1,$BG42=0),$BC42,"")</f>
        <v/>
      </c>
      <c r="HD42" s="114" t="inlineStr">
        <is>
          <t>atributo do grupo 1</t>
        </is>
      </c>
      <c r="HE42" s="141">
        <f>IF(OR($HE$41=0,'FICHA AMALDIÇOADA'!$D$18=""),"",IF(IFERROR(VLOOKUP('FICHA AMALDIÇOADA'!$D$18,$CR$2:$CU$14,2,FALSE),0)=1,IF(AND(IFERROR(VLOOKUP('FICHA AMALDIÇOADA'!$D$18,$CR$2:$CU$14,3,FALSE),0)=1,N(FICHA!$L$19)&gt;N(FICHA!$D$19)),"Destreza","Força"),"Destreza"))</f>
        <v/>
      </c>
      <c r="IJ42" s="114" t="inlineStr">
        <is>
          <t>P357</t>
        </is>
      </c>
      <c r="IK42" s="141">
        <f>IF(DADOS_AM!$A$2&lt;&gt;1,"—",DADOS_AM!$HE$6)</f>
        <v/>
      </c>
    </row>
    <row r="43">
      <c r="BC43" s="114" t="inlineStr">
        <is>
          <t>Estilhaço</t>
        </is>
      </c>
      <c r="BD43" s="114" t="inlineStr">
        <is>
          <t>Castigo</t>
        </is>
      </c>
      <c r="BE43" s="141" t="n">
        <v>1</v>
      </c>
      <c r="BF43" s="141">
        <f>$BE43+3*IFERROR(VLOOKUP($BD43,$I$2:$L$10,3,FALSE),0)</f>
        <v/>
      </c>
      <c r="BG43" s="141">
        <f>IFERROR(VLOOKUP($BD43,$I$2:$L$10,4,FALSE),0)</f>
        <v/>
      </c>
      <c r="BH43" s="141" t="n">
        <v>0</v>
      </c>
      <c r="BI43" s="141">
        <f>IF($BG43=1,"",$BC43)</f>
        <v/>
      </c>
      <c r="BJ43" s="141">
        <f>IF(AND($BE43=1,$BG43=0),$BC43,"")</f>
        <v/>
      </c>
      <c r="HD43" s="114" t="inlineStr">
        <is>
          <t>atributo do grupo 2</t>
        </is>
      </c>
      <c r="HE43" s="141">
        <f>IF(OR($HE$41=0,'FICHA AMALDIÇOADA'!$J$18=""),"",IF(IFERROR(VLOOKUP('FICHA AMALDIÇOADA'!$J$18,$CR$2:$CU$14,2,FALSE),0)=1,IF(AND(IFERROR(VLOOKUP('FICHA AMALDIÇOADA'!$J$18,$CR$2:$CU$14,3,FALSE),0)=1,N(FICHA!$L$19)&gt;N(FICHA!$D$19)),"Destreza","Força"),"Destreza"))</f>
        <v/>
      </c>
      <c r="IJ43" s="114" t="inlineStr">
        <is>
          <t>R357</t>
        </is>
      </c>
      <c r="IK43" s="141">
        <f>IF(DADOS_AM!$A$2&lt;&gt;1,"—","Cai na "&amp;MAX(1,FLOOR(DADOS_AM!$HE$7/2,1))&amp;"ª falha")</f>
        <v/>
      </c>
    </row>
    <row r="44">
      <c r="BC44" s="114" t="inlineStr">
        <is>
          <t>Quebra Coisa</t>
        </is>
      </c>
      <c r="BD44" s="114" t="inlineStr">
        <is>
          <t>Castigo</t>
        </is>
      </c>
      <c r="BE44" s="141" t="n">
        <v>1</v>
      </c>
      <c r="BF44" s="141">
        <f>$BE44+3*IFERROR(VLOOKUP($BD44,$I$2:$L$10,3,FALSE),0)</f>
        <v/>
      </c>
      <c r="BG44" s="141">
        <f>IFERROR(VLOOKUP($BD44,$I$2:$L$10,4,FALSE),0)</f>
        <v/>
      </c>
      <c r="BH44" s="141" t="n">
        <v>0</v>
      </c>
      <c r="BI44" s="141">
        <f>IF($BG44=1,"",$BC44)</f>
        <v/>
      </c>
      <c r="BJ44" s="141">
        <f>IF(AND($BE44=1,$BG44=0),$BC44,"")</f>
        <v/>
      </c>
      <c r="HD44" s="114" t="inlineStr">
        <is>
          <t>atributo do grupo 3</t>
        </is>
      </c>
      <c r="HE44" s="141">
        <f>IF(OR($HE$41=0,'FICHA AMALDIÇOADA'!$P$18=""),"",IF(IFERROR(VLOOKUP('FICHA AMALDIÇOADA'!$P$18,$CR$2:$CU$14,2,FALSE),0)=1,IF(AND(IFERROR(VLOOKUP('FICHA AMALDIÇOADA'!$P$18,$CR$2:$CU$14,3,FALSE),0)=1,N(FICHA!$L$19)&gt;N(FICHA!$D$19)),"Destreza","Força"),"Destreza"))</f>
        <v/>
      </c>
      <c r="IJ44" s="114" t="inlineStr">
        <is>
          <t>D361</t>
        </is>
      </c>
      <c r="IK44" s="141">
        <f>IF(DADOS_AM!$A$2&lt;&gt;1,"—","Incompleta"&amp;IF(DADOS_AM!$HE$34="Incompleta"," · a sua",""))</f>
        <v/>
      </c>
    </row>
    <row r="45">
      <c r="BC45" s="114" t="inlineStr">
        <is>
          <t>Rasga Escudo</t>
        </is>
      </c>
      <c r="BD45" s="114" t="inlineStr">
        <is>
          <t>Castigo</t>
        </is>
      </c>
      <c r="BE45" s="141" t="n">
        <v>2</v>
      </c>
      <c r="BF45" s="141">
        <f>$BE45+3*IFERROR(VLOOKUP($BD45,$I$2:$L$10,3,FALSE),0)</f>
        <v/>
      </c>
      <c r="BG45" s="141">
        <f>IFERROR(VLOOKUP($BD45,$I$2:$L$10,4,FALSE),0)</f>
        <v/>
      </c>
      <c r="BH45" s="141" t="n">
        <v>0</v>
      </c>
      <c r="BI45" s="141">
        <f>IF($BG45=1,"",$BC45)</f>
        <v/>
      </c>
      <c r="BJ45" s="141">
        <f>IF(AND($BE45=1,$BG45=0),$BC45,"")</f>
        <v/>
      </c>
      <c r="HD45" s="114" t="inlineStr">
        <is>
          <t>valor do grupo 1</t>
        </is>
      </c>
      <c r="HE45" s="141">
        <f>IF($HE$42="",0,IF($HE$42="Força",N(FICHA!$D$19),N(FICHA!$L$19)))</f>
        <v/>
      </c>
      <c r="IJ45" s="114" t="inlineStr">
        <is>
          <t>F361</t>
        </is>
      </c>
      <c r="IK45" s="141">
        <f>IF(DADOS_AM!$A$2&lt;&gt;1,"—",6*DADOS_AM!$HE$4)</f>
        <v/>
      </c>
    </row>
    <row r="46">
      <c r="BC46" s="114" t="inlineStr">
        <is>
          <t>Sem Cura</t>
        </is>
      </c>
      <c r="BD46" s="114" t="inlineStr">
        <is>
          <t>Castigo</t>
        </is>
      </c>
      <c r="BE46" s="141" t="n">
        <v>2</v>
      </c>
      <c r="BF46" s="141">
        <f>$BE46+3*IFERROR(VLOOKUP($BD46,$I$2:$L$10,3,FALSE),0)</f>
        <v/>
      </c>
      <c r="BG46" s="141">
        <f>IFERROR(VLOOKUP($BD46,$I$2:$L$10,4,FALSE),0)</f>
        <v/>
      </c>
      <c r="BH46" s="141" t="n">
        <v>0</v>
      </c>
      <c r="BI46" s="141">
        <f>IF($BG46=1,"",$BC46)</f>
        <v/>
      </c>
      <c r="BJ46" s="141">
        <f>IF(AND($BE46=1,$BG46=0),$BC46,"")</f>
        <v/>
      </c>
      <c r="HD46" s="114" t="inlineStr">
        <is>
          <t>valor do grupo 2</t>
        </is>
      </c>
      <c r="HE46" s="141">
        <f>IF($HE$43="",0,IF($HE$43="Força",N(FICHA!$D$19),N(FICHA!$L$19)))</f>
        <v/>
      </c>
      <c r="IJ46" s="114" t="inlineStr">
        <is>
          <t>G361</t>
        </is>
      </c>
      <c r="IK46" s="141">
        <f>IF(DADOS_AM!$A$2&lt;&gt;1,"—",DADOS_AM!$HE$32&amp;IF(DADOS_AM!$HE$32&gt;1," rodadas"," rodada"))</f>
        <v/>
      </c>
    </row>
    <row r="47">
      <c r="BC47" s="114" t="inlineStr">
        <is>
          <t>Rápido</t>
        </is>
      </c>
      <c r="BD47" s="114" t="inlineStr">
        <is>
          <t>Tempo</t>
        </is>
      </c>
      <c r="BE47" s="141" t="n">
        <v>3</v>
      </c>
      <c r="BF47" s="141">
        <f>$BE47+3*IFERROR(VLOOKUP($BD47,$I$2:$L$10,3,FALSE),0)</f>
        <v/>
      </c>
      <c r="BG47" s="141">
        <f>IFERROR(VLOOKUP($BD47,$I$2:$L$10,4,FALSE),0)</f>
        <v/>
      </c>
      <c r="BH47" s="141" t="n">
        <v>0</v>
      </c>
      <c r="BI47" s="141">
        <f>IF($BG47=1,"",$BC47)</f>
        <v/>
      </c>
      <c r="BJ47" s="141">
        <f>IF(AND($BE47=1,$BG47=0),$BC47,"")</f>
        <v/>
      </c>
      <c r="HD47" s="114" t="inlineStr">
        <is>
          <t>valor do grupo 3</t>
        </is>
      </c>
      <c r="HE47" s="141">
        <f>IF($HE$44="",0,IF($HE$44="Força",N(FICHA!$D$19),N(FICHA!$L$19)))</f>
        <v/>
      </c>
      <c r="IJ47" s="114" t="inlineStr">
        <is>
          <t>J361</t>
        </is>
      </c>
      <c r="IK47" s="141">
        <f>IF(DADOS_AM!$A$2&lt;&gt;1,"—",SUBSTITUTE(MIN(7.5,1.5*DADOS_AM!$HE$6)&amp;" m",".",","))</f>
        <v/>
      </c>
    </row>
    <row r="48">
      <c r="BC48" s="114" t="inlineStr">
        <is>
          <t>Reação</t>
        </is>
      </c>
      <c r="BD48" s="114" t="inlineStr">
        <is>
          <t>Tempo</t>
        </is>
      </c>
      <c r="BE48" s="141" t="n">
        <v>3</v>
      </c>
      <c r="BF48" s="141">
        <f>$BE48+3*IFERROR(VLOOKUP($BD48,$I$2:$L$10,3,FALSE),0)</f>
        <v/>
      </c>
      <c r="BG48" s="141">
        <f>IFERROR(VLOOKUP($BD48,$I$2:$L$10,4,FALSE),0)</f>
        <v/>
      </c>
      <c r="BH48" s="141" t="n">
        <v>0</v>
      </c>
      <c r="BI48" s="141">
        <f>IF($BG48=1,"",$BC48)</f>
        <v/>
      </c>
      <c r="BJ48" s="141">
        <f>IF(AND($BE48=1,$BG48=0),$BC48,"")</f>
        <v/>
      </c>
      <c r="HD48" s="114" t="inlineStr">
        <is>
          <t>atributos dos grupos</t>
        </is>
      </c>
      <c r="HE48" s="141">
        <f>IF(AND($HE$42&lt;&gt;""),1,0)+IF(AND($HE$43&lt;&gt;"",$HE$43&lt;&gt;$HE$42),1,0)+IF(AND($HE$44&lt;&gt;"",$HE$44&lt;&gt;$HE$42,$HE$44&lt;&gt;$HE$43),1,0)</f>
        <v/>
      </c>
      <c r="IJ48" s="114" t="inlineStr">
        <is>
          <t>K361</t>
        </is>
      </c>
      <c r="IK48" s="141">
        <f>IF(DADOS_AM!$A$2&lt;&gt;1,"—","−"&amp;DADOS_AM!$HE$33&amp;" PE")</f>
        <v/>
      </c>
    </row>
    <row r="49">
      <c r="BC49" s="114" t="inlineStr">
        <is>
          <t>Armado</t>
        </is>
      </c>
      <c r="BD49" s="114" t="inlineStr">
        <is>
          <t>Tempo</t>
        </is>
      </c>
      <c r="BE49" s="141" t="n">
        <v>1</v>
      </c>
      <c r="BF49" s="141">
        <f>$BE49+3*IFERROR(VLOOKUP($BD49,$I$2:$L$10,3,FALSE),0)</f>
        <v/>
      </c>
      <c r="BG49" s="141">
        <f>IFERROR(VLOOKUP($BD49,$I$2:$L$10,4,FALSE),0)</f>
        <v/>
      </c>
      <c r="BH49" s="141" t="n">
        <v>0</v>
      </c>
      <c r="BI49" s="141">
        <f>IF($BG49=1,"",$BC49)</f>
        <v/>
      </c>
      <c r="BJ49" s="141">
        <f>IF(AND($BE49=1,$BG49=0),$BC49,"")</f>
        <v/>
      </c>
      <c r="HD49" s="114" t="inlineStr">
        <is>
          <t>usos do estímulo</t>
        </is>
      </c>
      <c r="HE49" s="141">
        <f>IF($HE$6&gt;=10,2,1)&amp;"× por cena"</f>
        <v/>
      </c>
      <c r="IJ49" s="114" t="inlineStr">
        <is>
          <t>D362</t>
        </is>
      </c>
      <c r="IK49" s="141">
        <f>IF(DADOS_AM!$A$2&lt;&gt;1,"—","Completa"&amp;IF(OR(DADOS_AM!$HE$34="Completa",DADOS_AM!$HE$34="Sem Barreiras")," · a sua",""))</f>
        <v/>
      </c>
    </row>
    <row r="50">
      <c r="BC50" s="114" t="inlineStr">
        <is>
          <t>Silencioso</t>
        </is>
      </c>
      <c r="BD50" s="114" t="inlineStr">
        <is>
          <t>Tempo</t>
        </is>
      </c>
      <c r="BE50" s="141" t="n">
        <v>1</v>
      </c>
      <c r="BF50" s="141">
        <f>$BE50+3*IFERROR(VLOOKUP($BD50,$I$2:$L$10,3,FALSE),0)</f>
        <v/>
      </c>
      <c r="BG50" s="141">
        <f>IFERROR(VLOOKUP($BD50,$I$2:$L$10,4,FALSE),0)</f>
        <v/>
      </c>
      <c r="BH50" s="141" t="n">
        <v>0</v>
      </c>
      <c r="BI50" s="141">
        <f>IF($BG50=1,"",$BC50)</f>
        <v/>
      </c>
      <c r="BJ50" s="141">
        <f>IF(AND($BE50=1,$BG50=0),$BC50,"")</f>
        <v/>
      </c>
      <c r="IJ50" s="114" t="inlineStr">
        <is>
          <t>F362</t>
        </is>
      </c>
      <c r="IK50" s="141">
        <f>IF(DADOS_AM!$A$2&lt;&gt;1,"—",6*DADOS_AM!$HE$4)</f>
        <v/>
      </c>
    </row>
    <row r="51">
      <c r="BC51" s="114" t="inlineStr">
        <is>
          <t>Adianta</t>
        </is>
      </c>
      <c r="BD51" s="114" t="inlineStr">
        <is>
          <t>Tempo</t>
        </is>
      </c>
      <c r="BE51" s="141" t="n">
        <v>2</v>
      </c>
      <c r="BF51" s="141">
        <f>$BE51+3*IFERROR(VLOOKUP($BD51,$I$2:$L$10,3,FALSE),0)</f>
        <v/>
      </c>
      <c r="BG51" s="141">
        <f>IFERROR(VLOOKUP($BD51,$I$2:$L$10,4,FALSE),0)</f>
        <v/>
      </c>
      <c r="BH51" s="141" t="n">
        <v>0</v>
      </c>
      <c r="BI51" s="141">
        <f>IF($BG51=1,"",$BC51)</f>
        <v/>
      </c>
      <c r="BJ51" s="141">
        <f>IF(AND($BE51=1,$BG51=0),$BC51,"")</f>
        <v/>
      </c>
      <c r="IJ51" s="114" t="inlineStr">
        <is>
          <t>G362</t>
        </is>
      </c>
      <c r="IK51" s="141">
        <f>IF(DADOS_AM!$A$2&lt;&gt;1,"—",DADOS_AM!$HE$32&amp;IF(DADOS_AM!$HE$32&gt;1," rodadas"," rodada"))</f>
        <v/>
      </c>
    </row>
    <row r="52">
      <c r="BC52" s="114" t="inlineStr">
        <is>
          <t>Segura</t>
        </is>
      </c>
      <c r="BD52" s="114" t="inlineStr">
        <is>
          <t>Tempo</t>
        </is>
      </c>
      <c r="BE52" s="141" t="n">
        <v>1</v>
      </c>
      <c r="BF52" s="141">
        <f>$BE52+3*IFERROR(VLOOKUP($BD52,$I$2:$L$10,3,FALSE),0)</f>
        <v/>
      </c>
      <c r="BG52" s="141">
        <f>IFERROR(VLOOKUP($BD52,$I$2:$L$10,4,FALSE),0)</f>
        <v/>
      </c>
      <c r="BH52" s="141" t="n">
        <v>0</v>
      </c>
      <c r="BI52" s="141">
        <f>IF($BG52=1,"",$BC52)</f>
        <v/>
      </c>
      <c r="BJ52" s="141">
        <f>IF(AND($BE52=1,$BG52=0),$BC52,"")</f>
        <v/>
      </c>
      <c r="IJ52" s="114" t="inlineStr">
        <is>
          <t>J362</t>
        </is>
      </c>
      <c r="IK52" s="141">
        <f>IF(DADOS_AM!$A$2&lt;&gt;1,"—",SUBSTITUTE(1.5*DADOS_AM!$HE$6&amp;" m",".",","))</f>
        <v/>
      </c>
    </row>
    <row r="53">
      <c r="BC53" s="114" t="inlineStr">
        <is>
          <t>Concentrada</t>
        </is>
      </c>
      <c r="BD53" s="114" t="inlineStr">
        <is>
          <t>Tempo</t>
        </is>
      </c>
      <c r="BE53" s="141" t="n">
        <v>1</v>
      </c>
      <c r="BF53" s="141">
        <f>$BE53+3*IFERROR(VLOOKUP($BD53,$I$2:$L$10,3,FALSE),0)</f>
        <v/>
      </c>
      <c r="BG53" s="141">
        <f>IFERROR(VLOOKUP($BD53,$I$2:$L$10,4,FALSE),0)</f>
        <v/>
      </c>
      <c r="BH53" s="141" t="n">
        <v>0</v>
      </c>
      <c r="BI53" s="141">
        <f>IF($BG53=1,"",$BC53)</f>
        <v/>
      </c>
      <c r="BJ53" s="141">
        <f>IF(AND($BE53=1,$BG53=0),$BC53,"")</f>
        <v/>
      </c>
      <c r="IJ53" s="114" t="inlineStr">
        <is>
          <t>K362</t>
        </is>
      </c>
      <c r="IK53" s="141">
        <f>IF(DADOS_AM!$A$2&lt;&gt;1,"—","−"&amp;DADOS_AM!$HE$32&amp;" PE")</f>
        <v/>
      </c>
    </row>
    <row r="54">
      <c r="BC54" s="114" t="inlineStr">
        <is>
          <t>Duradoura</t>
        </is>
      </c>
      <c r="BD54" s="114" t="inlineStr">
        <is>
          <t>Tempo</t>
        </is>
      </c>
      <c r="BE54" s="141" t="n">
        <v>2</v>
      </c>
      <c r="BF54" s="141">
        <f>$BE54+3*IFERROR(VLOOKUP($BD54,$I$2:$L$10,3,FALSE),0)</f>
        <v/>
      </c>
      <c r="BG54" s="141">
        <f>IFERROR(VLOOKUP($BD54,$I$2:$L$10,4,FALSE),0)</f>
        <v/>
      </c>
      <c r="BH54" s="141" t="n">
        <v>0</v>
      </c>
      <c r="BI54" s="141">
        <f>IF($BG54=1,"",$BC54)</f>
        <v/>
      </c>
      <c r="BJ54" s="141">
        <f>IF(AND($BE54=1,$BG54=0),$BC54,"")</f>
        <v/>
      </c>
      <c r="IJ54" s="114" t="inlineStr">
        <is>
          <t>L362</t>
        </is>
      </c>
      <c r="IK54" s="141">
        <f>IF(DADOS_AM!$A$2&lt;&gt;1,"—",50*DADOS_AM!$HE$32&amp;" de vida")</f>
        <v/>
      </c>
    </row>
    <row r="55">
      <c r="BC55" s="114" t="inlineStr">
        <is>
          <t>Marca</t>
        </is>
      </c>
      <c r="BD55" s="114" t="inlineStr">
        <is>
          <t>Marca</t>
        </is>
      </c>
      <c r="BE55" s="141" t="n">
        <v>1</v>
      </c>
      <c r="BF55" s="141">
        <f>$BE55+3*IFERROR(VLOOKUP($BD55,$I$2:$L$10,3,FALSE),0)</f>
        <v/>
      </c>
      <c r="BG55" s="141">
        <f>IFERROR(VLOOKUP($BD55,$I$2:$L$10,4,FALSE),0)</f>
        <v/>
      </c>
      <c r="BH55" s="141" t="n">
        <v>0</v>
      </c>
      <c r="BI55" s="141">
        <f>IF($BG55=1,"",$BC55)</f>
        <v/>
      </c>
      <c r="BJ55" s="141">
        <f>IF(AND($BE55=1,$BG55=0),$BC55,"")</f>
        <v/>
      </c>
      <c r="IJ55" s="114" t="inlineStr">
        <is>
          <t>D363</t>
        </is>
      </c>
      <c r="IK55" s="141">
        <f>IF(DADOS_AM!$A$2&lt;&gt;1,"—","Sem barreira"&amp;IF(DADOS_AM!$HE$34="Sem Barreiras"," · a sua",""))</f>
        <v/>
      </c>
    </row>
    <row r="56">
      <c r="BC56" s="114" t="inlineStr">
        <is>
          <t>Alvo de Caça</t>
        </is>
      </c>
      <c r="BD56" s="114" t="inlineStr">
        <is>
          <t>Marca</t>
        </is>
      </c>
      <c r="BE56" s="141" t="n">
        <v>1</v>
      </c>
      <c r="BF56" s="141">
        <f>$BE56+3*IFERROR(VLOOKUP($BD56,$I$2:$L$10,3,FALSE),0)</f>
        <v/>
      </c>
      <c r="BG56" s="141">
        <f>IFERROR(VLOOKUP($BD56,$I$2:$L$10,4,FALSE),0)</f>
        <v/>
      </c>
      <c r="BH56" s="141" t="n">
        <v>0</v>
      </c>
      <c r="BI56" s="141">
        <f>IF($BG56=1,"",$BC56)</f>
        <v/>
      </c>
      <c r="BJ56" s="141">
        <f>IF(AND($BE56=1,$BG56=0),$BC56,"")</f>
        <v/>
      </c>
      <c r="IJ56" s="114" t="inlineStr">
        <is>
          <t>F363</t>
        </is>
      </c>
      <c r="IK56" s="141">
        <f>IF(DADOS_AM!$A$2&lt;&gt;1,"—",7*DADOS_AM!$HE$4)</f>
        <v/>
      </c>
    </row>
    <row r="57">
      <c r="BC57" s="114" t="inlineStr">
        <is>
          <t>Rastro</t>
        </is>
      </c>
      <c r="BD57" s="114" t="inlineStr">
        <is>
          <t>Marca</t>
        </is>
      </c>
      <c r="BE57" s="141" t="n">
        <v>1</v>
      </c>
      <c r="BF57" s="141">
        <f>$BE57+3*IFERROR(VLOOKUP($BD57,$I$2:$L$10,3,FALSE),0)</f>
        <v/>
      </c>
      <c r="BG57" s="141">
        <f>IFERROR(VLOOKUP($BD57,$I$2:$L$10,4,FALSE),0)</f>
        <v/>
      </c>
      <c r="BH57" s="141" t="n">
        <v>0</v>
      </c>
      <c r="BI57" s="141">
        <f>IF($BG57=1,"",$BC57)</f>
        <v/>
      </c>
      <c r="BJ57" s="141">
        <f>IF(AND($BE57=1,$BG57=0),$BC57,"")</f>
        <v/>
      </c>
      <c r="IJ57" s="114" t="inlineStr">
        <is>
          <t>G363</t>
        </is>
      </c>
      <c r="IK57" s="141">
        <f>IF(DADOS_AM!$A$2&lt;&gt;1,"—",DADOS_AM!$HE$32&amp;IF(DADOS_AM!$HE$32&gt;1," rodadas"," rodada"))</f>
        <v/>
      </c>
    </row>
    <row r="58">
      <c r="BC58" s="114" t="inlineStr">
        <is>
          <t>Sugar</t>
        </is>
      </c>
      <c r="BD58" s="114" t="inlineStr">
        <is>
          <t>Marca</t>
        </is>
      </c>
      <c r="BE58" s="141" t="n">
        <v>2</v>
      </c>
      <c r="BF58" s="141">
        <f>$BE58+3*IFERROR(VLOOKUP($BD58,$I$2:$L$10,3,FALSE),0)</f>
        <v/>
      </c>
      <c r="BG58" s="141">
        <f>IFERROR(VLOOKUP($BD58,$I$2:$L$10,4,FALSE),0)</f>
        <v/>
      </c>
      <c r="BH58" s="141" t="n">
        <v>0</v>
      </c>
      <c r="BI58" s="141">
        <f>IF($BG58=1,"",$BC58)</f>
        <v/>
      </c>
      <c r="BJ58" s="141">
        <f>IF(AND($BE58=1,$BG58=0),$BC58,"")</f>
        <v/>
      </c>
      <c r="IJ58" s="114" t="inlineStr">
        <is>
          <t>K363</t>
        </is>
      </c>
      <c r="IK58" s="141">
        <f>IF(DADOS_AM!$A$2&lt;&gt;1,"—","−"&amp;2*DADOS_AM!$HE$3&amp;" PE")</f>
        <v/>
      </c>
    </row>
    <row r="59">
      <c r="BC59" s="114" t="inlineStr">
        <is>
          <t>Isca</t>
        </is>
      </c>
      <c r="BD59" s="114" t="inlineStr">
        <is>
          <t>Marca</t>
        </is>
      </c>
      <c r="BE59" s="141" t="n">
        <v>1</v>
      </c>
      <c r="BF59" s="141">
        <f>$BE59+3*IFERROR(VLOOKUP($BD59,$I$2:$L$10,3,FALSE),0)</f>
        <v/>
      </c>
      <c r="BG59" s="141">
        <f>IFERROR(VLOOKUP($BD59,$I$2:$L$10,4,FALSE),0)</f>
        <v/>
      </c>
      <c r="BH59" s="141" t="n">
        <v>0</v>
      </c>
      <c r="BI59" s="141">
        <f>IF($BG59=1,"",$BC59)</f>
        <v/>
      </c>
      <c r="BJ59" s="141">
        <f>IF(AND($BE59=1,$BG59=0),$BC59,"")</f>
        <v/>
      </c>
      <c r="IJ59" s="114" t="inlineStr">
        <is>
          <t>D421</t>
        </is>
      </c>
      <c r="IK59" s="141">
        <f>UPPER(INDEX(DADOS_AM!$D$6:$G$6,1,DADOS_AM!$A$2)&amp;" e "&amp;INDEX(DADOS_AM!$D$7:$G$7,1,DADOS_AM!$A$2))</f>
        <v/>
      </c>
    </row>
    <row r="60">
      <c r="BC60" s="114" t="inlineStr">
        <is>
          <t>Cobrança</t>
        </is>
      </c>
      <c r="BD60" s="114" t="inlineStr">
        <is>
          <t>Marca</t>
        </is>
      </c>
      <c r="BE60" s="141" t="n">
        <v>2</v>
      </c>
      <c r="BF60" s="141">
        <f>$BE60+3*IFERROR(VLOOKUP($BD60,$I$2:$L$10,3,FALSE),0)</f>
        <v/>
      </c>
      <c r="BG60" s="141">
        <f>IFERROR(VLOOKUP($BD60,$I$2:$L$10,4,FALSE),0)</f>
        <v/>
      </c>
      <c r="BH60" s="141" t="n">
        <v>0</v>
      </c>
      <c r="BI60" s="141">
        <f>IF($BG60=1,"",$BC60)</f>
        <v/>
      </c>
      <c r="BJ60" s="141">
        <f>IF(AND($BE60=1,$BG60=0),$BC60,"")</f>
        <v/>
      </c>
      <c r="IJ60" s="114" t="inlineStr">
        <is>
          <t>D423</t>
        </is>
      </c>
      <c r="IK60" s="141">
        <f>UPPER(INDEX(DADOS_AM!$D$7:$G$7,1,DADOS_AM!$A$2))</f>
        <v/>
      </c>
    </row>
    <row r="61">
      <c r="BC61" s="114" t="inlineStr">
        <is>
          <t>Aviso</t>
        </is>
      </c>
      <c r="BD61" s="114" t="inlineStr">
        <is>
          <t>Marca</t>
        </is>
      </c>
      <c r="BE61" s="141" t="n">
        <v>1</v>
      </c>
      <c r="BF61" s="141">
        <f>$BE61+3*IFERROR(VLOOKUP($BD61,$I$2:$L$10,3,FALSE),0)</f>
        <v/>
      </c>
      <c r="BG61" s="141">
        <f>IFERROR(VLOOKUP($BD61,$I$2:$L$10,4,FALSE),0)</f>
        <v/>
      </c>
      <c r="BH61" s="141" t="n">
        <v>0</v>
      </c>
      <c r="BI61" s="141">
        <f>IF($BG61=1,"",$BC61)</f>
        <v/>
      </c>
      <c r="BJ61" s="141">
        <f>IF(AND($BE61=1,$BG61=0),$BC61,"")</f>
        <v/>
      </c>
      <c r="IJ61" s="114" t="inlineStr">
        <is>
          <t>F424</t>
        </is>
      </c>
      <c r="IK61" s="141">
        <f>IF(DADOS_AM!$HE$25&gt;DADOS_AM!$HE$26,"⚠ ","")&amp;DADOS_AM!$HE$25&amp;" de "&amp;DADOS_AM!$HE$26</f>
        <v/>
      </c>
    </row>
    <row r="62">
      <c r="BC62" s="114" t="inlineStr">
        <is>
          <t>Limpa</t>
        </is>
      </c>
      <c r="BD62" s="114" t="inlineStr">
        <is>
          <t>Amparo</t>
        </is>
      </c>
      <c r="BE62" s="141" t="n">
        <v>2</v>
      </c>
      <c r="BF62" s="141">
        <f>$BE62+3*IFERROR(VLOOKUP($BD62,$I$2:$L$10,3,FALSE),0)</f>
        <v/>
      </c>
      <c r="BG62" s="141">
        <f>IFERROR(VLOOKUP($BD62,$I$2:$L$10,4,FALSE),0)</f>
        <v/>
      </c>
      <c r="BH62" s="141" t="n">
        <v>0</v>
      </c>
      <c r="BI62" s="141">
        <f>IF($BG62=1,"",$BC62)</f>
        <v/>
      </c>
      <c r="BJ62" s="141">
        <f>IF(AND($BE62=1,$BG62=0),$BC62,"")</f>
        <v/>
      </c>
      <c r="IJ62" s="114" t="inlineStr">
        <is>
          <t>J423</t>
        </is>
      </c>
      <c r="IK62" s="141">
        <f>UPPER(INDEX(DADOS_AM!$D$9:$G$9,1,DADOS_AM!$A$2))</f>
        <v/>
      </c>
    </row>
    <row r="63">
      <c r="BC63" s="114" t="inlineStr">
        <is>
          <t>Limpa Fundo</t>
        </is>
      </c>
      <c r="BD63" s="114" t="inlineStr">
        <is>
          <t>Amparo</t>
        </is>
      </c>
      <c r="BE63" s="141" t="n">
        <v>3</v>
      </c>
      <c r="BF63" s="141">
        <f>$BE63+3*IFERROR(VLOOKUP($BD63,$I$2:$L$10,3,FALSE),0)</f>
        <v/>
      </c>
      <c r="BG63" s="141">
        <f>IFERROR(VLOOKUP($BD63,$I$2:$L$10,4,FALSE),0)</f>
        <v/>
      </c>
      <c r="BH63" s="141" t="n">
        <v>0</v>
      </c>
      <c r="BI63" s="141">
        <f>IF($BG63=1,"",$BC63)</f>
        <v/>
      </c>
      <c r="BJ63" s="141">
        <f>IF(AND($BE63=1,$BG63=0),$BC63,"")</f>
        <v/>
      </c>
      <c r="IJ63" s="114" t="inlineStr">
        <is>
          <t>J424</t>
        </is>
      </c>
      <c r="IK63" s="141">
        <f>"Proteção "&amp;(FLOOR(DADOS_AM!$HE$6/3,1)+1)</f>
        <v/>
      </c>
    </row>
    <row r="64">
      <c r="BC64" s="114" t="inlineStr">
        <is>
          <t>Levanta</t>
        </is>
      </c>
      <c r="BD64" s="114" t="inlineStr">
        <is>
          <t>Amparo</t>
        </is>
      </c>
      <c r="BE64" s="141" t="n">
        <v>3</v>
      </c>
      <c r="BF64" s="141">
        <f>$BE64+3*IFERROR(VLOOKUP($BD64,$I$2:$L$10,3,FALSE),0)</f>
        <v/>
      </c>
      <c r="BG64" s="141">
        <f>IFERROR(VLOOKUP($BD64,$I$2:$L$10,4,FALSE),0)</f>
        <v/>
      </c>
      <c r="BH64" s="141" t="n">
        <v>0</v>
      </c>
      <c r="BI64" s="141">
        <f>IF($BG64=1,"",$BC64)</f>
        <v/>
      </c>
      <c r="BJ64" s="141">
        <f>IF(AND($BE64=1,$BG64=0),$BC64,"")</f>
        <v/>
      </c>
      <c r="IJ64" s="114" t="inlineStr">
        <is>
          <t>L423</t>
        </is>
      </c>
      <c r="IK64" s="141">
        <f>UPPER(INDEX(DADOS_AM!$D$10:$G$10,1,DADOS_AM!$A$2))</f>
        <v/>
      </c>
    </row>
    <row r="65">
      <c r="BC65" s="114" t="inlineStr">
        <is>
          <t>Divide</t>
        </is>
      </c>
      <c r="BD65" s="114" t="inlineStr">
        <is>
          <t>Amparo</t>
        </is>
      </c>
      <c r="BE65" s="141" t="n">
        <v>2</v>
      </c>
      <c r="BF65" s="141">
        <f>$BE65+3*IFERROR(VLOOKUP($BD65,$I$2:$L$10,3,FALSE),0)</f>
        <v/>
      </c>
      <c r="BG65" s="141">
        <f>IFERROR(VLOOKUP($BD65,$I$2:$L$10,4,FALSE),0)</f>
        <v/>
      </c>
      <c r="BH65" s="141" t="n">
        <v>0</v>
      </c>
      <c r="BI65" s="141">
        <f>IF($BG65=1,"",$BC65)</f>
        <v/>
      </c>
      <c r="BJ65" s="141">
        <f>IF(AND($BE65=1,$BG65=0),$BC65,"")</f>
        <v/>
      </c>
      <c r="IJ65" s="114" t="inlineStr">
        <is>
          <t>L424</t>
        </is>
      </c>
      <c r="IK65" s="141">
        <f>"+"&amp;IF(DADOS_AM!$HE$6&gt;=9,4,IF(DADOS_AM!$HE$6&gt;=6,3,IF(DADOS_AM!$HE$6&gt;=3,2,1)))&amp;IF(DADOS_AM!$HE$6&gt;=10,"d6","d4")&amp;" na arma"</f>
        <v/>
      </c>
    </row>
    <row r="66">
      <c r="BC66" s="114" t="inlineStr">
        <is>
          <t>Junto</t>
        </is>
      </c>
      <c r="BD66" s="114" t="inlineStr">
        <is>
          <t>Amparo</t>
        </is>
      </c>
      <c r="BE66" s="141" t="n">
        <v>1</v>
      </c>
      <c r="BF66" s="141">
        <f>$BE66+3*IFERROR(VLOOKUP($BD66,$I$2:$L$10,3,FALSE),0)</f>
        <v/>
      </c>
      <c r="BG66" s="141">
        <f>IFERROR(VLOOKUP($BD66,$I$2:$L$10,4,FALSE),0)</f>
        <v/>
      </c>
      <c r="BH66" s="141" t="n">
        <v>0</v>
      </c>
      <c r="BI66" s="141">
        <f>IF($BG66=1,"",$BC66)</f>
        <v/>
      </c>
      <c r="BJ66" s="141">
        <f>IF(AND($BE66=1,$BG66=0),$BC66,"")</f>
        <v/>
      </c>
      <c r="IJ66" s="114" t="inlineStr">
        <is>
          <t>P423</t>
        </is>
      </c>
      <c r="IK66" s="141">
        <f>UPPER(INDEX(DADOS_AM!$D$11:$G$11,1,DADOS_AM!$A$2))</f>
        <v/>
      </c>
    </row>
    <row r="67">
      <c r="BC67" s="114" t="inlineStr">
        <is>
          <t>Reserva</t>
        </is>
      </c>
      <c r="BD67" s="114" t="inlineStr">
        <is>
          <t>Amparo</t>
        </is>
      </c>
      <c r="BE67" s="141" t="n">
        <v>2</v>
      </c>
      <c r="BF67" s="141">
        <f>$BE67+3*IFERROR(VLOOKUP($BD67,$I$2:$L$10,3,FALSE),0)</f>
        <v/>
      </c>
      <c r="BG67" s="141">
        <f>IFERROR(VLOOKUP($BD67,$I$2:$L$10,4,FALSE),0)</f>
        <v/>
      </c>
      <c r="BH67" s="141" t="n">
        <v>0</v>
      </c>
      <c r="BI67" s="141">
        <f>IF($BG67=1,"",$BC67)</f>
        <v/>
      </c>
      <c r="BJ67" s="141">
        <f>IF(AND($BE67=1,$BG67=0),$BC67,"")</f>
        <v/>
      </c>
      <c r="IJ67" s="114" t="inlineStr">
        <is>
          <t>P424</t>
        </is>
      </c>
      <c r="IK67" s="141">
        <f>"RD "&amp;FLOOR(1.5*DADOS_AM!$HE$6,1)&amp;" por 2 PE"</f>
        <v/>
      </c>
    </row>
    <row r="68">
      <c r="BC68" s="114" t="inlineStr">
        <is>
          <t>Remenda</t>
        </is>
      </c>
      <c r="BD68" s="114" t="inlineStr">
        <is>
          <t>Amparo</t>
        </is>
      </c>
      <c r="BE68" s="141" t="n">
        <v>3</v>
      </c>
      <c r="BF68" s="141">
        <f>$BE68+3*IFERROR(VLOOKUP($BD68,$I$2:$L$10,3,FALSE),0)</f>
        <v/>
      </c>
      <c r="BG68" s="141">
        <f>IFERROR(VLOOKUP($BD68,$I$2:$L$10,4,FALSE),0)</f>
        <v/>
      </c>
      <c r="BH68" s="141" t="n">
        <v>0</v>
      </c>
      <c r="BI68" s="141">
        <f>IF($BG68=1,"",$BC68)</f>
        <v/>
      </c>
      <c r="BJ68" s="141">
        <f>IF(AND($BE68=1,$BG68=0),$BC68,"")</f>
        <v/>
      </c>
      <c r="IJ68" s="114" t="inlineStr">
        <is>
          <t>D427</t>
        </is>
      </c>
      <c r="IK68" s="141">
        <f>IF(DADOS_AM!$A$2=4,"ESTÍMULO: PERÍCIA","—")</f>
        <v/>
      </c>
    </row>
    <row r="69">
      <c r="BC69" s="114" t="inlineStr">
        <is>
          <t>Lento</t>
        </is>
      </c>
      <c r="BD69" s="114" t="inlineStr">
        <is>
          <t>Controle</t>
        </is>
      </c>
      <c r="BE69" s="141" t="n">
        <v>1</v>
      </c>
      <c r="BF69" s="141">
        <f>$BE69+3*IFERROR(VLOOKUP($BD69,$I$2:$L$10,3,FALSE),0)</f>
        <v/>
      </c>
      <c r="BG69" s="141">
        <f>IFERROR(VLOOKUP($BD69,$I$2:$L$10,4,FALSE),0)</f>
        <v/>
      </c>
      <c r="BH69" s="141" t="n">
        <v>1</v>
      </c>
      <c r="BI69" s="141">
        <f>IF($BG69=1,"",$BC69)</f>
        <v/>
      </c>
      <c r="BJ69" s="141">
        <f>IF(AND($BE69=1,$BG69=0),$BC69,"")</f>
        <v/>
      </c>
      <c r="IJ69" s="114" t="inlineStr">
        <is>
          <t>J427</t>
        </is>
      </c>
      <c r="IK69" s="141">
        <f>IF(DADOS_AM!$A$2=4,"ESTÍMULO: TESTE DE RESISTÊNCIA","—")</f>
        <v/>
      </c>
    </row>
    <row r="70">
      <c r="BC70" s="114" t="inlineStr">
        <is>
          <t>Incapacitado</t>
        </is>
      </c>
      <c r="BD70" s="114" t="inlineStr">
        <is>
          <t>Controle</t>
        </is>
      </c>
      <c r="BE70" s="141" t="n">
        <v>1</v>
      </c>
      <c r="BF70" s="141">
        <f>$BE70+3*IFERROR(VLOOKUP($BD70,$I$2:$L$10,3,FALSE),0)</f>
        <v/>
      </c>
      <c r="BG70" s="141">
        <f>IFERROR(VLOOKUP($BD70,$I$2:$L$10,4,FALSE),0)</f>
        <v/>
      </c>
      <c r="BH70" s="141" t="n">
        <v>1</v>
      </c>
      <c r="BI70" s="141">
        <f>IF($BG70=1,"",$BC70)</f>
        <v/>
      </c>
      <c r="BJ70" s="141">
        <f>IF(AND($BE70=1,$BG70=0),$BC70,"")</f>
        <v/>
      </c>
      <c r="IJ70" s="114" t="inlineStr">
        <is>
          <t>P427</t>
        </is>
      </c>
      <c r="IK70" s="141">
        <f>IF(DADOS_AM!$A$2=4,"ESTÍMULO: USOS","—")</f>
        <v/>
      </c>
    </row>
    <row r="71">
      <c r="BC71" s="114" t="inlineStr">
        <is>
          <t>Derrubado</t>
        </is>
      </c>
      <c r="BD71" s="114" t="inlineStr">
        <is>
          <t>Controle</t>
        </is>
      </c>
      <c r="BE71" s="141" t="n">
        <v>1</v>
      </c>
      <c r="BF71" s="141">
        <f>$BE71+3*IFERROR(VLOOKUP($BD71,$I$2:$L$10,3,FALSE),0)</f>
        <v/>
      </c>
      <c r="BG71" s="141">
        <f>IFERROR(VLOOKUP($BD71,$I$2:$L$10,4,FALSE),0)</f>
        <v/>
      </c>
      <c r="BH71" s="141" t="n">
        <v>1</v>
      </c>
      <c r="BI71" s="141">
        <f>IF($BG71=1,"",$BC71)</f>
        <v/>
      </c>
      <c r="BJ71" s="141">
        <f>IF(AND($BE71=1,$BG71=0),$BC71,"")</f>
        <v/>
      </c>
      <c r="IJ71" s="114" t="inlineStr">
        <is>
          <t>P428</t>
        </is>
      </c>
      <c r="IK71" s="141">
        <f>IF(DADOS_AM!$A$2=4,DADOS_AM!$HE$49,"—")</f>
        <v/>
      </c>
    </row>
    <row r="72">
      <c r="BC72" s="114" t="inlineStr">
        <is>
          <t>Agarrado</t>
        </is>
      </c>
      <c r="BD72" s="114" t="inlineStr">
        <is>
          <t>Controle</t>
        </is>
      </c>
      <c r="BE72" s="141" t="n">
        <v>1</v>
      </c>
      <c r="BF72" s="141">
        <f>$BE72+3*IFERROR(VLOOKUP($BD72,$I$2:$L$10,3,FALSE),0)</f>
        <v/>
      </c>
      <c r="BG72" s="141">
        <f>IFERROR(VLOOKUP($BD72,$I$2:$L$10,4,FALSE),0)</f>
        <v/>
      </c>
      <c r="BH72" s="141" t="n">
        <v>1</v>
      </c>
      <c r="BI72" s="141">
        <f>IF($BG72=1,"",$BC72)</f>
        <v/>
      </c>
      <c r="BJ72" s="141">
        <f>IF(AND($BE72=1,$BG72=0),$BC72,"")</f>
        <v/>
      </c>
      <c r="IJ72" s="114" t="inlineStr">
        <is>
          <t>D446</t>
        </is>
      </c>
      <c r="IK72" s="141">
        <f>UPPER(INDEX(DADOS_AM!$D$8:$G$8,1,DADOS_AM!$A$2))</f>
        <v/>
      </c>
    </row>
    <row r="73">
      <c r="BC73" s="114" t="inlineStr">
        <is>
          <t>Desarmado</t>
        </is>
      </c>
      <c r="BD73" s="114" t="inlineStr">
        <is>
          <t>Controle</t>
        </is>
      </c>
      <c r="BE73" s="141" t="n">
        <v>1</v>
      </c>
      <c r="BF73" s="141">
        <f>$BE73+3*IFERROR(VLOOKUP($BD73,$I$2:$L$10,3,FALSE),0)</f>
        <v/>
      </c>
      <c r="BG73" s="141">
        <f>IFERROR(VLOOKUP($BD73,$I$2:$L$10,4,FALSE),0)</f>
        <v/>
      </c>
      <c r="BH73" s="141" t="n">
        <v>1</v>
      </c>
      <c r="BI73" s="141">
        <f>IF($BG73=1,"",$BC73)</f>
        <v/>
      </c>
      <c r="BJ73" s="141">
        <f>IF(AND($BE73=1,$BG73=0),$BC73,"")</f>
        <v/>
      </c>
      <c r="IJ73" s="114" t="inlineStr">
        <is>
          <t>J446</t>
        </is>
      </c>
      <c r="IK73" s="141">
        <f>UPPER(INDEX(DADOS_AM!$D$8:$G$8,1,DADOS_AM!$A$2))</f>
        <v/>
      </c>
    </row>
    <row r="74">
      <c r="BC74" s="114" t="inlineStr">
        <is>
          <t>Surdo</t>
        </is>
      </c>
      <c r="BD74" s="114" t="inlineStr">
        <is>
          <t>Controle</t>
        </is>
      </c>
      <c r="BE74" s="141" t="n">
        <v>1</v>
      </c>
      <c r="BF74" s="141">
        <f>$BE74+3*IFERROR(VLOOKUP($BD74,$I$2:$L$10,3,FALSE),0)</f>
        <v/>
      </c>
      <c r="BG74" s="141">
        <f>IFERROR(VLOOKUP($BD74,$I$2:$L$10,4,FALSE),0)</f>
        <v/>
      </c>
      <c r="BH74" s="141" t="n">
        <v>1</v>
      </c>
      <c r="BI74" s="141">
        <f>IF($BG74=1,"",$BC74)</f>
        <v/>
      </c>
      <c r="BJ74" s="141">
        <f>IF(AND($BE74=1,$BG74=0),$BC74,"")</f>
        <v/>
      </c>
      <c r="IJ74" s="114" t="inlineStr">
        <is>
          <t>P446</t>
        </is>
      </c>
      <c r="IK74" s="141">
        <f>UPPER(INDEX(DADOS_AM!$D$8:$G$8,1,DADOS_AM!$A$2))</f>
        <v/>
      </c>
    </row>
    <row r="75">
      <c r="BC75" s="114" t="inlineStr">
        <is>
          <t>Calado</t>
        </is>
      </c>
      <c r="BD75" s="114" t="inlineStr">
        <is>
          <t>Controle</t>
        </is>
      </c>
      <c r="BE75" s="141" t="n">
        <v>2</v>
      </c>
      <c r="BF75" s="141">
        <f>$BE75+3*IFERROR(VLOOKUP($BD75,$I$2:$L$10,3,FALSE),0)</f>
        <v/>
      </c>
      <c r="BG75" s="141">
        <f>IFERROR(VLOOKUP($BD75,$I$2:$L$10,4,FALSE),0)</f>
        <v/>
      </c>
      <c r="BH75" s="141" t="n">
        <v>1</v>
      </c>
      <c r="BI75" s="141">
        <f>IF($BG75=1,"",$BC75)</f>
        <v/>
      </c>
      <c r="BJ75" s="141">
        <f>IF(AND($BE75=1,$BG75=0),$BC75,"")</f>
        <v/>
      </c>
      <c r="IJ75" s="114" t="inlineStr">
        <is>
          <t>D466</t>
        </is>
      </c>
      <c r="IK75" s="141">
        <f>UPPER(INDEX(DADOS_AM!$D$8:$G$8,1,DADOS_AM!$A$2))</f>
        <v/>
      </c>
    </row>
    <row r="76">
      <c r="BC76" s="114" t="inlineStr">
        <is>
          <t>Enfeitiçado</t>
        </is>
      </c>
      <c r="BD76" s="114" t="inlineStr">
        <is>
          <t>Controle</t>
        </is>
      </c>
      <c r="BE76" s="141" t="n">
        <v>2</v>
      </c>
      <c r="BF76" s="141">
        <f>$BE76+3*IFERROR(VLOOKUP($BD76,$I$2:$L$10,3,FALSE),0)</f>
        <v/>
      </c>
      <c r="BG76" s="141">
        <f>IFERROR(VLOOKUP($BD76,$I$2:$L$10,4,FALSE),0)</f>
        <v/>
      </c>
      <c r="BH76" s="141" t="n">
        <v>1</v>
      </c>
      <c r="BI76" s="141">
        <f>IF($BG76=1,"",$BC76)</f>
        <v/>
      </c>
      <c r="BJ76" s="141">
        <f>IF(AND($BE76=1,$BG76=0),$BC76,"")</f>
        <v/>
      </c>
      <c r="IJ76" s="114" t="inlineStr">
        <is>
          <t>J466</t>
        </is>
      </c>
      <c r="IK76" s="141">
        <f>UPPER(INDEX(DADOS_AM!$D$8:$G$8,1,DADOS_AM!$A$2))</f>
        <v/>
      </c>
    </row>
    <row r="77">
      <c r="BC77" s="114" t="inlineStr">
        <is>
          <t>Impedido</t>
        </is>
      </c>
      <c r="BD77" s="114" t="inlineStr">
        <is>
          <t>Controle</t>
        </is>
      </c>
      <c r="BE77" s="141" t="n">
        <v>3</v>
      </c>
      <c r="BF77" s="141">
        <f>$BE77+3*IFERROR(VLOOKUP($BD77,$I$2:$L$10,3,FALSE),0)</f>
        <v/>
      </c>
      <c r="BG77" s="141">
        <f>IFERROR(VLOOKUP($BD77,$I$2:$L$10,4,FALSE),0)</f>
        <v/>
      </c>
      <c r="BH77" s="141" t="n">
        <v>1</v>
      </c>
      <c r="BI77" s="141">
        <f>IF($BG77=1,"",$BC77)</f>
        <v/>
      </c>
      <c r="BJ77" s="141">
        <f>IF(AND($BE77=1,$BG77=0),$BC77,"")</f>
        <v/>
      </c>
      <c r="IJ77" s="114" t="inlineStr">
        <is>
          <t>P466</t>
        </is>
      </c>
      <c r="IK77" s="141">
        <f>UPPER(INDEX(DADOS_AM!$D$8:$G$8,1,DADOS_AM!$A$2))</f>
        <v/>
      </c>
    </row>
    <row r="78">
      <c r="BC78" s="114" t="inlineStr">
        <is>
          <t>Cego</t>
        </is>
      </c>
      <c r="BD78" s="114" t="inlineStr">
        <is>
          <t>Controle</t>
        </is>
      </c>
      <c r="BE78" s="141" t="n">
        <v>3</v>
      </c>
      <c r="BF78" s="141">
        <f>$BE78+3*IFERROR(VLOOKUP($BD78,$I$2:$L$10,3,FALSE),0)</f>
        <v/>
      </c>
      <c r="BG78" s="141">
        <f>IFERROR(VLOOKUP($BD78,$I$2:$L$10,4,FALSE),0)</f>
        <v/>
      </c>
      <c r="BH78" s="141" t="n">
        <v>1</v>
      </c>
      <c r="BI78" s="141">
        <f>IF($BG78=1,"",$BC78)</f>
        <v/>
      </c>
      <c r="BJ78" s="141">
        <f>IF(AND($BE78=1,$BG78=0),$BC78,"")</f>
        <v/>
      </c>
      <c r="IJ78" s="114" t="inlineStr">
        <is>
          <t>D488</t>
        </is>
      </c>
      <c r="IK78" s="141">
        <f>UPPER(INDEX(DADOS_AM!$D$8:$G$8,1,DADOS_AM!$A$2))</f>
        <v/>
      </c>
    </row>
    <row r="79">
      <c r="BC79" s="114" t="inlineStr">
        <is>
          <t>Amedrontado</t>
        </is>
      </c>
      <c r="BD79" s="114" t="inlineStr">
        <is>
          <t>Controle</t>
        </is>
      </c>
      <c r="BE79" s="141" t="n">
        <v>3</v>
      </c>
      <c r="BF79" s="141">
        <f>$BE79+3*IFERROR(VLOOKUP($BD79,$I$2:$L$10,3,FALSE),0)</f>
        <v/>
      </c>
      <c r="BG79" s="141">
        <f>IFERROR(VLOOKUP($BD79,$I$2:$L$10,4,FALSE),0)</f>
        <v/>
      </c>
      <c r="BH79" s="141" t="n">
        <v>1</v>
      </c>
      <c r="BI79" s="141">
        <f>IF($BG79=1,"",$BC79)</f>
        <v/>
      </c>
      <c r="BJ79" s="141">
        <f>IF(AND($BE79=1,$BG79=0),$BC79,"")</f>
        <v/>
      </c>
      <c r="IJ79" s="114" t="inlineStr">
        <is>
          <t>J488</t>
        </is>
      </c>
      <c r="IK79" s="141">
        <f>UPPER(INDEX(DADOS_AM!$D$8:$G$8,1,DADOS_AM!$A$2))</f>
        <v/>
      </c>
    </row>
    <row r="80">
      <c r="BC80" s="114" t="inlineStr">
        <is>
          <t>Envenenado</t>
        </is>
      </c>
      <c r="BD80" s="114" t="inlineStr">
        <is>
          <t>Controle</t>
        </is>
      </c>
      <c r="BE80" s="141" t="n">
        <v>3</v>
      </c>
      <c r="BF80" s="141">
        <f>$BE80+3*IFERROR(VLOOKUP($BD80,$I$2:$L$10,3,FALSE),0)</f>
        <v/>
      </c>
      <c r="BG80" s="141">
        <f>IFERROR(VLOOKUP($BD80,$I$2:$L$10,4,FALSE),0)</f>
        <v/>
      </c>
      <c r="BH80" s="141" t="n">
        <v>1</v>
      </c>
      <c r="BI80" s="141">
        <f>IF($BG80=1,"",$BC80)</f>
        <v/>
      </c>
      <c r="BJ80" s="141">
        <f>IF(AND($BE80=1,$BG80=0),$BC80,"")</f>
        <v/>
      </c>
      <c r="IJ80" s="114" t="inlineStr">
        <is>
          <t>P488</t>
        </is>
      </c>
      <c r="IK80" s="141">
        <f>UPPER(INDEX(DADOS_AM!$D$8:$G$8,1,DADOS_AM!$A$2))</f>
        <v/>
      </c>
    </row>
    <row r="81">
      <c r="BC81" s="114" t="inlineStr">
        <is>
          <t>Atordoado</t>
        </is>
      </c>
      <c r="BD81" s="114" t="inlineStr">
        <is>
          <t>Controle</t>
        </is>
      </c>
      <c r="BE81" s="141" t="n">
        <v>3</v>
      </c>
      <c r="BF81" s="141">
        <f>$BE81+3*IFERROR(VLOOKUP($BD81,$I$2:$L$10,3,FALSE),0)</f>
        <v/>
      </c>
      <c r="BG81" s="141">
        <f>IFERROR(VLOOKUP($BD81,$I$2:$L$10,4,FALSE),0)</f>
        <v/>
      </c>
      <c r="BH81" s="141" t="n">
        <v>1</v>
      </c>
      <c r="BI81" s="141">
        <f>IF($BG81=1,"",$BC81)</f>
        <v/>
      </c>
      <c r="BJ81" s="141">
        <f>IF(AND($BE81=1,$BG81=0),$BC81,"")</f>
        <v/>
      </c>
      <c r="IJ81" s="114" t="inlineStr">
        <is>
          <t>D508</t>
        </is>
      </c>
      <c r="IK81" s="141">
        <f>UPPER(INDEX(DADOS_AM!$D$8:$G$8,1,DADOS_AM!$A$2))</f>
        <v/>
      </c>
    </row>
    <row r="82">
      <c r="BC82" s="114" t="inlineStr">
        <is>
          <t>Efeito Próprio (Leve)</t>
        </is>
      </c>
      <c r="BD82" s="114" t="inlineStr"/>
      <c r="BE82" s="141" t="n">
        <v>1</v>
      </c>
      <c r="BF82" s="141">
        <f>$BE82+3*IFERROR(VLOOKUP($BD82,$I$2:$L$10,3,FALSE),0)</f>
        <v/>
      </c>
      <c r="BG82" s="141">
        <f>IFERROR(VLOOKUP($BD82,$I$2:$L$10,4,FALSE),0)</f>
        <v/>
      </c>
      <c r="BH82" s="141" t="n">
        <v>0</v>
      </c>
      <c r="BI82" s="141">
        <f>IF($BG82=1,"",$BC82)</f>
        <v/>
      </c>
      <c r="BJ82" s="141">
        <f>IF(AND($BE82=1,$BG82=0),$BC82,"")</f>
        <v/>
      </c>
      <c r="IJ82" s="114" t="inlineStr">
        <is>
          <t>J508</t>
        </is>
      </c>
      <c r="IK82" s="141">
        <f>UPPER(INDEX(DADOS_AM!$D$8:$G$8,1,DADOS_AM!$A$2))</f>
        <v/>
      </c>
    </row>
    <row r="83">
      <c r="BC83" s="114" t="inlineStr">
        <is>
          <t>Efeito Próprio (Média)</t>
        </is>
      </c>
      <c r="BD83" s="114" t="inlineStr"/>
      <c r="BE83" s="141" t="n">
        <v>2</v>
      </c>
      <c r="BF83" s="141">
        <f>$BE83+3*IFERROR(VLOOKUP($BD83,$I$2:$L$10,3,FALSE),0)</f>
        <v/>
      </c>
      <c r="BG83" s="141">
        <f>IFERROR(VLOOKUP($BD83,$I$2:$L$10,4,FALSE),0)</f>
        <v/>
      </c>
      <c r="BH83" s="141" t="n">
        <v>0</v>
      </c>
      <c r="BI83" s="141">
        <f>IF($BG83=1,"",$BC83)</f>
        <v/>
      </c>
      <c r="BJ83" s="141">
        <f>IF(AND($BE83=1,$BG83=0),$BC83,"")</f>
        <v/>
      </c>
      <c r="IJ83" s="114" t="inlineStr">
        <is>
          <t>P508</t>
        </is>
      </c>
      <c r="IK83" s="141">
        <f>UPPER(INDEX(DADOS_AM!$D$8:$G$8,1,DADOS_AM!$A$2))</f>
        <v/>
      </c>
    </row>
    <row r="84">
      <c r="BC84" s="114" t="inlineStr">
        <is>
          <t>Efeito Próprio (Pesada)</t>
        </is>
      </c>
      <c r="BD84" s="114" t="inlineStr"/>
      <c r="BE84" s="141" t="n">
        <v>3</v>
      </c>
      <c r="BF84" s="141">
        <f>$BE84+3*IFERROR(VLOOKUP($BD84,$I$2:$L$10,3,FALSE),0)</f>
        <v/>
      </c>
      <c r="BG84" s="141">
        <f>IFERROR(VLOOKUP($BD84,$I$2:$L$10,4,FALSE),0)</f>
        <v/>
      </c>
      <c r="BH84" s="141" t="n">
        <v>0</v>
      </c>
      <c r="BI84" s="141">
        <f>IF($BG84=1,"",$BC84)</f>
        <v/>
      </c>
      <c r="BJ84" s="141">
        <f>IF(AND($BE84=1,$BG84=0),$BC84,"")</f>
        <v/>
      </c>
      <c r="IJ84" s="114" t="inlineStr">
        <is>
          <t>D470</t>
        </is>
      </c>
      <c r="IK84" s="141">
        <f>UPPER(INDEX(DADOS_AM!$D$6:$G$6,1,DADOS_AM!$A$2))&amp;" 7 A 12 · abra quando faltar lugar"</f>
        <v/>
      </c>
    </row>
    <row r="85">
      <c r="IJ85" s="114" t="inlineStr">
        <is>
          <t>D515</t>
        </is>
      </c>
      <c r="IK85" s="141">
        <f>IF(DADOS_AM!$HE$27&gt;DADOS_AM!$HE$28,"⚠ ","")&amp;DADOS_AM!$HE$27&amp;" de "&amp;DADOS_AM!$HE$28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15" t="n"/>
      <c r="B1" s="142" t="inlineStr">
        <is>
          <t>O GLOSSÁRIO — o que cada coisa da ficha quer dizer</t>
        </is>
      </c>
      <c r="C1" s="14" t="n"/>
      <c r="D1" s="14" t="n"/>
      <c r="E1" s="14" t="n"/>
      <c r="F1" s="14" t="n"/>
      <c r="G1" s="14" t="n"/>
      <c r="H1" s="14" t="n"/>
      <c r="I1" s="14" t="n"/>
      <c r="J1" s="14" t="n"/>
      <c r="K1" s="14" t="n"/>
      <c r="L1" s="14" t="n"/>
      <c r="M1" s="14" t="n"/>
      <c r="N1" s="14" t="n"/>
      <c r="O1" s="14" t="n"/>
      <c r="P1" s="14" t="n"/>
      <c r="Q1" s="14" t="n"/>
      <c r="R1" s="14" t="n"/>
      <c r="S1" s="14" t="n"/>
      <c r="T1" s="14" t="n"/>
      <c r="U1" s="14" t="n"/>
      <c r="V1" s="14" t="n"/>
      <c r="W1" s="143" t="inlineStr">
        <is>
          <t>Capítulo 1 · 2 · 13</t>
        </is>
      </c>
      <c r="X1" s="14" t="n"/>
      <c r="Y1" s="14" t="n"/>
      <c r="Z1" s="14" t="n"/>
      <c r="AA1" s="14" t="n"/>
      <c r="AB1" s="14" t="n"/>
      <c r="AC1" s="14" t="n"/>
      <c r="AD1" s="14" t="n"/>
      <c r="AE1" s="14" t="n"/>
      <c r="AF1" s="14" t="n"/>
      <c r="AG1" s="15" t="n"/>
      <c r="AH1" s="115" t="n"/>
    </row>
    <row r="2" ht="16" customHeight="1">
      <c r="A2" s="115" t="n"/>
      <c r="B2" s="18" t="n"/>
      <c r="C2" s="19" t="n"/>
      <c r="D2" s="19" t="n"/>
      <c r="E2" s="19" t="n"/>
      <c r="F2" s="19" t="n"/>
      <c r="G2" s="19" t="n"/>
      <c r="H2" s="19" t="n"/>
      <c r="I2" s="19" t="n"/>
      <c r="J2" s="19" t="n"/>
      <c r="K2" s="19" t="n"/>
      <c r="L2" s="19" t="n"/>
      <c r="M2" s="19" t="n"/>
      <c r="N2" s="19" t="n"/>
      <c r="O2" s="19" t="n"/>
      <c r="P2" s="19" t="n"/>
      <c r="Q2" s="19" t="n"/>
      <c r="R2" s="19" t="n"/>
      <c r="S2" s="19" t="n"/>
      <c r="T2" s="19" t="n"/>
      <c r="U2" s="19" t="n"/>
      <c r="V2" s="19" t="n"/>
      <c r="W2" s="19" t="n"/>
      <c r="X2" s="19" t="n"/>
      <c r="Y2" s="19" t="n"/>
      <c r="Z2" s="19" t="n"/>
      <c r="AA2" s="19" t="n"/>
      <c r="AB2" s="19" t="n"/>
      <c r="AC2" s="19" t="n"/>
      <c r="AD2" s="19" t="n"/>
      <c r="AE2" s="19" t="n"/>
      <c r="AF2" s="19" t="n"/>
      <c r="AG2" s="20" t="n"/>
      <c r="AH2" s="115" t="n"/>
    </row>
    <row r="3">
      <c r="A3" s="115" t="n"/>
      <c r="AH3" s="115" t="n"/>
    </row>
    <row r="4">
      <c r="A4" s="115" t="n"/>
      <c r="B4" s="144" t="inlineStr">
        <is>
          <t>ATRIBUTOS</t>
        </is>
      </c>
      <c r="C4" s="11" t="n"/>
      <c r="D4" s="11" t="n"/>
      <c r="E4" s="11" t="n"/>
      <c r="F4" s="11" t="n"/>
      <c r="G4" s="11" t="n"/>
      <c r="H4" s="11" t="n"/>
      <c r="I4" s="11" t="n"/>
      <c r="J4" s="11" t="n"/>
      <c r="K4" s="11" t="n"/>
      <c r="L4" s="12" t="n"/>
      <c r="M4" s="145" t="inlineStr">
        <is>
          <t>O número é o modificador. Escala de 0 a 6, sem tabela de conversão.</t>
        </is>
      </c>
      <c r="N4" s="11" t="n"/>
      <c r="O4" s="11" t="n"/>
      <c r="P4" s="11" t="n"/>
      <c r="Q4" s="11" t="n"/>
      <c r="R4" s="11" t="n"/>
      <c r="S4" s="11" t="n"/>
      <c r="T4" s="11" t="n"/>
      <c r="U4" s="11" t="n"/>
      <c r="V4" s="11" t="n"/>
      <c r="W4" s="11" t="n"/>
      <c r="X4" s="11" t="n"/>
      <c r="Y4" s="11" t="n"/>
      <c r="Z4" s="11" t="n"/>
      <c r="AA4" s="11" t="n"/>
      <c r="AB4" s="11" t="n"/>
      <c r="AC4" s="11" t="n"/>
      <c r="AD4" s="11" t="n"/>
      <c r="AE4" s="11" t="n"/>
      <c r="AF4" s="11" t="n"/>
      <c r="AG4" s="12" t="n"/>
      <c r="AH4" s="115" t="n"/>
    </row>
    <row r="5">
      <c r="A5" s="115" t="n"/>
      <c r="E5" s="146" t="inlineStr">
        <is>
          <t>ATRIBUTO</t>
        </is>
      </c>
      <c r="F5" s="11" t="n"/>
      <c r="G5" s="11" t="n"/>
      <c r="H5" s="11" t="n"/>
      <c r="I5" s="11" t="n"/>
      <c r="J5" s="12" t="n"/>
      <c r="K5" s="146" t="inlineStr">
        <is>
          <t>O QUE GOVERNA</t>
        </is>
      </c>
      <c r="L5" s="11" t="n"/>
      <c r="M5" s="11" t="n"/>
      <c r="N5" s="11" t="n"/>
      <c r="O5" s="11" t="n"/>
      <c r="P5" s="11" t="n"/>
      <c r="Q5" s="11" t="n"/>
      <c r="R5" s="11" t="n"/>
      <c r="S5" s="11" t="n"/>
      <c r="T5" s="11" t="n"/>
      <c r="U5" s="11" t="n"/>
      <c r="V5" s="11" t="n"/>
      <c r="W5" s="11" t="n"/>
      <c r="X5" s="11" t="n"/>
      <c r="Y5" s="11" t="n"/>
      <c r="Z5" s="11" t="n"/>
      <c r="AA5" s="11" t="n"/>
      <c r="AB5" s="11" t="n"/>
      <c r="AC5" s="11" t="n"/>
      <c r="AD5" s="11" t="n"/>
      <c r="AE5" s="11" t="n"/>
      <c r="AF5" s="11" t="n"/>
      <c r="AG5" s="12" t="n"/>
      <c r="AH5" s="115" t="n"/>
    </row>
    <row r="6" ht="30" customHeight="1">
      <c r="A6" s="115" t="n"/>
      <c r="B6" s="90" t="n"/>
      <c r="C6" s="11" t="n"/>
      <c r="D6" s="12" t="n"/>
      <c r="E6" s="147" t="inlineStr">
        <is>
          <t>Força</t>
        </is>
      </c>
      <c r="F6" s="11" t="n"/>
      <c r="G6" s="11" t="n"/>
      <c r="H6" s="11" t="n"/>
      <c r="I6" s="11" t="n"/>
      <c r="J6" s="12" t="n"/>
      <c r="K6" s="148" t="inlineStr">
        <is>
          <t>Quanto o seu corpo aguenta e impõe, na base do músculo. Governa: ataque corpo a corpo, agarrar, quebrar, carregar</t>
        </is>
      </c>
      <c r="L6" s="11" t="n"/>
      <c r="M6" s="11" t="n"/>
      <c r="N6" s="11" t="n"/>
      <c r="O6" s="11" t="n"/>
      <c r="P6" s="11" t="n"/>
      <c r="Q6" s="11" t="n"/>
      <c r="R6" s="11" t="n"/>
      <c r="S6" s="11" t="n"/>
      <c r="T6" s="11" t="n"/>
      <c r="U6" s="11" t="n"/>
      <c r="V6" s="11" t="n"/>
      <c r="W6" s="11" t="n"/>
      <c r="X6" s="11" t="n"/>
      <c r="Y6" s="11" t="n"/>
      <c r="Z6" s="11" t="n"/>
      <c r="AA6" s="11" t="n"/>
      <c r="AB6" s="11" t="n"/>
      <c r="AC6" s="11" t="n"/>
      <c r="AD6" s="11" t="n"/>
      <c r="AE6" s="11" t="n"/>
      <c r="AF6" s="11" t="n"/>
      <c r="AG6" s="12" t="n"/>
      <c r="AH6" s="115" t="n"/>
    </row>
    <row r="7" ht="30" customHeight="1">
      <c r="A7" s="115" t="n"/>
      <c r="B7" s="149" t="n"/>
      <c r="C7" s="11" t="n"/>
      <c r="D7" s="12" t="n"/>
      <c r="E7" s="150" t="inlineStr">
        <is>
          <t>Destreza</t>
        </is>
      </c>
      <c r="F7" s="11" t="n"/>
      <c r="G7" s="11" t="n"/>
      <c r="H7" s="11" t="n"/>
      <c r="I7" s="11" t="n"/>
      <c r="J7" s="12" t="n"/>
      <c r="K7" s="151" t="inlineStr">
        <is>
          <t>Sua velocidade e precisão — o corpo respondendo rápido, a mira certa. Governa: ataque à distância, Defesa, iniciativa, furtividade</t>
        </is>
      </c>
      <c r="L7" s="11" t="n"/>
      <c r="M7" s="11" t="n"/>
      <c r="N7" s="11" t="n"/>
      <c r="O7" s="11" t="n"/>
      <c r="P7" s="11" t="n"/>
      <c r="Q7" s="11" t="n"/>
      <c r="R7" s="11" t="n"/>
      <c r="S7" s="11" t="n"/>
      <c r="T7" s="11" t="n"/>
      <c r="U7" s="11" t="n"/>
      <c r="V7" s="11" t="n"/>
      <c r="W7" s="11" t="n"/>
      <c r="X7" s="11" t="n"/>
      <c r="Y7" s="11" t="n"/>
      <c r="Z7" s="11" t="n"/>
      <c r="AA7" s="11" t="n"/>
      <c r="AB7" s="11" t="n"/>
      <c r="AC7" s="11" t="n"/>
      <c r="AD7" s="11" t="n"/>
      <c r="AE7" s="11" t="n"/>
      <c r="AF7" s="11" t="n"/>
      <c r="AG7" s="12" t="n"/>
      <c r="AH7" s="115" t="n"/>
    </row>
    <row r="8" ht="30" customHeight="1">
      <c r="A8" s="115" t="n"/>
      <c r="B8" s="90" t="n"/>
      <c r="C8" s="11" t="n"/>
      <c r="D8" s="12" t="n"/>
      <c r="E8" s="147" t="inlineStr">
        <is>
          <t>Constituição</t>
        </is>
      </c>
      <c r="F8" s="11" t="n"/>
      <c r="G8" s="11" t="n"/>
      <c r="H8" s="11" t="n"/>
      <c r="I8" s="11" t="n"/>
      <c r="J8" s="12" t="n"/>
      <c r="K8" s="148" t="inlineStr">
        <is>
          <t>Sua resistência bruta a dano e a desgaste. Governa: pontos de vida</t>
        </is>
      </c>
      <c r="L8" s="11" t="n"/>
      <c r="M8" s="11" t="n"/>
      <c r="N8" s="11" t="n"/>
      <c r="O8" s="11" t="n"/>
      <c r="P8" s="11" t="n"/>
      <c r="Q8" s="11" t="n"/>
      <c r="R8" s="11" t="n"/>
      <c r="S8" s="11" t="n"/>
      <c r="T8" s="11" t="n"/>
      <c r="U8" s="11" t="n"/>
      <c r="V8" s="11" t="n"/>
      <c r="W8" s="11" t="n"/>
      <c r="X8" s="11" t="n"/>
      <c r="Y8" s="11" t="n"/>
      <c r="Z8" s="11" t="n"/>
      <c r="AA8" s="11" t="n"/>
      <c r="AB8" s="11" t="n"/>
      <c r="AC8" s="11" t="n"/>
      <c r="AD8" s="11" t="n"/>
      <c r="AE8" s="11" t="n"/>
      <c r="AF8" s="11" t="n"/>
      <c r="AG8" s="12" t="n"/>
      <c r="AH8" s="115" t="n"/>
    </row>
    <row r="9" ht="30" customHeight="1">
      <c r="A9" s="115" t="n"/>
      <c r="B9" s="149" t="n"/>
      <c r="C9" s="11" t="n"/>
      <c r="D9" s="12" t="n"/>
      <c r="E9" s="150" t="inlineStr">
        <is>
          <t>Inteligência</t>
        </is>
      </c>
      <c r="F9" s="11" t="n"/>
      <c r="G9" s="11" t="n"/>
      <c r="H9" s="11" t="n"/>
      <c r="I9" s="11" t="n"/>
      <c r="J9" s="12" t="n"/>
      <c r="K9" s="151" t="inlineStr">
        <is>
          <t>O que você sabe e deduz — o raciocínio frio. Governa: conhecimento, investigação, reconhecer uma técnica pelo catálogo</t>
        </is>
      </c>
      <c r="L9" s="11" t="n"/>
      <c r="M9" s="11" t="n"/>
      <c r="N9" s="11" t="n"/>
      <c r="O9" s="11" t="n"/>
      <c r="P9" s="11" t="n"/>
      <c r="Q9" s="11" t="n"/>
      <c r="R9" s="11" t="n"/>
      <c r="S9" s="11" t="n"/>
      <c r="T9" s="11" t="n"/>
      <c r="U9" s="11" t="n"/>
      <c r="V9" s="11" t="n"/>
      <c r="W9" s="11" t="n"/>
      <c r="X9" s="11" t="n"/>
      <c r="Y9" s="11" t="n"/>
      <c r="Z9" s="11" t="n"/>
      <c r="AA9" s="11" t="n"/>
      <c r="AB9" s="11" t="n"/>
      <c r="AC9" s="11" t="n"/>
      <c r="AD9" s="11" t="n"/>
      <c r="AE9" s="11" t="n"/>
      <c r="AF9" s="11" t="n"/>
      <c r="AG9" s="12" t="n"/>
      <c r="AH9" s="115" t="n"/>
    </row>
    <row r="10" ht="30" customHeight="1">
      <c r="A10" s="115" t="n"/>
      <c r="B10" s="90" t="n"/>
      <c r="C10" s="11" t="n"/>
      <c r="D10" s="12" t="n"/>
      <c r="E10" s="147" t="inlineStr">
        <is>
          <t>Essência</t>
        </is>
      </c>
      <c r="F10" s="11" t="n"/>
      <c r="G10" s="11" t="n"/>
      <c r="H10" s="11" t="n"/>
      <c r="I10" s="11" t="n"/>
      <c r="J10" s="12" t="n"/>
      <c r="K10" s="148" t="inlineStr">
        <is>
          <t>Sua sensibilidade à energia amaldiçoada e às pessoas — o que você sente, não o que você calcula. Governa: perceber energia amaldiçoada, trato social, hierarquia, negociar Pactos</t>
        </is>
      </c>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n"/>
      <c r="AG10" s="12" t="n"/>
      <c r="AH10" s="115" t="n"/>
    </row>
    <row r="11">
      <c r="A11" s="115" t="n"/>
      <c r="AH11" s="115" t="n"/>
    </row>
    <row r="12">
      <c r="A12" s="115" t="n"/>
      <c r="B12" s="144" t="inlineStr">
        <is>
          <t>PERÍCIAS</t>
        </is>
      </c>
      <c r="C12" s="11" t="n"/>
      <c r="D12" s="11" t="n"/>
      <c r="E12" s="11" t="n"/>
      <c r="F12" s="11" t="n"/>
      <c r="G12" s="11" t="n"/>
      <c r="H12" s="11" t="n"/>
      <c r="I12" s="11" t="n"/>
      <c r="J12" s="11" t="n"/>
      <c r="K12" s="11" t="n"/>
      <c r="L12" s="12" t="n"/>
      <c r="M12" s="145" t="inlineStr">
        <is>
          <t>9 de 23 na criação — ou 10, trocando os dois ofícios da Origem.</t>
        </is>
      </c>
      <c r="N12" s="11" t="n"/>
      <c r="O12" s="11" t="n"/>
      <c r="P12" s="11" t="n"/>
      <c r="Q12" s="11" t="n"/>
      <c r="R12" s="11" t="n"/>
      <c r="S12" s="11" t="n"/>
      <c r="T12" s="11" t="n"/>
      <c r="U12" s="11" t="n"/>
      <c r="V12" s="11" t="n"/>
      <c r="W12" s="11" t="n"/>
      <c r="X12" s="11" t="n"/>
      <c r="Y12" s="11" t="n"/>
      <c r="Z12" s="11" t="n"/>
      <c r="AA12" s="11" t="n"/>
      <c r="AB12" s="11" t="n"/>
      <c r="AC12" s="11" t="n"/>
      <c r="AD12" s="11" t="n"/>
      <c r="AE12" s="11" t="n"/>
      <c r="AF12" s="11" t="n"/>
      <c r="AG12" s="12" t="n"/>
      <c r="AH12" s="115" t="n"/>
    </row>
    <row r="13">
      <c r="A13" s="115" t="n"/>
      <c r="B13" s="52" t="inlineStr">
        <is>
          <t>ATRIBUTO</t>
        </is>
      </c>
      <c r="C13" s="11" t="n"/>
      <c r="D13" s="12" t="n"/>
      <c r="E13" s="146" t="inlineStr">
        <is>
          <t>NOME</t>
        </is>
      </c>
      <c r="F13" s="11" t="n"/>
      <c r="G13" s="11" t="n"/>
      <c r="H13" s="11" t="n"/>
      <c r="I13" s="11" t="n"/>
      <c r="J13" s="12" t="n"/>
      <c r="K13" s="146" t="inlineStr">
        <is>
          <t>O QUE FAZ</t>
        </is>
      </c>
      <c r="L13" s="11" t="n"/>
      <c r="M13" s="11" t="n"/>
      <c r="N13" s="11" t="n"/>
      <c r="O13" s="11" t="n"/>
      <c r="P13" s="11" t="n"/>
      <c r="Q13" s="11" t="n"/>
      <c r="R13" s="11" t="n"/>
      <c r="S13" s="11" t="n"/>
      <c r="T13" s="11" t="n"/>
      <c r="U13" s="11" t="n"/>
      <c r="V13" s="11" t="n"/>
      <c r="W13" s="11" t="n"/>
      <c r="X13" s="11" t="n"/>
      <c r="Y13" s="11" t="n"/>
      <c r="Z13" s="11" t="n"/>
      <c r="AA13" s="11" t="n"/>
      <c r="AB13" s="11" t="n"/>
      <c r="AC13" s="11" t="n"/>
      <c r="AD13" s="11" t="n"/>
      <c r="AE13" s="11" t="n"/>
      <c r="AF13" s="11" t="n"/>
      <c r="AG13" s="12" t="n"/>
      <c r="AH13" s="115" t="n"/>
    </row>
    <row r="14" ht="30" customHeight="1">
      <c r="A14" s="115" t="n"/>
      <c r="B14" s="90" t="inlineStr">
        <is>
          <t>Acrobacia</t>
        </is>
      </c>
      <c r="C14" s="11" t="n"/>
      <c r="D14" s="12" t="n"/>
      <c r="E14" s="147" t="inlineStr">
        <is>
          <t>Destreza</t>
        </is>
      </c>
      <c r="F14" s="11" t="n"/>
      <c r="G14" s="11" t="n"/>
      <c r="H14" s="11" t="n"/>
      <c r="I14" s="11" t="n"/>
      <c r="J14" s="12" t="n"/>
      <c r="K14" s="148" t="inlineStr">
        <is>
          <t>Mede seu equilíbrio e o controle fino do próprio corpo em movimento. Exemplo: equilíbrio, cair sem se machucar, passar por espaço apertado.</t>
        </is>
      </c>
      <c r="L14" s="11" t="n"/>
      <c r="M14" s="11" t="n"/>
      <c r="N14" s="11" t="n"/>
      <c r="O14" s="11" t="n"/>
      <c r="P14" s="11" t="n"/>
      <c r="Q14" s="11" t="n"/>
      <c r="R14" s="11" t="n"/>
      <c r="S14" s="11" t="n"/>
      <c r="T14" s="11" t="n"/>
      <c r="U14" s="11" t="n"/>
      <c r="V14" s="11" t="n"/>
      <c r="W14" s="11" t="n"/>
      <c r="X14" s="11" t="n"/>
      <c r="Y14" s="11" t="n"/>
      <c r="Z14" s="11" t="n"/>
      <c r="AA14" s="11" t="n"/>
      <c r="AB14" s="11" t="n"/>
      <c r="AC14" s="11" t="n"/>
      <c r="AD14" s="11" t="n"/>
      <c r="AE14" s="11" t="n"/>
      <c r="AF14" s="11" t="n"/>
      <c r="AG14" s="12" t="n"/>
      <c r="AH14" s="115" t="n"/>
    </row>
    <row r="15" ht="30" customHeight="1">
      <c r="A15" s="115" t="n"/>
      <c r="B15" s="149" t="inlineStr">
        <is>
          <t>Atletismo</t>
        </is>
      </c>
      <c r="C15" s="11" t="n"/>
      <c r="D15" s="12" t="n"/>
      <c r="E15" s="150" t="inlineStr">
        <is>
          <t>Força</t>
        </is>
      </c>
      <c r="F15" s="11" t="n"/>
      <c r="G15" s="11" t="n"/>
      <c r="H15" s="11" t="n"/>
      <c r="I15" s="11" t="n"/>
      <c r="J15" s="12" t="n"/>
      <c r="K15" s="151" t="inlineStr">
        <is>
          <t>Mede seu corpo em esforço físico direto. Exemplo: correr, escalar, nadar, saltar, carregar quem não anda.</t>
        </is>
      </c>
      <c r="L15" s="11" t="n"/>
      <c r="M15" s="11" t="n"/>
      <c r="N15" s="11" t="n"/>
      <c r="O15" s="11" t="n"/>
      <c r="P15" s="11" t="n"/>
      <c r="Q15" s="11" t="n"/>
      <c r="R15" s="11" t="n"/>
      <c r="S15" s="11" t="n"/>
      <c r="T15" s="11" t="n"/>
      <c r="U15" s="11" t="n"/>
      <c r="V15" s="11" t="n"/>
      <c r="W15" s="11" t="n"/>
      <c r="X15" s="11" t="n"/>
      <c r="Y15" s="11" t="n"/>
      <c r="Z15" s="11" t="n"/>
      <c r="AA15" s="11" t="n"/>
      <c r="AB15" s="11" t="n"/>
      <c r="AC15" s="11" t="n"/>
      <c r="AD15" s="11" t="n"/>
      <c r="AE15" s="11" t="n"/>
      <c r="AF15" s="11" t="n"/>
      <c r="AG15" s="12" t="n"/>
      <c r="AH15" s="115" t="n"/>
    </row>
    <row r="16" ht="30" customHeight="1">
      <c r="A16" s="115" t="n"/>
      <c r="B16" s="90" t="inlineStr">
        <is>
          <t>Atuação</t>
        </is>
      </c>
      <c r="C16" s="11" t="n"/>
      <c r="D16" s="12" t="n"/>
      <c r="E16" s="147" t="inlineStr">
        <is>
          <t>Essência</t>
        </is>
      </c>
      <c r="F16" s="11" t="n"/>
      <c r="G16" s="11" t="n"/>
      <c r="H16" s="11" t="n"/>
      <c r="I16" s="11" t="n"/>
      <c r="J16" s="12" t="n"/>
      <c r="K16" s="148" t="inlineStr">
        <is>
          <t>Mede sua capacidade de performar ou sustentar um papel diante de alguém. Exemplo: representar, cantar, tocar para uma plateia.</t>
        </is>
      </c>
      <c r="L16" s="11" t="n"/>
      <c r="M16" s="11" t="n"/>
      <c r="N16" s="11" t="n"/>
      <c r="O16" s="11" t="n"/>
      <c r="P16" s="11" t="n"/>
      <c r="Q16" s="11" t="n"/>
      <c r="R16" s="11" t="n"/>
      <c r="S16" s="11" t="n"/>
      <c r="T16" s="11" t="n"/>
      <c r="U16" s="11" t="n"/>
      <c r="V16" s="11" t="n"/>
      <c r="W16" s="11" t="n"/>
      <c r="X16" s="11" t="n"/>
      <c r="Y16" s="11" t="n"/>
      <c r="Z16" s="11" t="n"/>
      <c r="AA16" s="11" t="n"/>
      <c r="AB16" s="11" t="n"/>
      <c r="AC16" s="11" t="n"/>
      <c r="AD16" s="11" t="n"/>
      <c r="AE16" s="11" t="n"/>
      <c r="AF16" s="11" t="n"/>
      <c r="AG16" s="12" t="n"/>
      <c r="AH16" s="115" t="n"/>
    </row>
    <row r="17" ht="30" customHeight="1">
      <c r="A17" s="115" t="n"/>
      <c r="B17" s="149" t="inlineStr">
        <is>
          <t>Enganação</t>
        </is>
      </c>
      <c r="C17" s="11" t="n"/>
      <c r="D17" s="12" t="n"/>
      <c r="E17" s="150" t="inlineStr">
        <is>
          <t>Essência</t>
        </is>
      </c>
      <c r="F17" s="11" t="n"/>
      <c r="G17" s="11" t="n"/>
      <c r="H17" s="11" t="n"/>
      <c r="I17" s="11" t="n"/>
      <c r="J17" s="12" t="n"/>
      <c r="K17" s="151" t="inlineStr">
        <is>
          <t>Mede sua capacidade de mentir de um jeito convincente. Exemplo: mentir, blefar, se passar por outro.</t>
        </is>
      </c>
      <c r="L17" s="11" t="n"/>
      <c r="M17" s="11" t="n"/>
      <c r="N17" s="11" t="n"/>
      <c r="O17" s="11" t="n"/>
      <c r="P17" s="11" t="n"/>
      <c r="Q17" s="11" t="n"/>
      <c r="R17" s="11" t="n"/>
      <c r="S17" s="11" t="n"/>
      <c r="T17" s="11" t="n"/>
      <c r="U17" s="11" t="n"/>
      <c r="V17" s="11" t="n"/>
      <c r="W17" s="11" t="n"/>
      <c r="X17" s="11" t="n"/>
      <c r="Y17" s="11" t="n"/>
      <c r="Z17" s="11" t="n"/>
      <c r="AA17" s="11" t="n"/>
      <c r="AB17" s="11" t="n"/>
      <c r="AC17" s="11" t="n"/>
      <c r="AD17" s="11" t="n"/>
      <c r="AE17" s="11" t="n"/>
      <c r="AF17" s="11" t="n"/>
      <c r="AG17" s="12" t="n"/>
      <c r="AH17" s="115" t="n"/>
    </row>
    <row r="18" ht="30" customHeight="1">
      <c r="A18" s="115" t="n"/>
      <c r="B18" s="90" t="inlineStr">
        <is>
          <t>Furtividade</t>
        </is>
      </c>
      <c r="C18" s="11" t="n"/>
      <c r="D18" s="12" t="n"/>
      <c r="E18" s="147" t="inlineStr">
        <is>
          <t>Destreza</t>
        </is>
      </c>
      <c r="F18" s="11" t="n"/>
      <c r="G18" s="11" t="n"/>
      <c r="H18" s="11" t="n"/>
      <c r="I18" s="11" t="n"/>
      <c r="J18" s="12" t="n"/>
      <c r="K18" s="148" t="inlineStr">
        <is>
          <t>Mede sua capacidade de passar despercebido. Exemplo: mover-se sem ser visto nem ouvido.</t>
        </is>
      </c>
      <c r="L18" s="11"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2" t="n"/>
      <c r="AH18" s="115" t="n"/>
    </row>
    <row r="19" ht="30" customHeight="1">
      <c r="A19" s="115" t="n"/>
      <c r="B19" s="149" t="inlineStr">
        <is>
          <t>Hierarquia</t>
        </is>
      </c>
      <c r="C19" s="11" t="n"/>
      <c r="D19" s="12" t="n"/>
      <c r="E19" s="150" t="inlineStr">
        <is>
          <t>Inteligência</t>
        </is>
      </c>
      <c r="F19" s="11" t="n"/>
      <c r="G19" s="11" t="n"/>
      <c r="H19" s="11" t="n"/>
      <c r="I19" s="11" t="n"/>
      <c r="J19" s="12" t="n"/>
      <c r="K19" s="151" t="inlineStr">
        <is>
          <t>Mede seu conhecimento da política entre clãs e feiticeiros — quem manda em quem. Exemplo: os clãs, a política, quem manda em quem. Diz o que você pode pedir, a quem, e o que vai custar.</t>
        </is>
      </c>
      <c r="L19" s="11" t="n"/>
      <c r="M19" s="11" t="n"/>
      <c r="N19" s="11" t="n"/>
      <c r="O19" s="11" t="n"/>
      <c r="P19" s="11" t="n"/>
      <c r="Q19" s="11" t="n"/>
      <c r="R19" s="11" t="n"/>
      <c r="S19" s="11" t="n"/>
      <c r="T19" s="11" t="n"/>
      <c r="U19" s="11" t="n"/>
      <c r="V19" s="11" t="n"/>
      <c r="W19" s="11" t="n"/>
      <c r="X19" s="11" t="n"/>
      <c r="Y19" s="11" t="n"/>
      <c r="Z19" s="11" t="n"/>
      <c r="AA19" s="11" t="n"/>
      <c r="AB19" s="11" t="n"/>
      <c r="AC19" s="11" t="n"/>
      <c r="AD19" s="11" t="n"/>
      <c r="AE19" s="11" t="n"/>
      <c r="AF19" s="11" t="n"/>
      <c r="AG19" s="12" t="n"/>
      <c r="AH19" s="115" t="n"/>
    </row>
    <row r="20" ht="30" customHeight="1">
      <c r="A20" s="115" t="n"/>
      <c r="B20" s="90" t="inlineStr">
        <is>
          <t>História</t>
        </is>
      </c>
      <c r="C20" s="11" t="n"/>
      <c r="D20" s="12" t="n"/>
      <c r="E20" s="147" t="inlineStr">
        <is>
          <t>Inteligência</t>
        </is>
      </c>
      <c r="F20" s="11" t="n"/>
      <c r="G20" s="11" t="n"/>
      <c r="H20" s="11" t="n"/>
      <c r="I20" s="11" t="n"/>
      <c r="J20" s="12" t="n"/>
      <c r="K20" s="148" t="inlineStr">
        <is>
          <t>Mede sua memória do que já aconteceu e de quem estava lá. Exemplo: o que aconteceu e quem estava lá, no mundo comum e no registro das famílias.</t>
        </is>
      </c>
      <c r="L20" s="11"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2" t="n"/>
      <c r="AH20" s="115" t="n"/>
    </row>
    <row r="21" ht="30" customHeight="1">
      <c r="A21" s="115" t="n"/>
      <c r="B21" s="149" t="inlineStr">
        <is>
          <t>Intimidação</t>
        </is>
      </c>
      <c r="C21" s="11" t="n"/>
      <c r="D21" s="12" t="n"/>
      <c r="E21" s="150" t="inlineStr">
        <is>
          <t>Essência</t>
        </is>
      </c>
      <c r="F21" s="11" t="n"/>
      <c r="G21" s="11" t="n"/>
      <c r="H21" s="11" t="n"/>
      <c r="I21" s="11" t="n"/>
      <c r="J21" s="12" t="n"/>
      <c r="K21" s="151" t="inlineStr">
        <is>
          <t>Mede sua capacidade de fazer alguém recuar pela ameaça ou pela presença. Exemplo: ameaçar, dominar pela presença, fazer alguém recuar.</t>
        </is>
      </c>
      <c r="L21" s="11"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2" t="n"/>
      <c r="AH21" s="115" t="n"/>
    </row>
    <row r="22" ht="30" customHeight="1">
      <c r="A22" s="115" t="n"/>
      <c r="B22" s="90" t="inlineStr">
        <is>
          <t>Intuição</t>
        </is>
      </c>
      <c r="C22" s="11" t="n"/>
      <c r="D22" s="12" t="n"/>
      <c r="E22" s="147" t="inlineStr">
        <is>
          <t>Inteligência</t>
        </is>
      </c>
      <c r="F22" s="11" t="n"/>
      <c r="G22" s="11" t="n"/>
      <c r="H22" s="11" t="n"/>
      <c r="I22" s="11" t="n"/>
      <c r="J22" s="12" t="n"/>
      <c r="K22" s="148" t="inlineStr">
        <is>
          <t>Mede sua leitura racional do comportamento alheio — dedução sobre gente. Exemplo: ler a pessoa pelo que ela faz: a inconsistência, o detalhe que não fecha, a motivação atrás do pedido. Perceber que alguém está nervoso é Percepção.</t>
        </is>
      </c>
      <c r="L22" s="11"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2" t="n"/>
      <c r="AH22" s="115" t="n"/>
    </row>
    <row r="23" ht="30" customHeight="1">
      <c r="A23" s="115" t="n"/>
      <c r="B23" s="149" t="inlineStr">
        <is>
          <t>Investigação</t>
        </is>
      </c>
      <c r="C23" s="11" t="n"/>
      <c r="D23" s="12" t="n"/>
      <c r="E23" s="150" t="inlineStr">
        <is>
          <t>Inteligência</t>
        </is>
      </c>
      <c r="F23" s="11" t="n"/>
      <c r="G23" s="11" t="n"/>
      <c r="H23" s="11" t="n"/>
      <c r="I23" s="11" t="n"/>
      <c r="J23" s="12" t="n"/>
      <c r="K23" s="151" t="inlineStr">
        <is>
          <t>Mede sua capacidade de vasculhar um lugar e ligar pistas soltas. Exemplo: vasculhar, deduzir, ligar duas pistas que ninguém tinha ligado.</t>
        </is>
      </c>
      <c r="L23" s="11" t="n"/>
      <c r="M23" s="11" t="n"/>
      <c r="N23" s="11" t="n"/>
      <c r="O23" s="11" t="n"/>
      <c r="P23" s="11" t="n"/>
      <c r="Q23" s="11" t="n"/>
      <c r="R23" s="11" t="n"/>
      <c r="S23" s="11" t="n"/>
      <c r="T23" s="11" t="n"/>
      <c r="U23" s="11" t="n"/>
      <c r="V23" s="11" t="n"/>
      <c r="W23" s="11" t="n"/>
      <c r="X23" s="11" t="n"/>
      <c r="Y23" s="11" t="n"/>
      <c r="Z23" s="11" t="n"/>
      <c r="AA23" s="11" t="n"/>
      <c r="AB23" s="11" t="n"/>
      <c r="AC23" s="11" t="n"/>
      <c r="AD23" s="11" t="n"/>
      <c r="AE23" s="11" t="n"/>
      <c r="AF23" s="11" t="n"/>
      <c r="AG23" s="12" t="n"/>
      <c r="AH23" s="115" t="n"/>
    </row>
    <row r="24" ht="30" customHeight="1">
      <c r="A24" s="115" t="n"/>
      <c r="B24" s="90" t="inlineStr">
        <is>
          <t>Lidar com Animais</t>
        </is>
      </c>
      <c r="C24" s="11" t="n"/>
      <c r="D24" s="12" t="n"/>
      <c r="E24" s="147" t="inlineStr">
        <is>
          <t>Inteligência</t>
        </is>
      </c>
      <c r="F24" s="11" t="n"/>
      <c r="G24" s="11" t="n"/>
      <c r="H24" s="11" t="n"/>
      <c r="I24" s="11" t="n"/>
      <c r="J24" s="12" t="n"/>
      <c r="K24" s="148" t="inlineStr">
        <is>
          <t>Mede sua capacidade de acalmar, montar ou conduzir um animal. Exemplo: acalmar, montar, conduzir, mandar num bicho. Vale para invocação que ainda não te obedece direito.</t>
        </is>
      </c>
      <c r="L24" s="11" t="n"/>
      <c r="M24" s="11" t="n"/>
      <c r="N24" s="11" t="n"/>
      <c r="O24" s="11" t="n"/>
      <c r="P24" s="11" t="n"/>
      <c r="Q24" s="11" t="n"/>
      <c r="R24" s="11" t="n"/>
      <c r="S24" s="11" t="n"/>
      <c r="T24" s="11" t="n"/>
      <c r="U24" s="11" t="n"/>
      <c r="V24" s="11" t="n"/>
      <c r="W24" s="11" t="n"/>
      <c r="X24" s="11" t="n"/>
      <c r="Y24" s="11" t="n"/>
      <c r="Z24" s="11" t="n"/>
      <c r="AA24" s="11" t="n"/>
      <c r="AB24" s="11" t="n"/>
      <c r="AC24" s="11" t="n"/>
      <c r="AD24" s="11" t="n"/>
      <c r="AE24" s="11" t="n"/>
      <c r="AF24" s="11" t="n"/>
      <c r="AG24" s="12" t="n"/>
      <c r="AH24" s="115" t="n"/>
    </row>
    <row r="25" ht="30" customHeight="1">
      <c r="A25" s="115" t="n"/>
      <c r="B25" s="149" t="inlineStr">
        <is>
          <t>Medicina</t>
        </is>
      </c>
      <c r="C25" s="11" t="n"/>
      <c r="D25" s="12" t="n"/>
      <c r="E25" s="150" t="inlineStr">
        <is>
          <t>Inteligência</t>
        </is>
      </c>
      <c r="F25" s="11" t="n"/>
      <c r="G25" s="11" t="n"/>
      <c r="H25" s="11" t="n"/>
      <c r="I25" s="11" t="n"/>
      <c r="J25" s="12" t="n"/>
      <c r="K25" s="151" t="inlineStr">
        <is>
          <t>Mede seu conhecimento teórico de ferimento, veneno e doença. Exemplo: ferimento, veneno, doença, corpo. É o saber; a prática de campo é o ofício Herbalismo .</t>
        </is>
      </c>
      <c r="L25" s="11" t="n"/>
      <c r="M25" s="11" t="n"/>
      <c r="N25" s="11" t="n"/>
      <c r="O25" s="11" t="n"/>
      <c r="P25" s="11" t="n"/>
      <c r="Q25" s="11" t="n"/>
      <c r="R25" s="11" t="n"/>
      <c r="S25" s="11" t="n"/>
      <c r="T25" s="11" t="n"/>
      <c r="U25" s="11" t="n"/>
      <c r="V25" s="11" t="n"/>
      <c r="W25" s="11" t="n"/>
      <c r="X25" s="11" t="n"/>
      <c r="Y25" s="11" t="n"/>
      <c r="Z25" s="11" t="n"/>
      <c r="AA25" s="11" t="n"/>
      <c r="AB25" s="11" t="n"/>
      <c r="AC25" s="11" t="n"/>
      <c r="AD25" s="11" t="n"/>
      <c r="AE25" s="11" t="n"/>
      <c r="AF25" s="11" t="n"/>
      <c r="AG25" s="12" t="n"/>
      <c r="AH25" s="115" t="n"/>
    </row>
    <row r="26" ht="30" customHeight="1">
      <c r="A26" s="115" t="n"/>
      <c r="B26" s="90" t="inlineStr">
        <is>
          <t>Natureza</t>
        </is>
      </c>
      <c r="C26" s="11" t="n"/>
      <c r="D26" s="12" t="n"/>
      <c r="E26" s="147" t="inlineStr">
        <is>
          <t>Inteligência</t>
        </is>
      </c>
      <c r="F26" s="11" t="n"/>
      <c r="G26" s="11" t="n"/>
      <c r="H26" s="11" t="n"/>
      <c r="I26" s="11" t="n"/>
      <c r="J26" s="12" t="n"/>
      <c r="K26" s="148" t="inlineStr">
        <is>
          <t>Mede seu conhecimento do mundo natural — planta, bicho, clima, terreno. Exemplo: planta, bicho, clima, terreno. O que é venenoso, qual vale enche, quando a chuva vem.</t>
        </is>
      </c>
      <c r="L26" s="11"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2" t="n"/>
      <c r="AH26" s="115" t="n"/>
    </row>
    <row r="27" ht="30" customHeight="1">
      <c r="A27" s="115" t="n"/>
      <c r="B27" s="149" t="inlineStr">
        <is>
          <t>Ocultismo</t>
        </is>
      </c>
      <c r="C27" s="11" t="n"/>
      <c r="D27" s="12" t="n"/>
      <c r="E27" s="150" t="inlineStr">
        <is>
          <t>Inteligência</t>
        </is>
      </c>
      <c r="F27" s="11" t="n"/>
      <c r="G27" s="11" t="n"/>
      <c r="H27" s="11" t="n"/>
      <c r="I27" s="11" t="n"/>
      <c r="J27" s="12" t="n"/>
      <c r="K27" s="151" t="inlineStr">
        <is>
          <t>Mede seu conhecimento técnico de maldições e do funcionamento da energia amaldiçoada. Exemplo: maldições, técnicas conhecidas, barreiras, o funcionamento da energia amaldiçoada. O nome da coisa, o grau dela, e o que costuma matá-la.</t>
        </is>
      </c>
      <c r="L27" s="11" t="n"/>
      <c r="M27" s="11" t="n"/>
      <c r="N27" s="11" t="n"/>
      <c r="O27" s="11" t="n"/>
      <c r="P27" s="11" t="n"/>
      <c r="Q27" s="11" t="n"/>
      <c r="R27" s="11" t="n"/>
      <c r="S27" s="11" t="n"/>
      <c r="T27" s="11" t="n"/>
      <c r="U27" s="11" t="n"/>
      <c r="V27" s="11" t="n"/>
      <c r="W27" s="11" t="n"/>
      <c r="X27" s="11" t="n"/>
      <c r="Y27" s="11" t="n"/>
      <c r="Z27" s="11" t="n"/>
      <c r="AA27" s="11" t="n"/>
      <c r="AB27" s="11" t="n"/>
      <c r="AC27" s="11" t="n"/>
      <c r="AD27" s="11" t="n"/>
      <c r="AE27" s="11" t="n"/>
      <c r="AF27" s="11" t="n"/>
      <c r="AG27" s="12" t="n"/>
      <c r="AH27" s="115" t="n"/>
    </row>
    <row r="28" ht="30" customHeight="1">
      <c r="A28" s="115" t="n"/>
      <c r="B28" s="90" t="inlineStr">
        <is>
          <t>Percepção</t>
        </is>
      </c>
      <c r="C28" s="11" t="n"/>
      <c r="D28" s="12" t="n"/>
      <c r="E28" s="147" t="inlineStr">
        <is>
          <t>Essência</t>
        </is>
      </c>
      <c r="F28" s="11" t="n"/>
      <c r="G28" s="11" t="n"/>
      <c r="H28" s="11" t="n"/>
      <c r="I28" s="11" t="n"/>
      <c r="J28" s="12" t="n"/>
      <c r="K28" s="148" t="inlineStr">
        <is>
          <t>Mede sua atenção ao que os cinco sentidos comuns captam — o lado mundano. Exemplo: notar o mundano: som, cheiro, movimento, a coisa fora do lugar, a pessoa suando frio.</t>
        </is>
      </c>
      <c r="L28" s="11"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2" t="n"/>
      <c r="AH28" s="115" t="n"/>
    </row>
    <row r="29" ht="30" customHeight="1">
      <c r="A29" s="115" t="n"/>
      <c r="B29" s="149" t="inlineStr">
        <is>
          <t>Persuasão</t>
        </is>
      </c>
      <c r="C29" s="11" t="n"/>
      <c r="D29" s="12" t="n"/>
      <c r="E29" s="150" t="inlineStr">
        <is>
          <t>Essência</t>
        </is>
      </c>
      <c r="F29" s="11" t="n"/>
      <c r="G29" s="11" t="n"/>
      <c r="H29" s="11" t="n"/>
      <c r="I29" s="11" t="n"/>
      <c r="J29" s="12" t="n"/>
      <c r="K29" s="151" t="inlineStr">
        <is>
          <t>Mede sua capacidade de convencer alguém a fazer o que você quer porque quer. Exemplo: convencer, negociar, conseguir que façam o que você quer porque querem.</t>
        </is>
      </c>
      <c r="L29" s="11" t="n"/>
      <c r="M29" s="11" t="n"/>
      <c r="N29" s="11" t="n"/>
      <c r="O29" s="11" t="n"/>
      <c r="P29" s="11" t="n"/>
      <c r="Q29" s="11" t="n"/>
      <c r="R29" s="11" t="n"/>
      <c r="S29" s="11" t="n"/>
      <c r="T29" s="11" t="n"/>
      <c r="U29" s="11" t="n"/>
      <c r="V29" s="11" t="n"/>
      <c r="W29" s="11" t="n"/>
      <c r="X29" s="11" t="n"/>
      <c r="Y29" s="11" t="n"/>
      <c r="Z29" s="11" t="n"/>
      <c r="AA29" s="11" t="n"/>
      <c r="AB29" s="11" t="n"/>
      <c r="AC29" s="11" t="n"/>
      <c r="AD29" s="11" t="n"/>
      <c r="AE29" s="11" t="n"/>
      <c r="AF29" s="11" t="n"/>
      <c r="AG29" s="12" t="n"/>
      <c r="AH29" s="115" t="n"/>
    </row>
    <row r="30" ht="30" customHeight="1">
      <c r="A30" s="115" t="n"/>
      <c r="B30" s="90" t="inlineStr">
        <is>
          <t>Pontaria</t>
        </is>
      </c>
      <c r="C30" s="11" t="n"/>
      <c r="D30" s="12" t="n"/>
      <c r="E30" s="147" t="inlineStr">
        <is>
          <t>Destreza</t>
        </is>
      </c>
      <c r="F30" s="11" t="n"/>
      <c r="G30" s="11" t="n"/>
      <c r="H30" s="11" t="n"/>
      <c r="I30" s="11" t="n"/>
      <c r="J30" s="12" t="n"/>
      <c r="K30" s="148" t="inlineStr">
        <is>
          <t>Mede sua precisão ao mirar num alvo específico, fora de uma rolagem de ataque. Exemplo: acertar o que é pequeno, o que está longe ou o que se mexe, fora de uma rolagem de ataque.</t>
        </is>
      </c>
      <c r="L30" s="11"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2" t="n"/>
      <c r="AH30" s="115" t="n"/>
    </row>
    <row r="31" ht="30" customHeight="1">
      <c r="A31" s="115" t="n"/>
      <c r="B31" s="149" t="inlineStr">
        <is>
          <t>Prestidigitação</t>
        </is>
      </c>
      <c r="C31" s="11" t="n"/>
      <c r="D31" s="12" t="n"/>
      <c r="E31" s="150" t="inlineStr">
        <is>
          <t>Destreza</t>
        </is>
      </c>
      <c r="F31" s="11" t="n"/>
      <c r="G31" s="11" t="n"/>
      <c r="H31" s="11" t="n"/>
      <c r="I31" s="11" t="n"/>
      <c r="J31" s="12" t="n"/>
      <c r="K31" s="151" t="inlineStr">
        <is>
          <t>Mede a destreza manual fina — mão rápida, gesto discreto. Exemplo: mão rápida: esconder um objeto, tirar do bolso alheio, trocar uma coisa por outra.</t>
        </is>
      </c>
      <c r="L31" s="11"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2" t="n"/>
      <c r="AH31" s="115" t="n"/>
    </row>
    <row r="32" ht="30" customHeight="1">
      <c r="A32" s="115" t="n"/>
      <c r="B32" s="90" t="inlineStr">
        <is>
          <t>Provocar</t>
        </is>
      </c>
      <c r="C32" s="11" t="n"/>
      <c r="D32" s="12" t="n"/>
      <c r="E32" s="147" t="inlineStr">
        <is>
          <t>Essência</t>
        </is>
      </c>
      <c r="F32" s="11" t="n"/>
      <c r="G32" s="11" t="n"/>
      <c r="H32" s="11" t="n"/>
      <c r="I32" s="11" t="n"/>
      <c r="J32" s="12" t="n"/>
      <c r="K32" s="148" t="inlineStr">
        <is>
          <t>Mede sua capacidade de tirar alguém do sério e puxá-lo pra cima de você — o oposto de Intimidação. Exemplo: tirar alguém do sério, forçar a vir para cima de você. É o oposto de Intimidação: uma faz recuar, a outra faz avançar.</t>
        </is>
      </c>
      <c r="L32" s="11"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2" t="n"/>
      <c r="AH32" s="115" t="n"/>
    </row>
    <row r="33" ht="30" customHeight="1">
      <c r="A33" s="115" t="n"/>
      <c r="B33" s="149" t="inlineStr">
        <is>
          <t>Religião</t>
        </is>
      </c>
      <c r="C33" s="11" t="n"/>
      <c r="D33" s="12" t="n"/>
      <c r="E33" s="150" t="inlineStr">
        <is>
          <t>Inteligência</t>
        </is>
      </c>
      <c r="F33" s="11" t="n"/>
      <c r="G33" s="11" t="n"/>
      <c r="H33" s="11" t="n"/>
      <c r="I33" s="11" t="n"/>
      <c r="J33" s="12" t="n"/>
      <c r="K33" s="151" t="inlineStr">
        <is>
          <t>Mede seu conhecimento do lado sagrado e ritual do jujutsu. Exemplo: xintoísmo, budismo, exorcismo, templo, ritual, o que os selos querem dizer. O lugar antigo, e o rito que precisa ser feito na ordem certa.</t>
        </is>
      </c>
      <c r="L33" s="11"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2" t="n"/>
      <c r="AH33" s="115" t="n"/>
    </row>
    <row r="34" ht="30" customHeight="1">
      <c r="A34" s="115" t="n"/>
      <c r="B34" s="90" t="inlineStr">
        <is>
          <t>Sentir Energia</t>
        </is>
      </c>
      <c r="C34" s="11" t="n"/>
      <c r="D34" s="12" t="n"/>
      <c r="E34" s="147" t="inlineStr">
        <is>
          <t>Essência</t>
        </is>
      </c>
      <c r="F34" s="11" t="n"/>
      <c r="G34" s="11" t="n"/>
      <c r="H34" s="11" t="n"/>
      <c r="I34" s="11" t="n"/>
      <c r="J34" s="12" t="n"/>
      <c r="K34" s="148" t="inlineStr">
        <is>
          <t>Mede sua sensibilidade direta à energia amaldiçoada. Exemplo: perceber energia amaldiçoada: o feiticeiro escondido, o tamanho de uma maldição, quem está prestes a conjurar.</t>
        </is>
      </c>
      <c r="L34" s="11" t="n"/>
      <c r="M34" s="11" t="n"/>
      <c r="N34" s="11" t="n"/>
      <c r="O34" s="11" t="n"/>
      <c r="P34" s="11" t="n"/>
      <c r="Q34" s="11" t="n"/>
      <c r="R34" s="11" t="n"/>
      <c r="S34" s="11" t="n"/>
      <c r="T34" s="11" t="n"/>
      <c r="U34" s="11" t="n"/>
      <c r="V34" s="11" t="n"/>
      <c r="W34" s="11" t="n"/>
      <c r="X34" s="11" t="n"/>
      <c r="Y34" s="11" t="n"/>
      <c r="Z34" s="11" t="n"/>
      <c r="AA34" s="11" t="n"/>
      <c r="AB34" s="11" t="n"/>
      <c r="AC34" s="11" t="n"/>
      <c r="AD34" s="11" t="n"/>
      <c r="AE34" s="11" t="n"/>
      <c r="AF34" s="11" t="n"/>
      <c r="AG34" s="12" t="n"/>
      <c r="AH34" s="115" t="n"/>
    </row>
    <row r="35" ht="30" customHeight="1">
      <c r="A35" s="115" t="n"/>
      <c r="B35" s="149" t="inlineStr">
        <is>
          <t>Sobrevivência</t>
        </is>
      </c>
      <c r="C35" s="11" t="n"/>
      <c r="D35" s="12" t="n"/>
      <c r="E35" s="150" t="inlineStr">
        <is>
          <t>Inteligência</t>
        </is>
      </c>
      <c r="F35" s="11" t="n"/>
      <c r="G35" s="11" t="n"/>
      <c r="H35" s="11" t="n"/>
      <c r="I35" s="11" t="n"/>
      <c r="J35" s="12" t="n"/>
      <c r="K35" s="151" t="inlineStr">
        <is>
          <t>Mede sua capacidade de aguentar e se orientar num ambiente hostil. Exemplo: aguentar o ambiente, achar água e abrigo, se orientar, e seguir um rastro, seja pegada ou resíduo de energia.</t>
        </is>
      </c>
      <c r="L35" s="11" t="n"/>
      <c r="M35" s="11" t="n"/>
      <c r="N35" s="11" t="n"/>
      <c r="O35" s="11" t="n"/>
      <c r="P35" s="11" t="n"/>
      <c r="Q35" s="11" t="n"/>
      <c r="R35" s="11" t="n"/>
      <c r="S35" s="11" t="n"/>
      <c r="T35" s="11" t="n"/>
      <c r="U35" s="11" t="n"/>
      <c r="V35" s="11" t="n"/>
      <c r="W35" s="11" t="n"/>
      <c r="X35" s="11" t="n"/>
      <c r="Y35" s="11" t="n"/>
      <c r="Z35" s="11" t="n"/>
      <c r="AA35" s="11" t="n"/>
      <c r="AB35" s="11" t="n"/>
      <c r="AC35" s="11" t="n"/>
      <c r="AD35" s="11" t="n"/>
      <c r="AE35" s="11" t="n"/>
      <c r="AF35" s="11" t="n"/>
      <c r="AG35" s="12" t="n"/>
      <c r="AH35" s="115" t="n"/>
    </row>
    <row r="36" ht="30" customHeight="1">
      <c r="A36" s="115" t="n"/>
      <c r="B36" s="90" t="inlineStr">
        <is>
          <t>Tecnologia</t>
        </is>
      </c>
      <c r="C36" s="11" t="n"/>
      <c r="D36" s="12" t="n"/>
      <c r="E36" s="147" t="inlineStr">
        <is>
          <t>Inteligência</t>
        </is>
      </c>
      <c r="F36" s="11" t="n"/>
      <c r="G36" s="11" t="n"/>
      <c r="H36" s="11" t="n"/>
      <c r="I36" s="11" t="n"/>
      <c r="J36" s="12" t="n"/>
      <c r="K36" s="148" t="inlineStr">
        <is>
          <t>Mede seu domínio de equipamento e sistema moderno. Exemplo: computador, câmera, rede, equipamento moderno.</t>
        </is>
      </c>
      <c r="L36" s="11"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2" t="n"/>
      <c r="AH36" s="115" t="n"/>
    </row>
    <row r="37">
      <c r="A37" s="115" t="n"/>
      <c r="AH37" s="115" t="n"/>
    </row>
    <row r="38">
      <c r="A38" s="115" t="n"/>
      <c r="B38" s="144" t="inlineStr">
        <is>
          <t>OFÍCIOS</t>
        </is>
      </c>
      <c r="C38" s="11" t="n"/>
      <c r="D38" s="11" t="n"/>
      <c r="E38" s="11" t="n"/>
      <c r="F38" s="11" t="n"/>
      <c r="G38" s="11" t="n"/>
      <c r="H38" s="11" t="n"/>
      <c r="I38" s="11" t="n"/>
      <c r="J38" s="11" t="n"/>
      <c r="K38" s="11" t="n"/>
      <c r="L38" s="12" t="n"/>
      <c r="M38" s="145" t="inlineStr">
        <is>
          <t>2 de 11 na criação. O atributo é do mestre, na hora — não é fixo.</t>
        </is>
      </c>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2" t="n"/>
      <c r="AH38" s="115" t="n"/>
    </row>
    <row r="39">
      <c r="A39" s="115" t="n"/>
      <c r="E39" s="146" t="inlineStr">
        <is>
          <t>NOME</t>
        </is>
      </c>
      <c r="F39" s="11" t="n"/>
      <c r="G39" s="11" t="n"/>
      <c r="H39" s="11" t="n"/>
      <c r="I39" s="11" t="n"/>
      <c r="J39" s="12" t="n"/>
      <c r="K39" s="146" t="inlineStr">
        <is>
          <t>O QUE FAZ</t>
        </is>
      </c>
      <c r="L39" s="11" t="n"/>
      <c r="M39" s="11" t="n"/>
      <c r="N39" s="11" t="n"/>
      <c r="O39" s="11" t="n"/>
      <c r="P39" s="11" t="n"/>
      <c r="Q39" s="11" t="n"/>
      <c r="R39" s="11" t="n"/>
      <c r="S39" s="11" t="n"/>
      <c r="T39" s="11" t="n"/>
      <c r="U39" s="11" t="n"/>
      <c r="V39" s="11" t="n"/>
      <c r="W39" s="11" t="n"/>
      <c r="X39" s="11" t="n"/>
      <c r="Y39" s="11" t="n"/>
      <c r="Z39" s="11" t="n"/>
      <c r="AA39" s="11" t="n"/>
      <c r="AB39" s="11" t="n"/>
      <c r="AC39" s="11" t="n"/>
      <c r="AD39" s="11" t="n"/>
      <c r="AE39" s="11" t="n"/>
      <c r="AF39" s="11" t="n"/>
      <c r="AG39" s="12" t="n"/>
      <c r="AH39" s="115" t="n"/>
    </row>
    <row r="40" ht="30" customHeight="1">
      <c r="A40" s="115" t="n"/>
      <c r="B40" s="90" t="n"/>
      <c r="C40" s="11" t="n"/>
      <c r="D40" s="12" t="n"/>
      <c r="E40" s="147" t="inlineStr">
        <is>
          <t>Alfaiate</t>
        </is>
      </c>
      <c r="F40" s="11" t="n"/>
      <c r="G40" s="11" t="n"/>
      <c r="H40" s="11" t="n"/>
      <c r="I40" s="11" t="n"/>
      <c r="J40" s="12" t="n"/>
      <c r="K40" s="148" t="inlineStr">
        <is>
          <t>Mede sua capacidade de cortar, costurar e remendar tecido. Exemplo: tecido, corte, remendo. O uniforme que aguenta energia amaldiçoada sai daqui, e o traje sob medida também.</t>
        </is>
      </c>
      <c r="L40" s="11"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2" t="n"/>
      <c r="AH40" s="115" t="n"/>
    </row>
    <row r="41" ht="30" customHeight="1">
      <c r="A41" s="115" t="n"/>
      <c r="B41" s="149" t="n"/>
      <c r="C41" s="11" t="n"/>
      <c r="D41" s="12" t="n"/>
      <c r="E41" s="150" t="inlineStr">
        <is>
          <t>Arrombamento</t>
        </is>
      </c>
      <c r="F41" s="11" t="n"/>
      <c r="G41" s="11" t="n"/>
      <c r="H41" s="11" t="n"/>
      <c r="I41" s="11" t="n"/>
      <c r="J41" s="12" t="n"/>
      <c r="K41" s="151" t="inlineStr">
        <is>
          <t>Mede sua capacidade de vencer uma trava sem ter a chave. Exemplo: tranca, alarme, cofre, janela que não devia abrir.</t>
        </is>
      </c>
      <c r="L41" s="11"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2" t="n"/>
      <c r="AH41" s="115" t="n"/>
    </row>
    <row r="42" ht="30" customHeight="1">
      <c r="A42" s="115" t="n"/>
      <c r="B42" s="90" t="n"/>
      <c r="C42" s="11" t="n"/>
      <c r="D42" s="12" t="n"/>
      <c r="E42" s="147" t="inlineStr">
        <is>
          <t>Burocracia</t>
        </is>
      </c>
      <c r="F42" s="11" t="n"/>
      <c r="G42" s="11" t="n"/>
      <c r="H42" s="11" t="n"/>
      <c r="I42" s="11" t="n"/>
      <c r="J42" s="12" t="n"/>
      <c r="K42" s="148" t="inlineStr">
        <is>
          <t>Mede seu domínio da máquina administrativa jujutsu por dentro. Exemplo: a máquina jujutsu por dentro: relatório, requisição, quem assina o quê, como se pede uma janela e como se encobre o que não devia ter sido visto.</t>
        </is>
      </c>
      <c r="L42" s="11"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2" t="n"/>
      <c r="AH42" s="115" t="n"/>
    </row>
    <row r="43" ht="30" customHeight="1">
      <c r="A43" s="115" t="n"/>
      <c r="B43" s="149" t="n"/>
      <c r="C43" s="11" t="n"/>
      <c r="D43" s="12" t="n"/>
      <c r="E43" s="150" t="inlineStr">
        <is>
          <t>Caligrafia</t>
        </is>
      </c>
      <c r="F43" s="11" t="n"/>
      <c r="G43" s="11" t="n"/>
      <c r="H43" s="11" t="n"/>
      <c r="I43" s="11" t="n"/>
      <c r="J43" s="12" t="n"/>
      <c r="K43" s="151" t="inlineStr">
        <is>
          <t>Mede sua capacidade de produzir documento escrito, oficial ou falsificado. Exemplo: talismã, papel de barreira, documento oficial. E documento oficial que não é oficial.</t>
        </is>
      </c>
      <c r="L43" s="11" t="n"/>
      <c r="M43" s="11" t="n"/>
      <c r="N43" s="11" t="n"/>
      <c r="O43" s="11" t="n"/>
      <c r="P43" s="11" t="n"/>
      <c r="Q43" s="11" t="n"/>
      <c r="R43" s="11" t="n"/>
      <c r="S43" s="11" t="n"/>
      <c r="T43" s="11" t="n"/>
      <c r="U43" s="11" t="n"/>
      <c r="V43" s="11" t="n"/>
      <c r="W43" s="11" t="n"/>
      <c r="X43" s="11" t="n"/>
      <c r="Y43" s="11" t="n"/>
      <c r="Z43" s="11" t="n"/>
      <c r="AA43" s="11" t="n"/>
      <c r="AB43" s="11" t="n"/>
      <c r="AC43" s="11" t="n"/>
      <c r="AD43" s="11" t="n"/>
      <c r="AE43" s="11" t="n"/>
      <c r="AF43" s="11" t="n"/>
      <c r="AG43" s="12" t="n"/>
      <c r="AH43" s="115" t="n"/>
    </row>
    <row r="44" ht="30" customHeight="1">
      <c r="A44" s="115" t="n"/>
      <c r="B44" s="90" t="n"/>
      <c r="C44" s="11" t="n"/>
      <c r="D44" s="12" t="n"/>
      <c r="E44" s="147" t="inlineStr">
        <is>
          <t>Condução</t>
        </is>
      </c>
      <c r="F44" s="11" t="n"/>
      <c r="G44" s="11" t="n"/>
      <c r="H44" s="11" t="n"/>
      <c r="I44" s="11" t="n"/>
      <c r="J44" s="12" t="n"/>
      <c r="K44" s="148" t="inlineStr">
        <is>
          <t>Mede sua capacidade de operar um veículo. Exemplo: carro, moto, van, o que estiver na garagem.</t>
        </is>
      </c>
      <c r="L44" s="11" t="n"/>
      <c r="M44" s="11" t="n"/>
      <c r="N44" s="11" t="n"/>
      <c r="O44" s="11" t="n"/>
      <c r="P44" s="11" t="n"/>
      <c r="Q44" s="11" t="n"/>
      <c r="R44" s="11" t="n"/>
      <c r="S44" s="11" t="n"/>
      <c r="T44" s="11" t="n"/>
      <c r="U44" s="11" t="n"/>
      <c r="V44" s="11" t="n"/>
      <c r="W44" s="11" t="n"/>
      <c r="X44" s="11" t="n"/>
      <c r="Y44" s="11" t="n"/>
      <c r="Z44" s="11" t="n"/>
      <c r="AA44" s="11" t="n"/>
      <c r="AB44" s="11" t="n"/>
      <c r="AC44" s="11" t="n"/>
      <c r="AD44" s="11" t="n"/>
      <c r="AE44" s="11" t="n"/>
      <c r="AF44" s="11" t="n"/>
      <c r="AG44" s="12" t="n"/>
      <c r="AH44" s="115" t="n"/>
    </row>
    <row r="45" ht="30" customHeight="1">
      <c r="A45" s="115" t="n"/>
      <c r="B45" s="149" t="n"/>
      <c r="C45" s="11" t="n"/>
      <c r="D45" s="12" t="n"/>
      <c r="E45" s="150" t="inlineStr">
        <is>
          <t>Culinária</t>
        </is>
      </c>
      <c r="F45" s="11" t="n"/>
      <c r="G45" s="11" t="n"/>
      <c r="H45" s="11" t="n"/>
      <c r="I45" s="11" t="n"/>
      <c r="J45" s="12" t="n"/>
      <c r="K45" s="151" t="inlineStr">
        <is>
          <t>Mede sua capacidade de cozinhar de verdade. Exemplo: cozinhar de verdade, para gente ou para o que aceitar comida.</t>
        </is>
      </c>
      <c r="L45" s="11" t="n"/>
      <c r="M45" s="11" t="n"/>
      <c r="N45" s="11" t="n"/>
      <c r="O45" s="11" t="n"/>
      <c r="P45" s="11" t="n"/>
      <c r="Q45" s="11" t="n"/>
      <c r="R45" s="11" t="n"/>
      <c r="S45" s="11" t="n"/>
      <c r="T45" s="11" t="n"/>
      <c r="U45" s="11" t="n"/>
      <c r="V45" s="11" t="n"/>
      <c r="W45" s="11" t="n"/>
      <c r="X45" s="11" t="n"/>
      <c r="Y45" s="11" t="n"/>
      <c r="Z45" s="11" t="n"/>
      <c r="AA45" s="11" t="n"/>
      <c r="AB45" s="11" t="n"/>
      <c r="AC45" s="11" t="n"/>
      <c r="AD45" s="11" t="n"/>
      <c r="AE45" s="11" t="n"/>
      <c r="AF45" s="11" t="n"/>
      <c r="AG45" s="12" t="n"/>
      <c r="AH45" s="115" t="n"/>
    </row>
    <row r="46" ht="30" customHeight="1">
      <c r="A46" s="115" t="n"/>
      <c r="B46" s="90" t="n"/>
      <c r="C46" s="11" t="n"/>
      <c r="D46" s="12" t="n"/>
      <c r="E46" s="147" t="inlineStr">
        <is>
          <t>Entalhador</t>
        </is>
      </c>
      <c r="F46" s="11" t="n"/>
      <c r="G46" s="11" t="n"/>
      <c r="H46" s="11" t="n"/>
      <c r="I46" s="11" t="n"/>
      <c r="J46" s="12" t="n"/>
      <c r="K46" s="148" t="inlineStr">
        <is>
          <t>Mede sua capacidade de moldar madeira, pedra ou osso. Exemplo: madeira, pedra, osso. Fazer o corpo que vai receber alguma coisa.</t>
        </is>
      </c>
      <c r="L46" s="11"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2" t="n"/>
      <c r="AH46" s="115" t="n"/>
    </row>
    <row r="47" ht="30" customHeight="1">
      <c r="A47" s="115" t="n"/>
      <c r="B47" s="149" t="n"/>
      <c r="C47" s="11" t="n"/>
      <c r="D47" s="12" t="n"/>
      <c r="E47" s="150" t="inlineStr">
        <is>
          <t>Forja</t>
        </is>
      </c>
      <c r="F47" s="11" t="n"/>
      <c r="G47" s="11" t="n"/>
      <c r="H47" s="11" t="n"/>
      <c r="I47" s="11" t="n"/>
      <c r="J47" s="12" t="n"/>
      <c r="K47" s="151" t="inlineStr">
        <is>
          <t>Mede sua capacidade de fabricar, afiar e manter arma e ferramenta. Exemplo: fazer, afiar e manter arma, e cuidar de ferramenta amaldiçoada sem estragar o que tem dentro.</t>
        </is>
      </c>
      <c r="L47" s="11"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2" t="n"/>
      <c r="AH47" s="115" t="n"/>
    </row>
    <row r="48" ht="30" customHeight="1">
      <c r="A48" s="115" t="n"/>
      <c r="B48" s="90" t="n"/>
      <c r="C48" s="11" t="n"/>
      <c r="D48" s="12" t="n"/>
      <c r="E48" s="147" t="inlineStr">
        <is>
          <t>Herbalismo</t>
        </is>
      </c>
      <c r="F48" s="11" t="n"/>
      <c r="G48" s="11" t="n"/>
      <c r="H48" s="11" t="n"/>
      <c r="I48" s="11" t="n"/>
      <c r="J48" s="12" t="n"/>
      <c r="K48" s="148" t="inlineStr">
        <is>
          <t>Mede seu conhecimento prático de planta, aplicado a cura e a veneno. Exemplo: planta que cura, planta que mata, chá, unguento, e o que dá para fazer no mato quando não tem hospital.</t>
        </is>
      </c>
      <c r="L48" s="11"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2" t="n"/>
      <c r="AH48" s="115" t="n"/>
    </row>
    <row r="49" ht="30" customHeight="1">
      <c r="A49" s="115" t="n"/>
      <c r="B49" s="149" t="n"/>
      <c r="C49" s="11" t="n"/>
      <c r="D49" s="12" t="n"/>
      <c r="E49" s="150" t="inlineStr">
        <is>
          <t>Instrumento</t>
        </is>
      </c>
      <c r="F49" s="11" t="n"/>
      <c r="G49" s="11" t="n"/>
      <c r="H49" s="11" t="n"/>
      <c r="I49" s="11" t="n"/>
      <c r="J49" s="12" t="n"/>
      <c r="K49" s="151" t="inlineStr">
        <is>
          <t>Mede sua capacidade de tocar um instrumento musical. Exemplo: um instrumento, escolhido no treino.</t>
        </is>
      </c>
      <c r="L49" s="11" t="n"/>
      <c r="M49" s="11" t="n"/>
      <c r="N49" s="11" t="n"/>
      <c r="O49" s="11" t="n"/>
      <c r="P49" s="11" t="n"/>
      <c r="Q49" s="11" t="n"/>
      <c r="R49" s="11" t="n"/>
      <c r="S49" s="11" t="n"/>
      <c r="T49" s="11" t="n"/>
      <c r="U49" s="11" t="n"/>
      <c r="V49" s="11" t="n"/>
      <c r="W49" s="11" t="n"/>
      <c r="X49" s="11" t="n"/>
      <c r="Y49" s="11" t="n"/>
      <c r="Z49" s="11" t="n"/>
      <c r="AA49" s="11" t="n"/>
      <c r="AB49" s="11" t="n"/>
      <c r="AC49" s="11" t="n"/>
      <c r="AD49" s="11" t="n"/>
      <c r="AE49" s="11" t="n"/>
      <c r="AF49" s="11" t="n"/>
      <c r="AG49" s="12" t="n"/>
      <c r="AH49" s="115" t="n"/>
    </row>
    <row r="50" ht="30" customHeight="1">
      <c r="A50" s="115" t="n"/>
      <c r="B50" s="90" t="n"/>
      <c r="C50" s="11" t="n"/>
      <c r="D50" s="12" t="n"/>
      <c r="E50" s="147" t="inlineStr">
        <is>
          <t>Jogatina</t>
        </is>
      </c>
      <c r="F50" s="11" t="n"/>
      <c r="G50" s="11" t="n"/>
      <c r="H50" s="11" t="n"/>
      <c r="I50" s="11" t="n"/>
      <c r="J50" s="12" t="n"/>
      <c r="K50" s="148" t="inlineStr">
        <is>
          <t>Mede sua capacidade de jogar um jogo de aposta e ler quem está na mesa. Exemplo: carta, dado, aposta, e ler a mesa enquanto joga.</t>
        </is>
      </c>
      <c r="L50" s="11" t="n"/>
      <c r="M50" s="11" t="n"/>
      <c r="N50" s="11" t="n"/>
      <c r="O50" s="11" t="n"/>
      <c r="P50" s="11" t="n"/>
      <c r="Q50" s="11" t="n"/>
      <c r="R50" s="11" t="n"/>
      <c r="S50" s="11" t="n"/>
      <c r="T50" s="11" t="n"/>
      <c r="U50" s="11" t="n"/>
      <c r="V50" s="11" t="n"/>
      <c r="W50" s="11" t="n"/>
      <c r="X50" s="11" t="n"/>
      <c r="Y50" s="11" t="n"/>
      <c r="Z50" s="11" t="n"/>
      <c r="AA50" s="11" t="n"/>
      <c r="AB50" s="11" t="n"/>
      <c r="AC50" s="11" t="n"/>
      <c r="AD50" s="11" t="n"/>
      <c r="AE50" s="11" t="n"/>
      <c r="AF50" s="11" t="n"/>
      <c r="AG50" s="12" t="n"/>
      <c r="AH50" s="115" t="n"/>
    </row>
    <row r="51">
      <c r="A51" s="115" t="n"/>
      <c r="AH51" s="115" t="n"/>
    </row>
    <row r="52">
      <c r="A52" s="115" t="n"/>
      <c r="B52" s="144" t="inlineStr">
        <is>
          <t>CONCEITOS</t>
        </is>
      </c>
      <c r="C52" s="11" t="n"/>
      <c r="D52" s="11" t="n"/>
      <c r="E52" s="11" t="n"/>
      <c r="F52" s="11" t="n"/>
      <c r="G52" s="11" t="n"/>
      <c r="H52" s="11" t="n"/>
      <c r="I52" s="11" t="n"/>
      <c r="J52" s="11" t="n"/>
      <c r="K52" s="11" t="n"/>
      <c r="L52" s="12" t="n"/>
      <c r="AH52" s="115" t="n"/>
    </row>
    <row r="53">
      <c r="A53" s="115" t="n"/>
      <c r="E53" s="146" t="inlineStr">
        <is>
          <t>TERMO</t>
        </is>
      </c>
      <c r="F53" s="11" t="n"/>
      <c r="G53" s="11" t="n"/>
      <c r="H53" s="11" t="n"/>
      <c r="I53" s="11" t="n"/>
      <c r="J53" s="12" t="n"/>
      <c r="K53" s="146" t="inlineStr">
        <is>
          <t>O QUE SIGNIFICA</t>
        </is>
      </c>
      <c r="L53" s="11"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2" t="n"/>
      <c r="AH53" s="115" t="n"/>
    </row>
    <row r="54" ht="30" customHeight="1">
      <c r="A54" s="115" t="n"/>
      <c r="B54" s="90" t="n"/>
      <c r="C54" s="11" t="n"/>
      <c r="D54" s="12" t="n"/>
      <c r="E54" s="147" t="inlineStr">
        <is>
          <t>Treino</t>
        </is>
      </c>
      <c r="F54" s="11" t="n"/>
      <c r="G54" s="11" t="n"/>
      <c r="H54" s="11" t="n"/>
      <c r="I54" s="11" t="n"/>
      <c r="J54" s="12" t="n"/>
      <c r="K54" s="148" t="inlineStr">
        <is>
          <t>Ter a perícia ou o ofício marcado na ficha. O mestre põe uma CD; com Destreza 3 e maestria 1, uma Furtividade treinada rola d20 + 4, sem treino d20 + 3 (capítulo 2).</t>
        </is>
      </c>
      <c r="L54" s="11" t="n"/>
      <c r="M54" s="11" t="n"/>
      <c r="N54" s="11" t="n"/>
      <c r="O54" s="11" t="n"/>
      <c r="P54" s="11" t="n"/>
      <c r="Q54" s="11" t="n"/>
      <c r="R54" s="11" t="n"/>
      <c r="S54" s="11" t="n"/>
      <c r="T54" s="11" t="n"/>
      <c r="U54" s="11" t="n"/>
      <c r="V54" s="11" t="n"/>
      <c r="W54" s="11" t="n"/>
      <c r="X54" s="11" t="n"/>
      <c r="Y54" s="11" t="n"/>
      <c r="Z54" s="11" t="n"/>
      <c r="AA54" s="11" t="n"/>
      <c r="AB54" s="11" t="n"/>
      <c r="AC54" s="11" t="n"/>
      <c r="AD54" s="11" t="n"/>
      <c r="AE54" s="11" t="n"/>
      <c r="AF54" s="11" t="n"/>
      <c r="AG54" s="12" t="n"/>
      <c r="AH54" s="115" t="n"/>
    </row>
    <row r="55" ht="30" customHeight="1">
      <c r="A55" s="115" t="n"/>
      <c r="B55" s="149" t="n"/>
      <c r="C55" s="11" t="n"/>
      <c r="D55" s="12" t="n"/>
      <c r="E55" s="150" t="inlineStr">
        <is>
          <t>Maestria</t>
        </is>
      </c>
      <c r="F55" s="11" t="n"/>
      <c r="G55" s="11" t="n"/>
      <c r="H55" s="11" t="n"/>
      <c r="I55" s="11" t="n"/>
      <c r="J55" s="12" t="n"/>
      <c r="K55" s="151" t="inlineStr">
        <is>
          <t>O bônus que mede o tempo de estrada do personagem: começa em 1 e sobe um ponto a cada oito níveis. Entra em toda rolagem de ataque, na CD dos seus feitiços, e no que você treinou (capítulo 1).</t>
        </is>
      </c>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2" t="n"/>
      <c r="AH55" s="115" t="n"/>
    </row>
    <row r="56" ht="30" customHeight="1">
      <c r="A56" s="115" t="n"/>
      <c r="B56" s="90" t="n"/>
      <c r="C56" s="11" t="n"/>
      <c r="D56" s="12" t="n"/>
      <c r="E56" s="147" t="inlineStr">
        <is>
          <t>Refino</t>
        </is>
      </c>
      <c r="F56" s="11" t="n"/>
      <c r="G56" s="11" t="n"/>
      <c r="H56" s="11" t="n"/>
      <c r="I56" s="11" t="n"/>
      <c r="J56" s="12" t="n"/>
      <c r="K56" s="148" t="inlineStr">
        <is>
          <t>O eixo de controle da ficha: é o refino que compra as suas Aptidões. Poder é quanto você tem — Refino é quanto você não desperdiça (capítulo 13).</t>
        </is>
      </c>
      <c r="L56" s="11"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2" t="n"/>
      <c r="AH56" s="115" t="n"/>
    </row>
    <row r="57">
      <c r="A57" s="115" t="n"/>
      <c r="AH57" s="115"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2026-10-02T13:21:35Z</dcterms:created>
  <dcterms:modified xmlns:dcterms="http://purl.org/dc/terms/" xmlns:xsi="http://www.w3.org/2001/XMLSchema-instance" xsi:type="dcterms:W3CDTF">2026-10-02T13:21:42Z</dcterms:modified>
</cp:coreProperties>
</file>
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4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Roboto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Oswald"/>
      <color rgb="FFE8DCD4"/>
      <sz val="10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4" fillId="5" borderId="3" applyAlignment="1" pivotButton="0" quotePrefix="0" xfId="0">
      <alignment horizontal="center" vertical="center"/>
    </xf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31" fillId="6" borderId="0" pivotButton="0" quotePrefix="0" xfId="0"/>
    <xf numFmtId="0" fontId="18" fillId="5" borderId="1" pivotButton="0" quotePrefix="0" xfId="0"/>
    <xf numFmtId="0" fontId="32" fillId="5" borderId="1" pivotButton="0" quotePrefix="0" xfId="0"/>
    <xf numFmtId="0" fontId="19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34" fillId="5" borderId="3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0" fontId="32" fillId="5" borderId="28" applyAlignment="1" pivotButton="0" quotePrefix="0" xfId="0">
      <alignment horizontal="center"/>
    </xf>
    <xf numFmtId="0" fontId="34" fillId="5" borderId="1" applyAlignment="1" pivotButton="0" quotePrefix="0" xfId="0">
      <alignment horizontal="center" vertical="center" wrapText="1"/>
    </xf>
    <xf numFmtId="0" fontId="32" fillId="5" borderId="1" applyAlignment="1" pivotButton="0" quotePrefix="0" xfId="0">
      <alignment horizontal="center"/>
    </xf>
    <xf numFmtId="0" fontId="31" fillId="6" borderId="0" applyAlignment="1" pivotButton="0" quotePrefix="0" xfId="0">
      <alignment horizontal="left"/>
    </xf>
    <xf numFmtId="0" fontId="34" fillId="5" borderId="28" applyAlignment="1" pivotButton="0" quotePrefix="0" xfId="0">
      <alignment horizontal="left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/>
    </xf>
    <xf numFmtId="0" fontId="37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9" fillId="3" borderId="0" pivotButton="0" quotePrefix="0" xfId="0"/>
    <xf numFmtId="0" fontId="39" fillId="3" borderId="7" pivotButton="0" quotePrefix="0" xfId="0"/>
    <xf numFmtId="0" fontId="39" fillId="4" borderId="4" pivotButton="0" quotePrefix="0" xfId="0"/>
    <xf numFmtId="0" fontId="40" fillId="4" borderId="2" applyAlignment="1" pivotButton="0" quotePrefix="0" xfId="0">
      <alignment horizontal="left" vertical="center"/>
    </xf>
    <xf numFmtId="0" fontId="41" fillId="4" borderId="3" applyAlignment="1" pivotButton="0" quotePrefix="0" xfId="0">
      <alignment horizontal="right" vertical="center"/>
    </xf>
    <xf numFmtId="0" fontId="39" fillId="4" borderId="9" pivotButton="0" quotePrefix="0" xfId="0"/>
    <xf numFmtId="0" fontId="39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right" vertical="center"/>
    </xf>
    <xf numFmtId="0" fontId="36" fillId="5" borderId="15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6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right" vertical="center"/>
    </xf>
    <xf numFmtId="0" fontId="39" fillId="5" borderId="1" applyAlignment="1" pivotButton="0" quotePrefix="0" xfId="0">
      <alignment horizontal="left" vertical="center"/>
    </xf>
    <xf numFmtId="0" fontId="47" fillId="4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0" fontId="19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48" fillId="5" borderId="3" applyAlignment="1" pivotButton="0" quotePrefix="0" xfId="0">
      <alignment horizontal="center" vertical="center"/>
    </xf>
    <xf numFmtId="0" fontId="49" fillId="5" borderId="1" applyAlignment="1" pivotButton="0" quotePrefix="0" xfId="0">
      <alignment horizontal="right" vertical="center"/>
    </xf>
    <xf numFmtId="0" fontId="48" fillId="4" borderId="3" applyAlignment="1" pivotButton="0" quotePrefix="0" xfId="0">
      <alignment horizontal="center" vertical="center"/>
    </xf>
    <xf numFmtId="0" fontId="49" fillId="4" borderId="1" applyAlignment="1" pivotButton="0" quotePrefix="0" xfId="0">
      <alignment horizontal="right" vertical="center"/>
    </xf>
    <xf numFmtId="0" fontId="50" fillId="5" borderId="1" applyAlignment="1" pivotButton="0" quotePrefix="0" xfId="0">
      <alignment vertical="center"/>
    </xf>
    <xf numFmtId="0" fontId="5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2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39" fillId="4" borderId="29" pivotButton="0" quotePrefix="0" xfId="0"/>
    <xf numFmtId="0" fontId="29" fillId="4" borderId="2" applyAlignment="1" pivotButton="0" quotePrefix="0" xfId="0">
      <alignment horizontal="left" vertical="center"/>
    </xf>
    <xf numFmtId="0" fontId="41" fillId="4" borderId="0" applyAlignment="1" pivotButton="0" quotePrefix="0" xfId="0">
      <alignment horizontal="right" vertical="center"/>
    </xf>
    <xf numFmtId="0" fontId="39" fillId="4" borderId="8" pivotButton="0" quotePrefix="0" xfId="0"/>
    <xf numFmtId="0" fontId="17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4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/>
    </xf>
    <xf numFmtId="0" fontId="49" fillId="4" borderId="1" applyAlignment="1" pivotButton="0" quotePrefix="0" xfId="0">
      <alignment horizontal="center" vertical="center"/>
    </xf>
    <xf numFmtId="0" fontId="45" fillId="4" borderId="1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31" fillId="6" borderId="0" applyAlignment="1" pivotButton="0" quotePrefix="0" xfId="0">
      <alignment vertical="bottom"/>
    </xf>
    <xf numFmtId="0" fontId="47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31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84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>
        <f>IF(FICHA!D2="","—",FICHA!D2)</f>
        <v/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7" t="n"/>
      <c r="AE38" s="7" t="n"/>
      <c r="AF38" s="7" t="n"/>
      <c r="AG38" s="7" t="n"/>
      <c r="AH38" s="38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0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2">
        <f>IF(DADOS!$B$1=DADOS!$D$1,"v"&amp;DADOS!$B$1&amp;" · em dia","⚠ v"&amp;DADOS!$B$1&amp;" · a atual é a v"&amp;DADOS!$D$1)</f>
        <v/>
      </c>
      <c r="AU3" s="42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3" t="inlineStr">
        <is>
          <t>PROJETO M</t>
        </is>
      </c>
      <c r="C8" s="39" t="n"/>
      <c r="D8" s="44" t="n">
        <v>1</v>
      </c>
      <c r="E8" s="13" t="n"/>
      <c r="F8" s="14" t="n"/>
      <c r="G8" s="45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</row>
    <row r="9">
      <c r="C9" s="39" t="n"/>
      <c r="D9" s="17" t="n"/>
      <c r="E9" s="18" t="n"/>
      <c r="F9" s="19" t="n"/>
      <c r="G9" s="47" t="n"/>
      <c r="H9" s="47" t="n"/>
      <c r="I9" s="47" t="n"/>
      <c r="J9" s="47" t="n"/>
      <c r="K9" s="47" t="n"/>
      <c r="L9" s="47" t="n"/>
      <c r="M9" s="47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7" t="n"/>
      <c r="X9" s="48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9" t="n"/>
      <c r="AI9" s="49" t="n"/>
      <c r="AJ9" s="49" t="n"/>
      <c r="AK9" s="49" t="n"/>
      <c r="AL9" s="49" t="n"/>
      <c r="AM9" s="46" t="n"/>
      <c r="AN9" s="49" t="n"/>
      <c r="AO9" s="49" t="n"/>
      <c r="AP9" s="49" t="n"/>
      <c r="AQ9" s="49" t="n"/>
      <c r="AR9" s="49" t="n"/>
      <c r="AS9" s="49" t="n"/>
      <c r="AT9" s="49" t="n"/>
    </row>
    <row r="10">
      <c r="C10" s="39" t="n"/>
      <c r="D10" s="50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1" t="n"/>
      <c r="N10" s="52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1" t="n"/>
      <c r="X10" s="50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1" t="n"/>
      <c r="AH10" s="52" t="inlineStr">
        <is>
          <t>NÍVEL</t>
        </is>
      </c>
      <c r="AI10" s="18" t="n"/>
      <c r="AJ10" s="18" t="n"/>
      <c r="AK10" s="18" t="n"/>
      <c r="AL10" s="19" t="n"/>
      <c r="AM10" s="53" t="n"/>
      <c r="AN10" s="54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5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3" t="n"/>
      <c r="N11" s="56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3" t="n"/>
      <c r="X11" s="56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3" t="n"/>
      <c r="AH11" s="57" t="n">
        <v>2</v>
      </c>
      <c r="AI11" s="13" t="n"/>
      <c r="AJ11" s="13" t="n"/>
      <c r="AK11" s="13" t="n"/>
      <c r="AL11" s="14" t="n"/>
      <c r="AM11" s="53" t="n"/>
      <c r="AN11" s="58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6" t="n"/>
      <c r="N12" s="47" t="n"/>
      <c r="O12" s="47" t="n"/>
      <c r="P12" s="47" t="n"/>
      <c r="Q12" s="47" t="n"/>
      <c r="R12" s="59" t="n"/>
      <c r="S12" s="47" t="n"/>
      <c r="T12" s="47" t="n"/>
      <c r="U12" s="47" t="n"/>
      <c r="V12" s="47" t="n"/>
      <c r="W12" s="46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6" t="n"/>
      <c r="AH12" s="47" t="n"/>
      <c r="AI12" s="47" t="n"/>
      <c r="AJ12" s="47" t="n"/>
      <c r="AK12" s="47" t="n"/>
      <c r="AL12" s="47" t="n"/>
      <c r="AM12" s="46" t="n"/>
      <c r="AN12" s="47" t="n"/>
      <c r="AO12" s="47" t="n"/>
      <c r="AP12" s="47" t="n"/>
      <c r="AQ12" s="47" t="n"/>
      <c r="AR12" s="47" t="n"/>
      <c r="AS12" s="47" t="n"/>
      <c r="AT12" s="47" t="n"/>
    </row>
    <row r="13">
      <c r="C13" s="39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</row>
    <row r="14" ht="27" customHeight="1">
      <c r="C14" s="39" t="n"/>
      <c r="D14" s="60" t="n">
        <v>2</v>
      </c>
      <c r="E14" s="13" t="n"/>
      <c r="F14" s="14" t="n"/>
      <c r="G14" s="45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1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</row>
    <row r="15">
      <c r="C15" s="39" t="n"/>
      <c r="D15" s="17" t="n"/>
      <c r="E15" s="18" t="n"/>
      <c r="F15" s="19" t="n"/>
      <c r="G15" s="47" t="n"/>
      <c r="H15" s="47" t="n"/>
      <c r="I15" s="47" t="n"/>
      <c r="J15" s="47" t="n"/>
      <c r="K15" s="47" t="n"/>
      <c r="L15" s="48" t="n"/>
      <c r="M15" s="48" t="n"/>
      <c r="N15" s="48" t="n"/>
      <c r="O15" s="48" t="n"/>
      <c r="P15" s="48" t="n"/>
      <c r="Q15" s="48" t="n"/>
      <c r="R15" s="48" t="n"/>
      <c r="S15" s="47" t="n"/>
      <c r="T15" s="48" t="n"/>
      <c r="U15" s="48" t="n"/>
      <c r="V15" s="48" t="n"/>
      <c r="W15" s="48" t="n"/>
      <c r="X15" s="48" t="n"/>
      <c r="Y15" s="49" t="n"/>
      <c r="Z15" s="49" t="n"/>
      <c r="AA15" s="46" t="n"/>
      <c r="AB15" s="49" t="n"/>
      <c r="AC15" s="49" t="n"/>
      <c r="AD15" s="49" t="n"/>
      <c r="AE15" s="49" t="n"/>
      <c r="AF15" s="49" t="n"/>
      <c r="AG15" s="49" t="n"/>
      <c r="AH15" s="49" t="n"/>
      <c r="AI15" s="46" t="n"/>
      <c r="AJ15" s="49" t="n"/>
      <c r="AK15" s="49" t="n"/>
      <c r="AL15" s="49" t="n"/>
      <c r="AM15" s="49" t="n"/>
      <c r="AN15" s="49" t="n"/>
      <c r="AO15" s="49" t="n"/>
      <c r="AP15" s="49" t="n"/>
      <c r="AQ15" s="46" t="n"/>
      <c r="AR15" s="46" t="n"/>
      <c r="AS15" s="46" t="n"/>
      <c r="AT15" s="46" t="n"/>
    </row>
    <row r="16">
      <c r="C16" s="39" t="n"/>
      <c r="D16" s="50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1" t="n"/>
      <c r="L16" s="52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3" t="n"/>
      <c r="T16" s="54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3" t="n"/>
      <c r="AB16" s="54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3" t="n"/>
      <c r="AJ16" s="54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6" t="n"/>
      <c r="AR16" s="62" t="n"/>
      <c r="AS16" s="46" t="n"/>
      <c r="AT16" s="46" t="n"/>
    </row>
    <row r="17" ht="29.25" customHeight="1">
      <c r="C17" s="39" t="n"/>
      <c r="D17" s="63" t="n">
        <v>0</v>
      </c>
      <c r="E17" s="13" t="n"/>
      <c r="F17" s="13" t="n"/>
      <c r="G17" s="13" t="n"/>
      <c r="H17" s="13" t="n"/>
      <c r="I17" s="13" t="n"/>
      <c r="J17" s="14" t="n"/>
      <c r="K17" s="53" t="n"/>
      <c r="L17" s="64" t="n">
        <v>0</v>
      </c>
      <c r="M17" s="13" t="n"/>
      <c r="N17" s="13" t="n"/>
      <c r="O17" s="13" t="n"/>
      <c r="P17" s="13" t="n"/>
      <c r="Q17" s="13" t="n"/>
      <c r="R17" s="14" t="n"/>
      <c r="S17" s="53" t="n"/>
      <c r="T17" s="64" t="n">
        <v>0</v>
      </c>
      <c r="U17" s="13" t="n"/>
      <c r="V17" s="13" t="n"/>
      <c r="W17" s="13" t="n"/>
      <c r="X17" s="13" t="n"/>
      <c r="Y17" s="13" t="n"/>
      <c r="Z17" s="14" t="n"/>
      <c r="AA17" s="53" t="n"/>
      <c r="AB17" s="64" t="n">
        <v>0</v>
      </c>
      <c r="AC17" s="13" t="n"/>
      <c r="AD17" s="13" t="n"/>
      <c r="AE17" s="13" t="n"/>
      <c r="AF17" s="13" t="n"/>
      <c r="AG17" s="13" t="n"/>
      <c r="AH17" s="14" t="n"/>
      <c r="AI17" s="53" t="n"/>
      <c r="AJ17" s="64" t="n">
        <v>0</v>
      </c>
      <c r="AK17" s="13" t="n"/>
      <c r="AL17" s="13" t="n"/>
      <c r="AM17" s="13" t="n"/>
      <c r="AN17" s="13" t="n"/>
      <c r="AO17" s="13" t="n"/>
      <c r="AP17" s="14" t="n"/>
      <c r="AQ17" s="46" t="n"/>
      <c r="AR17" s="46" t="n"/>
      <c r="AS17" s="46" t="n"/>
      <c r="AT17" s="46" t="n"/>
    </row>
    <row r="18">
      <c r="C18" s="39" t="n"/>
      <c r="D18" s="17" t="n"/>
      <c r="E18" s="18" t="n"/>
      <c r="F18" s="18" t="n"/>
      <c r="G18" s="18" t="n"/>
      <c r="H18" s="18" t="n"/>
      <c r="I18" s="18" t="n"/>
      <c r="J18" s="19" t="n"/>
      <c r="K18" s="53" t="n"/>
      <c r="L18" s="18" t="n"/>
      <c r="M18" s="18" t="n"/>
      <c r="N18" s="18" t="n"/>
      <c r="O18" s="18" t="n"/>
      <c r="P18" s="18" t="n"/>
      <c r="Q18" s="18" t="n"/>
      <c r="R18" s="19" t="n"/>
      <c r="S18" s="53" t="n"/>
      <c r="T18" s="18" t="n"/>
      <c r="U18" s="18" t="n"/>
      <c r="V18" s="18" t="n"/>
      <c r="W18" s="18" t="n"/>
      <c r="X18" s="18" t="n"/>
      <c r="Y18" s="18" t="n"/>
      <c r="Z18" s="19" t="n"/>
      <c r="AA18" s="53" t="n"/>
      <c r="AB18" s="18" t="n"/>
      <c r="AC18" s="18" t="n"/>
      <c r="AD18" s="18" t="n"/>
      <c r="AE18" s="18" t="n"/>
      <c r="AF18" s="18" t="n"/>
      <c r="AG18" s="18" t="n"/>
      <c r="AH18" s="19" t="n"/>
      <c r="AI18" s="53" t="n"/>
      <c r="AJ18" s="18" t="n"/>
      <c r="AK18" s="18" t="n"/>
      <c r="AL18" s="18" t="n"/>
      <c r="AM18" s="18" t="n"/>
      <c r="AN18" s="18" t="n"/>
      <c r="AO18" s="18" t="n"/>
      <c r="AP18" s="19" t="n"/>
      <c r="AQ18" s="46" t="n"/>
      <c r="AR18" s="46" t="n"/>
      <c r="AS18" s="46" t="n"/>
      <c r="AT18" s="46" t="n"/>
    </row>
    <row r="19">
      <c r="C19" s="39" t="n"/>
      <c r="D19" s="65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3" t="n"/>
      <c r="L19" s="66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3" t="n"/>
      <c r="T19" s="66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3" t="n"/>
      <c r="AB19" s="66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3" t="n"/>
      <c r="AJ19" s="66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6" t="n"/>
      <c r="AR19" s="46" t="n"/>
      <c r="AS19" s="46" t="n"/>
      <c r="AT19" s="46" t="n"/>
    </row>
    <row r="20">
      <c r="C20" s="39" t="n"/>
      <c r="D20" s="46" t="n"/>
      <c r="E20" s="46" t="n"/>
      <c r="F20" s="47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</row>
    <row r="21">
      <c r="C21" s="39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</row>
    <row r="22">
      <c r="C22" s="39" t="n"/>
      <c r="D22" s="50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50" t="inlineStr">
        <is>
          <t>TEMPORÁRIO</t>
        </is>
      </c>
      <c r="AG22" s="10" t="n"/>
      <c r="AH22" s="10" t="n"/>
      <c r="AI22" s="10" t="n"/>
      <c r="AJ22" s="10" t="n"/>
      <c r="AK22" s="11" t="n"/>
      <c r="AL22" s="53" t="n"/>
      <c r="AM22" s="67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6" t="n"/>
      <c r="AT22" s="46" t="n"/>
    </row>
    <row r="23" ht="27" customHeight="1">
      <c r="C23" s="39" t="n"/>
      <c r="D23" s="68">
        <f>J23</f>
        <v/>
      </c>
      <c r="E23" s="13" t="n"/>
      <c r="F23" s="13" t="n"/>
      <c r="G23" s="13" t="n"/>
      <c r="H23" s="14" t="n"/>
      <c r="I23" s="46" t="n"/>
      <c r="J23" s="69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6" t="n"/>
      <c r="P23" s="70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6" t="n"/>
      <c r="AF23" s="71" t="n">
        <v>0</v>
      </c>
      <c r="AG23" s="18" t="n"/>
      <c r="AH23" s="18" t="n"/>
      <c r="AI23" s="18" t="n"/>
      <c r="AJ23" s="18" t="n"/>
      <c r="AK23" s="19" t="n"/>
      <c r="AL23" s="46" t="n"/>
      <c r="AM23" s="72" t="n"/>
      <c r="AN23" s="10" t="n"/>
      <c r="AO23" s="10" t="n"/>
      <c r="AP23" s="10" t="n"/>
      <c r="AQ23" s="10" t="n"/>
      <c r="AR23" s="11" t="n"/>
      <c r="AS23" s="46" t="n"/>
      <c r="AT23" s="46" t="n"/>
    </row>
    <row r="24">
      <c r="C24" s="39" t="n"/>
      <c r="D24" s="17" t="n"/>
      <c r="E24" s="18" t="n"/>
      <c r="F24" s="18" t="n"/>
      <c r="G24" s="18" t="n"/>
      <c r="H24" s="19" t="n"/>
      <c r="I24" s="46" t="n"/>
      <c r="J24" s="17" t="n"/>
      <c r="K24" s="18" t="n"/>
      <c r="L24" s="18" t="n"/>
      <c r="M24" s="18" t="n"/>
      <c r="N24" s="19" t="n"/>
      <c r="O24" s="46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  <c r="AN24" s="46" t="n"/>
      <c r="AO24" s="46" t="n"/>
      <c r="AP24" s="46" t="n"/>
      <c r="AQ24" s="46" t="n"/>
      <c r="AR24" s="47" t="n"/>
      <c r="AS24" s="46" t="n"/>
      <c r="AT24" s="46" t="n"/>
    </row>
    <row r="25">
      <c r="C25" s="3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9" t="n"/>
      <c r="AS25" s="46" t="n"/>
      <c r="AT25" s="46" t="n"/>
    </row>
    <row r="26">
      <c r="C26" s="39" t="n"/>
      <c r="D26" s="52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50" t="inlineStr">
        <is>
          <t>TEMPORÁRIO</t>
        </is>
      </c>
      <c r="AG26" s="10" t="n"/>
      <c r="AH26" s="10" t="n"/>
      <c r="AI26" s="10" t="n"/>
      <c r="AJ26" s="10" t="n"/>
      <c r="AK26" s="11" t="n"/>
      <c r="AL26" s="53" t="n"/>
      <c r="AM26" s="67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6" t="n"/>
      <c r="AT26" s="46" t="n"/>
    </row>
    <row r="27" ht="27" customHeight="1">
      <c r="A27" s="7" t="n"/>
      <c r="B27" s="7" t="n"/>
      <c r="C27" s="39" t="n"/>
      <c r="D27" s="68">
        <f>J27</f>
        <v/>
      </c>
      <c r="E27" s="13" t="n"/>
      <c r="F27" s="13" t="n"/>
      <c r="G27" s="13" t="n"/>
      <c r="H27" s="14" t="n"/>
      <c r="I27" s="46" t="n"/>
      <c r="J27" s="69">
        <f>IF($D$11="","",VLOOKUP($D$11,DADOS!$N$5:$U$9,5,FALSE)*$AH$11)</f>
        <v/>
      </c>
      <c r="K27" s="13" t="n"/>
      <c r="L27" s="13" t="n"/>
      <c r="M27" s="13" t="n"/>
      <c r="N27" s="14" t="n"/>
      <c r="O27" s="46" t="n"/>
      <c r="P27" s="73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6" t="n"/>
      <c r="AF27" s="71" t="n">
        <v>0</v>
      </c>
      <c r="AG27" s="18" t="n"/>
      <c r="AH27" s="18" t="n"/>
      <c r="AI27" s="18" t="n"/>
      <c r="AJ27" s="18" t="n"/>
      <c r="AK27" s="19" t="n"/>
      <c r="AL27" s="46" t="n"/>
      <c r="AM27" s="72" t="n"/>
      <c r="AN27" s="10" t="n"/>
      <c r="AO27" s="10" t="n"/>
      <c r="AP27" s="10" t="n"/>
      <c r="AQ27" s="10" t="n"/>
      <c r="AR27" s="11" t="n"/>
      <c r="AS27" s="46" t="n"/>
      <c r="AT27" s="46" t="n"/>
    </row>
    <row r="28">
      <c r="A28" s="7" t="n"/>
      <c r="B28" s="7" t="n"/>
      <c r="C28" s="39" t="n"/>
      <c r="D28" s="17" t="n"/>
      <c r="E28" s="18" t="n"/>
      <c r="F28" s="18" t="n"/>
      <c r="G28" s="18" t="n"/>
      <c r="H28" s="19" t="n"/>
      <c r="I28" s="46" t="n"/>
      <c r="J28" s="17" t="n"/>
      <c r="K28" s="18" t="n"/>
      <c r="L28" s="18" t="n"/>
      <c r="M28" s="18" t="n"/>
      <c r="N28" s="19" t="n"/>
      <c r="O28" s="46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6" t="n"/>
      <c r="AF28" s="46" t="n"/>
      <c r="AG28" s="46" t="n"/>
      <c r="AH28" s="46" t="n"/>
      <c r="AI28" s="46" t="n"/>
      <c r="AJ28" s="46" t="n"/>
      <c r="AK28" s="46" t="n"/>
      <c r="AL28" s="46" t="n"/>
      <c r="AM28" s="46" t="n"/>
      <c r="AN28" s="46" t="n"/>
      <c r="AO28" s="46" t="n"/>
      <c r="AP28" s="46" t="n"/>
      <c r="AQ28" s="46" t="n"/>
      <c r="AR28" s="47" t="n"/>
      <c r="AS28" s="46" t="n"/>
      <c r="AT28" s="46" t="n"/>
    </row>
    <row r="29">
      <c r="A29" s="7" t="n"/>
      <c r="B29" s="7" t="n"/>
      <c r="C29" s="3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9" t="n"/>
      <c r="AS29" s="46" t="n"/>
      <c r="AT29" s="46" t="n"/>
    </row>
    <row r="30">
      <c r="A30" s="43" t="inlineStr">
        <is>
          <t>FICHA DE REGISTRO</t>
        </is>
      </c>
      <c r="C30" s="39" t="n"/>
      <c r="D30" s="52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50" t="inlineStr">
        <is>
          <t>TEMPORÁRIO</t>
        </is>
      </c>
      <c r="AG30" s="10" t="n"/>
      <c r="AH30" s="10" t="n"/>
      <c r="AI30" s="10" t="n"/>
      <c r="AJ30" s="10" t="n"/>
      <c r="AK30" s="11" t="n"/>
      <c r="AL30" s="53" t="n"/>
      <c r="AM30" s="67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6" t="n"/>
      <c r="AT30" s="46" t="n"/>
    </row>
    <row r="31" ht="27" customHeight="1">
      <c r="C31" s="39" t="n"/>
      <c r="D31" s="68">
        <f>J31</f>
        <v/>
      </c>
      <c r="E31" s="13" t="n"/>
      <c r="F31" s="13" t="n"/>
      <c r="G31" s="13" t="n"/>
      <c r="H31" s="14" t="n"/>
      <c r="I31" s="51" t="n"/>
      <c r="J31" s="74">
        <f>20+(AJ17+5)*($AH$11-1)</f>
        <v/>
      </c>
      <c r="K31" s="13" t="n"/>
      <c r="L31" s="13" t="n"/>
      <c r="M31" s="13" t="n"/>
      <c r="N31" s="14" t="n"/>
      <c r="O31" s="46" t="n"/>
      <c r="P31" s="73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3" t="n"/>
      <c r="AF31" s="71" t="n">
        <v>0</v>
      </c>
      <c r="AG31" s="18" t="n"/>
      <c r="AH31" s="18" t="n"/>
      <c r="AI31" s="18" t="n"/>
      <c r="AJ31" s="18" t="n"/>
      <c r="AK31" s="19" t="n"/>
      <c r="AL31" s="51" t="n"/>
      <c r="AM31" s="75" t="n"/>
      <c r="AR31" s="16" t="n"/>
      <c r="AS31" s="46" t="n"/>
      <c r="AT31" s="46" t="n"/>
    </row>
    <row r="32">
      <c r="C32" s="39" t="n"/>
      <c r="D32" s="17" t="n"/>
      <c r="E32" s="18" t="n"/>
      <c r="F32" s="18" t="n"/>
      <c r="G32" s="18" t="n"/>
      <c r="H32" s="19" t="n"/>
      <c r="I32" s="51" t="n"/>
      <c r="J32" s="18" t="n"/>
      <c r="K32" s="18" t="n"/>
      <c r="L32" s="18" t="n"/>
      <c r="M32" s="18" t="n"/>
      <c r="N32" s="19" t="n"/>
      <c r="O32" s="46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6" t="n"/>
      <c r="AF32" s="47" t="n"/>
      <c r="AG32" s="47" t="n"/>
      <c r="AH32" s="47" t="n"/>
      <c r="AI32" s="47" t="n"/>
      <c r="AJ32" s="47" t="n"/>
      <c r="AK32" s="47" t="n"/>
      <c r="AL32" s="46" t="n"/>
      <c r="AM32" s="47" t="n"/>
      <c r="AN32" s="47" t="n"/>
      <c r="AO32" s="47" t="n"/>
      <c r="AP32" s="47" t="n"/>
      <c r="AQ32" s="47" t="n"/>
      <c r="AR32" s="47" t="n"/>
      <c r="AS32" s="46" t="n"/>
      <c r="AT32" s="46" t="n"/>
    </row>
    <row r="33">
      <c r="C33" s="39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  <c r="AN33" s="46" t="n"/>
      <c r="AO33" s="46" t="n"/>
      <c r="AP33" s="46" t="n"/>
      <c r="AQ33" s="46" t="n"/>
      <c r="AR33" s="46" t="n"/>
      <c r="AS33" s="46" t="n"/>
      <c r="AT33" s="46" t="n"/>
    </row>
    <row r="34">
      <c r="C34" s="39" t="n"/>
      <c r="D34" s="76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39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</row>
    <row r="36">
      <c r="C36" s="39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77" t="inlineStr">
        <is>
          <t>BLOQUEAR</t>
        </is>
      </c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1" t="n"/>
      <c r="AJ36" s="46" t="n"/>
      <c r="AK36" s="77" t="inlineStr">
        <is>
          <t>REFINO ESCOLHIDO</t>
        </is>
      </c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</row>
    <row r="37" ht="27" customHeight="1">
      <c r="C37" s="39" t="n"/>
      <c r="D37" s="60" t="n">
        <v>3</v>
      </c>
      <c r="E37" s="13" t="n"/>
      <c r="F37" s="14" t="n"/>
      <c r="G37" s="78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6" t="n"/>
      <c r="Z37" s="72">
        <f>"2d10 + " &amp; D40-11</f>
        <v/>
      </c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1" t="n"/>
      <c r="AJ37" s="62" t="n"/>
      <c r="AK37" s="72" t="n">
        <v>0</v>
      </c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</row>
    <row r="38">
      <c r="C38" s="39" t="n"/>
      <c r="D38" s="17" t="n"/>
      <c r="E38" s="18" t="n"/>
      <c r="F38" s="19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/>
      <c r="AI38" s="46" t="n"/>
      <c r="AJ38" s="46" t="n"/>
      <c r="AK38" s="46" t="n"/>
      <c r="AL38" s="46" t="n"/>
      <c r="AM38" s="46" t="n"/>
      <c r="AN38" s="46" t="n"/>
      <c r="AO38" s="46" t="n"/>
      <c r="AP38" s="46" t="n"/>
      <c r="AQ38" s="46" t="n"/>
      <c r="AR38" s="46" t="n"/>
      <c r="AS38" s="46" t="n"/>
      <c r="AT38" s="46" t="n"/>
    </row>
    <row r="39">
      <c r="C39" s="39" t="n"/>
      <c r="D39" s="50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6" t="n"/>
      <c r="O39" s="50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6" t="n"/>
      <c r="Z39" s="50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6" t="n"/>
      <c r="AK39" s="50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39" t="n"/>
      <c r="D40" s="79">
        <f>10+IF($Z$40="",$L$17,MIN($L$17,IFERROR(VALUE(VLOOKUP($Z$40,DADOS!$AE$5:$AH$31,3,FALSE)&amp;""),$L$17)))+$O$40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6" t="n"/>
      <c r="O40" s="79">
        <f>IF($Z$40="",FLOOR(MIN(10,$O$54+MIN($O$54-1,IFERROR(VALUE($AK$37&amp;""),0)))/3,1)+1,IF(VLOOKUP($Z$40,DADOS!$AE$5:$AH$31,4,FALSE)="sim",0,FLOOR(MIN(10,$O$54+MIN($O$54-1,IFERROR(VALUE($AK$37&amp;""),0)))/3,1)+1)+VLOOKUP($Z$40,DADOS!$AE$5:$AH$31,2,FALSE))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6" t="n"/>
      <c r="Z40" s="72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6" t="n"/>
      <c r="AK40" s="79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39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</row>
    <row r="42">
      <c r="C42" s="39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/>
      <c r="AI42" s="46" t="n"/>
      <c r="AJ42" s="46" t="n"/>
      <c r="AK42" s="46" t="n"/>
      <c r="AL42" s="46" t="n"/>
      <c r="AM42" s="46" t="n"/>
      <c r="AN42" s="46" t="n"/>
      <c r="AO42" s="46" t="n"/>
      <c r="AP42" s="46" t="n"/>
      <c r="AQ42" s="46" t="n"/>
      <c r="AR42" s="46" t="n"/>
      <c r="AS42" s="46" t="n"/>
      <c r="AT42" s="46" t="n"/>
    </row>
    <row r="43">
      <c r="C43" s="39" t="n"/>
      <c r="D43" s="50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6" t="n"/>
      <c r="O43" s="50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6" t="n"/>
      <c r="Z43" s="50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6" t="n"/>
      <c r="AK43" s="50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39" t="n"/>
      <c r="D44" s="79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6" t="n"/>
      <c r="O44" s="79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6" t="n"/>
      <c r="Z44" s="79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6" t="n"/>
      <c r="AK44" s="79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39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/>
    </row>
    <row r="46">
      <c r="C46" s="39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/>
    </row>
    <row r="47">
      <c r="C47" s="39" t="n"/>
      <c r="D47" s="50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6" t="n"/>
      <c r="O47" s="50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6" t="n"/>
      <c r="Z47" s="50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6" t="n"/>
      <c r="AK47" s="50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39" t="n"/>
      <c r="D48" s="79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6" t="n"/>
      <c r="O48" s="79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39" t="n"/>
      <c r="Z48" s="79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6" t="n"/>
      <c r="AK48" s="79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39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39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</row>
    <row r="50">
      <c r="A50" s="7" t="n"/>
      <c r="B50" s="7" t="n"/>
      <c r="C50" s="39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39" t="n"/>
      <c r="Z50" s="46" t="n"/>
      <c r="AA50" s="46" t="n"/>
      <c r="AB50" s="46" t="n"/>
      <c r="AC50" s="46" t="n"/>
      <c r="AD50" s="46" t="n"/>
      <c r="AE50" s="50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6" t="n"/>
      <c r="AQ50" s="46" t="n"/>
      <c r="AR50" s="46" t="n"/>
      <c r="AS50" s="46" t="n"/>
      <c r="AT50" s="46" t="n"/>
    </row>
    <row r="51" ht="27" customHeight="1">
      <c r="A51" s="7" t="n"/>
      <c r="B51" s="7" t="n"/>
      <c r="C51" s="39" t="n"/>
      <c r="D51" s="60" t="n">
        <v>4</v>
      </c>
      <c r="E51" s="13" t="n"/>
      <c r="F51" s="14" t="n"/>
      <c r="G51" s="78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39" t="n"/>
      <c r="Z51" s="46" t="n"/>
      <c r="AA51" s="46" t="n"/>
      <c r="AB51" s="46" t="n"/>
      <c r="AC51" s="46" t="n"/>
      <c r="AD51" s="46" t="n"/>
      <c r="AE51" s="79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6" t="n"/>
      <c r="AQ51" s="46" t="n"/>
      <c r="AR51" s="46" t="n"/>
      <c r="AS51" s="46" t="n"/>
      <c r="AT51" s="46" t="n"/>
    </row>
    <row r="52">
      <c r="A52" s="7" t="n"/>
      <c r="B52" s="7" t="n"/>
      <c r="C52" s="39" t="n"/>
      <c r="D52" s="17" t="n"/>
      <c r="E52" s="18" t="n"/>
      <c r="F52" s="19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39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>
      <c r="A53" s="7" t="n"/>
      <c r="B53" s="7" t="n"/>
      <c r="C53" s="39" t="n"/>
      <c r="D53" s="50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6" t="n"/>
      <c r="O53" s="50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39" t="n"/>
      <c r="Z53" s="50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6" t="n"/>
      <c r="AK53" s="50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39" t="n"/>
      <c r="D54" s="79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39" t="n"/>
      <c r="O54" s="79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79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6" t="n"/>
      <c r="AK54" s="79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46" t="n"/>
      <c r="AA55" s="46" t="n"/>
      <c r="AB55" s="46" t="n"/>
      <c r="AC55" s="46" t="n"/>
      <c r="AD55" s="46" t="n"/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/>
    </row>
    <row r="56">
      <c r="A56" s="7" t="n"/>
      <c r="B56" s="7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</row>
    <row r="57" ht="27" customHeight="1">
      <c r="A57" s="7" t="n"/>
      <c r="B57" s="7" t="n"/>
      <c r="C57" s="39" t="n"/>
      <c r="D57" s="60" t="n">
        <v>5</v>
      </c>
      <c r="E57" s="13" t="n"/>
      <c r="F57" s="14" t="n"/>
      <c r="G57" s="78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6" t="n"/>
      <c r="AP57" s="46" t="n"/>
      <c r="AQ57" s="46" t="n"/>
      <c r="AR57" s="46" t="n"/>
      <c r="AS57" s="46" t="n"/>
      <c r="AT57" s="46" t="n"/>
    </row>
    <row r="58">
      <c r="A58" s="7" t="n"/>
      <c r="B58" s="7" t="n"/>
      <c r="C58" s="39" t="n"/>
      <c r="D58" s="17" t="n"/>
      <c r="E58" s="18" t="n"/>
      <c r="F58" s="19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80" t="inlineStr">
        <is>
          <t>Trein</t>
        </is>
      </c>
      <c r="U58" s="80" t="inlineStr">
        <is>
          <t>Espec</t>
        </is>
      </c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81" t="n"/>
      <c r="AG58" s="46" t="n"/>
      <c r="AH58" s="80" t="inlineStr">
        <is>
          <t>Extra</t>
        </is>
      </c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/>
      <c r="AT58" s="46" t="n"/>
    </row>
    <row r="59">
      <c r="A59" s="7" t="n"/>
      <c r="B59" s="7" t="n"/>
      <c r="C59" s="39" t="n"/>
      <c r="D59" s="80" t="inlineStr">
        <is>
          <t>Trein</t>
        </is>
      </c>
      <c r="E59" s="80" t="inlineStr">
        <is>
          <t>Espec</t>
        </is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80" t="inlineStr">
        <is>
          <t>Extra</t>
        </is>
      </c>
      <c r="S59" s="46" t="n"/>
      <c r="T59" s="82" t="b">
        <v>0</v>
      </c>
      <c r="U59" s="82" t="b">
        <v>0</v>
      </c>
      <c r="V59" s="83" t="inlineStr">
        <is>
          <t>Sobrevivência</t>
        </is>
      </c>
      <c r="W59" s="10" t="n"/>
      <c r="X59" s="10" t="n"/>
      <c r="Y59" s="10" t="n"/>
      <c r="Z59" s="10" t="n"/>
      <c r="AA59" s="10" t="n"/>
      <c r="AB59" s="10" t="n"/>
      <c r="AC59" s="11" t="n"/>
      <c r="AD59" s="84" t="inlineStr">
        <is>
          <t>Int</t>
        </is>
      </c>
      <c r="AE59" s="11" t="n"/>
      <c r="AF59" s="85">
        <f>$AB$17 + IF(U59, $D$48 + INT($D$48 / 2), IF(T59, $D$48, 0)) + AH59</f>
        <v/>
      </c>
      <c r="AG59" s="11" t="n"/>
      <c r="AH59" s="86" t="n"/>
      <c r="AI59" s="46" t="n"/>
      <c r="AJ59" s="46" t="n"/>
      <c r="AK59" s="50" t="inlineStr">
        <is>
          <t xml:space="preserve">ANOTAÇÕES RÁPIDAS </t>
        </is>
      </c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1" t="n"/>
    </row>
    <row r="60">
      <c r="A60" s="7" t="n"/>
      <c r="B60" s="7" t="n"/>
      <c r="C60" s="39" t="n"/>
      <c r="D60" s="82" t="b">
        <v>0</v>
      </c>
      <c r="E60" s="82" t="b">
        <v>0</v>
      </c>
      <c r="F60" s="83" t="inlineStr">
        <is>
          <t>Atletismo</t>
        </is>
      </c>
      <c r="G60" s="10" t="n"/>
      <c r="H60" s="10" t="n"/>
      <c r="I60" s="10" t="n"/>
      <c r="J60" s="10" t="n"/>
      <c r="K60" s="10" t="n"/>
      <c r="L60" s="10" t="n"/>
      <c r="M60" s="11" t="n"/>
      <c r="N60" s="84" t="inlineStr">
        <is>
          <t>For</t>
        </is>
      </c>
      <c r="O60" s="11" t="n"/>
      <c r="P60" s="85">
        <f>$D$17 + IF(E60, $D$48 + INT($D$48 / 2), IF(D60, $D$48, 0)) + R60</f>
        <v/>
      </c>
      <c r="Q60" s="11" t="n"/>
      <c r="R60" s="86" t="n"/>
      <c r="S60" s="46" t="n"/>
      <c r="T60" s="82" t="b">
        <v>0</v>
      </c>
      <c r="U60" s="82" t="b">
        <v>0</v>
      </c>
      <c r="V60" s="83" t="inlineStr">
        <is>
          <t>Natureza</t>
        </is>
      </c>
      <c r="W60" s="10" t="n"/>
      <c r="X60" s="10" t="n"/>
      <c r="Y60" s="10" t="n"/>
      <c r="Z60" s="10" t="n"/>
      <c r="AA60" s="10" t="n"/>
      <c r="AB60" s="10" t="n"/>
      <c r="AC60" s="11" t="n"/>
      <c r="AD60" s="84" t="inlineStr">
        <is>
          <t>Int</t>
        </is>
      </c>
      <c r="AE60" s="11" t="n"/>
      <c r="AF60" s="85">
        <f>$AB$17 + IF(U60, $D$48 + INT($D$48 / 2), IF(T60, $D$48, 0)) + AH60</f>
        <v/>
      </c>
      <c r="AG60" s="11" t="n"/>
      <c r="AH60" s="86" t="n"/>
      <c r="AI60" s="46" t="n"/>
      <c r="AJ60" s="46" t="n"/>
      <c r="AK60" s="79" t="n"/>
      <c r="AL60" s="13" t="n"/>
      <c r="AM60" s="13" t="n"/>
      <c r="AN60" s="13" t="n"/>
      <c r="AO60" s="13" t="n"/>
      <c r="AP60" s="13" t="n"/>
      <c r="AQ60" s="13" t="n"/>
      <c r="AR60" s="13" t="n"/>
      <c r="AS60" s="13" t="n"/>
      <c r="AT60" s="14" t="n"/>
    </row>
    <row r="61">
      <c r="A61" s="7" t="n"/>
      <c r="B61" s="7" t="n"/>
      <c r="C61" s="39" t="n"/>
      <c r="D61" s="82" t="b">
        <v>0</v>
      </c>
      <c r="E61" s="82" t="b">
        <v>0</v>
      </c>
      <c r="F61" s="83" t="inlineStr">
        <is>
          <t>Acrobacia</t>
        </is>
      </c>
      <c r="G61" s="10" t="n"/>
      <c r="H61" s="10" t="n"/>
      <c r="I61" s="10" t="n"/>
      <c r="J61" s="10" t="n"/>
      <c r="K61" s="10" t="n"/>
      <c r="L61" s="10" t="n"/>
      <c r="M61" s="11" t="n"/>
      <c r="N61" s="84" t="inlineStr">
        <is>
          <t>Des</t>
        </is>
      </c>
      <c r="O61" s="11" t="n"/>
      <c r="P61" s="85">
        <f>$L$17 + IF(E61, $D$48 + INT($D$48 / 2), IF(D61, $D$48, 0)) + R61</f>
        <v/>
      </c>
      <c r="Q61" s="11" t="n"/>
      <c r="R61" s="86" t="n"/>
      <c r="S61" s="46" t="n"/>
      <c r="T61" s="82" t="b">
        <v>0</v>
      </c>
      <c r="U61" s="82" t="b">
        <v>0</v>
      </c>
      <c r="V61" s="83" t="inlineStr">
        <is>
          <t>Lidar com Animais</t>
        </is>
      </c>
      <c r="W61" s="10" t="n"/>
      <c r="X61" s="10" t="n"/>
      <c r="Y61" s="10" t="n"/>
      <c r="Z61" s="10" t="n"/>
      <c r="AA61" s="10" t="n"/>
      <c r="AB61" s="10" t="n"/>
      <c r="AC61" s="11" t="n"/>
      <c r="AD61" s="84" t="inlineStr">
        <is>
          <t>Int</t>
        </is>
      </c>
      <c r="AE61" s="11" t="n"/>
      <c r="AF61" s="85">
        <f>$AB$17 + IF(U61, $D$48 + INT($D$48 / 2), IF(T61, $D$48, 0)) + AH61</f>
        <v/>
      </c>
      <c r="AG61" s="11" t="n"/>
      <c r="AH61" s="86" t="n"/>
      <c r="AI61" s="46" t="n"/>
      <c r="AJ61" s="46" t="n"/>
      <c r="AK61" s="17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9" t="n"/>
    </row>
    <row r="62">
      <c r="A62" s="7" t="n"/>
      <c r="B62" s="7" t="n"/>
      <c r="C62" s="39" t="n"/>
      <c r="D62" s="82" t="b">
        <v>0</v>
      </c>
      <c r="E62" s="82" t="b">
        <v>0</v>
      </c>
      <c r="F62" s="83" t="inlineStr">
        <is>
          <t>Furtividade</t>
        </is>
      </c>
      <c r="G62" s="10" t="n"/>
      <c r="H62" s="10" t="n"/>
      <c r="I62" s="10" t="n"/>
      <c r="J62" s="10" t="n"/>
      <c r="K62" s="10" t="n"/>
      <c r="L62" s="10" t="n"/>
      <c r="M62" s="11" t="n"/>
      <c r="N62" s="84" t="inlineStr">
        <is>
          <t>Des</t>
        </is>
      </c>
      <c r="O62" s="11" t="n"/>
      <c r="P62" s="85">
        <f>$L$17 + IF(E62, $D$48 + INT($D$48 / 2), IF(D62, $D$48, 0)) + R62</f>
        <v/>
      </c>
      <c r="Q62" s="11" t="n"/>
      <c r="R62" s="86" t="n"/>
      <c r="S62" s="46" t="n"/>
      <c r="T62" s="82" t="b">
        <v>0</v>
      </c>
      <c r="U62" s="82" t="b">
        <v>0</v>
      </c>
      <c r="V62" s="83" t="inlineStr">
        <is>
          <t>Tecnologia</t>
        </is>
      </c>
      <c r="W62" s="10" t="n"/>
      <c r="X62" s="10" t="n"/>
      <c r="Y62" s="10" t="n"/>
      <c r="Z62" s="10" t="n"/>
      <c r="AA62" s="10" t="n"/>
      <c r="AB62" s="10" t="n"/>
      <c r="AC62" s="11" t="n"/>
      <c r="AD62" s="84" t="inlineStr">
        <is>
          <t>Int</t>
        </is>
      </c>
      <c r="AE62" s="11" t="n"/>
      <c r="AF62" s="85">
        <f>$AB$17 + IF(U62, $D$48 + INT($D$48 / 2), IF(T62, $D$48, 0)) + AH62</f>
        <v/>
      </c>
      <c r="AG62" s="11" t="n"/>
      <c r="AH62" s="86" t="n"/>
      <c r="AI62" s="46" t="n"/>
      <c r="AJ62" s="46" t="n"/>
      <c r="AK62" s="79" t="n"/>
      <c r="AL62" s="13" t="n"/>
      <c r="AM62" s="13" t="n"/>
      <c r="AN62" s="13" t="n"/>
      <c r="AO62" s="13" t="n"/>
      <c r="AP62" s="13" t="n"/>
      <c r="AQ62" s="13" t="n"/>
      <c r="AR62" s="13" t="n"/>
      <c r="AS62" s="13" t="n"/>
      <c r="AT62" s="14" t="n"/>
    </row>
    <row r="63">
      <c r="A63" s="7" t="n"/>
      <c r="B63" s="7" t="n"/>
      <c r="C63" s="39" t="n"/>
      <c r="D63" s="82" t="b">
        <v>0</v>
      </c>
      <c r="E63" s="82" t="b">
        <v>0</v>
      </c>
      <c r="F63" s="83" t="inlineStr">
        <is>
          <t>Pontaria</t>
        </is>
      </c>
      <c r="G63" s="10" t="n"/>
      <c r="H63" s="10" t="n"/>
      <c r="I63" s="10" t="n"/>
      <c r="J63" s="10" t="n"/>
      <c r="K63" s="10" t="n"/>
      <c r="L63" s="10" t="n"/>
      <c r="M63" s="11" t="n"/>
      <c r="N63" s="84" t="inlineStr">
        <is>
          <t>Des</t>
        </is>
      </c>
      <c r="O63" s="11" t="n"/>
      <c r="P63" s="85">
        <f>$L$17 + IF(E63, $D$48 + INT($D$48 / 2), IF(D63, $D$48, 0)) + R63</f>
        <v/>
      </c>
      <c r="Q63" s="11" t="n"/>
      <c r="R63" s="86" t="n"/>
      <c r="S63" s="46" t="n"/>
      <c r="T63" s="82" t="b">
        <v>0</v>
      </c>
      <c r="U63" s="82" t="b">
        <v>0</v>
      </c>
      <c r="V63" s="83" t="inlineStr">
        <is>
          <t>Medicina</t>
        </is>
      </c>
      <c r="W63" s="10" t="n"/>
      <c r="X63" s="10" t="n"/>
      <c r="Y63" s="10" t="n"/>
      <c r="Z63" s="10" t="n"/>
      <c r="AA63" s="10" t="n"/>
      <c r="AB63" s="10" t="n"/>
      <c r="AC63" s="11" t="n"/>
      <c r="AD63" s="84" t="inlineStr">
        <is>
          <t>Int</t>
        </is>
      </c>
      <c r="AE63" s="11" t="n"/>
      <c r="AF63" s="85">
        <f>$AB$17 + IF(U63, $D$48 + INT($D$48 / 2), IF(T63, $D$48, 0)) + AH63</f>
        <v/>
      </c>
      <c r="AG63" s="11" t="n"/>
      <c r="AH63" s="86" t="n"/>
      <c r="AI63" s="46" t="n"/>
      <c r="AJ63" s="46" t="n"/>
      <c r="AK63" s="17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9" t="n"/>
    </row>
    <row r="64">
      <c r="A64" s="7" t="n"/>
      <c r="B64" s="7" t="n"/>
      <c r="C64" s="39" t="n"/>
      <c r="D64" s="82" t="b">
        <v>0</v>
      </c>
      <c r="E64" s="82" t="b">
        <v>0</v>
      </c>
      <c r="F64" s="83" t="inlineStr">
        <is>
          <t>Prestidigitação</t>
        </is>
      </c>
      <c r="G64" s="10" t="n"/>
      <c r="H64" s="10" t="n"/>
      <c r="I64" s="10" t="n"/>
      <c r="J64" s="10" t="n"/>
      <c r="K64" s="10" t="n"/>
      <c r="L64" s="10" t="n"/>
      <c r="M64" s="11" t="n"/>
      <c r="N64" s="84" t="inlineStr">
        <is>
          <t>Des</t>
        </is>
      </c>
      <c r="O64" s="11" t="n"/>
      <c r="P64" s="85">
        <f>$L$17 + IF(E64, $D$48 + INT($D$48 / 2), IF(D64, $D$48, 0)) + R64</f>
        <v/>
      </c>
      <c r="Q64" s="11" t="n"/>
      <c r="R64" s="86" t="n"/>
      <c r="S64" s="46" t="n"/>
      <c r="T64" s="82" t="b">
        <v>0</v>
      </c>
      <c r="U64" s="82" t="b">
        <v>0</v>
      </c>
      <c r="V64" s="83" t="inlineStr">
        <is>
          <t>Sentir Energia</t>
        </is>
      </c>
      <c r="W64" s="10" t="n"/>
      <c r="X64" s="10" t="n"/>
      <c r="Y64" s="10" t="n"/>
      <c r="Z64" s="10" t="n"/>
      <c r="AA64" s="10" t="n"/>
      <c r="AB64" s="10" t="n"/>
      <c r="AC64" s="11" t="n"/>
      <c r="AD64" s="84" t="inlineStr">
        <is>
          <t>Ess</t>
        </is>
      </c>
      <c r="AE64" s="11" t="n"/>
      <c r="AF64" s="85">
        <f>$AJ$17 + IF(U64, $D$48 + INT($D$48 / 2), IF(T64, $D$48, 0)) + AH64</f>
        <v/>
      </c>
      <c r="AG64" s="11" t="n"/>
      <c r="AH64" s="86" t="n"/>
      <c r="AI64" s="46" t="n"/>
      <c r="AJ64" s="46" t="n"/>
      <c r="AK64" s="79" t="n"/>
      <c r="AL64" s="13" t="n"/>
      <c r="AM64" s="13" t="n"/>
      <c r="AN64" s="13" t="n"/>
      <c r="AO64" s="13" t="n"/>
      <c r="AP64" s="13" t="n"/>
      <c r="AQ64" s="13" t="n"/>
      <c r="AR64" s="13" t="n"/>
      <c r="AS64" s="13" t="n"/>
      <c r="AT64" s="14" t="n"/>
    </row>
    <row r="65">
      <c r="A65" s="7" t="n"/>
      <c r="B65" s="7" t="n"/>
      <c r="C65" s="39" t="n"/>
      <c r="D65" s="82" t="b">
        <v>0</v>
      </c>
      <c r="E65" s="82" t="b">
        <v>0</v>
      </c>
      <c r="F65" s="83" t="inlineStr">
        <is>
          <t>Investigação</t>
        </is>
      </c>
      <c r="G65" s="10" t="n"/>
      <c r="H65" s="10" t="n"/>
      <c r="I65" s="10" t="n"/>
      <c r="J65" s="10" t="n"/>
      <c r="K65" s="10" t="n"/>
      <c r="L65" s="10" t="n"/>
      <c r="M65" s="11" t="n"/>
      <c r="N65" s="84" t="inlineStr">
        <is>
          <t>Int</t>
        </is>
      </c>
      <c r="O65" s="11" t="n"/>
      <c r="P65" s="85">
        <f>$AB$17 + IF(E65, $D$48 + INT($D$48 / 2), IF(D65, $D$48, 0)) + R65</f>
        <v/>
      </c>
      <c r="Q65" s="11" t="n"/>
      <c r="R65" s="86" t="n"/>
      <c r="S65" s="46" t="n"/>
      <c r="T65" s="82" t="b">
        <v>0</v>
      </c>
      <c r="U65" s="82" t="b">
        <v>0</v>
      </c>
      <c r="V65" s="83" t="inlineStr">
        <is>
          <t>Percepção</t>
        </is>
      </c>
      <c r="W65" s="10" t="n"/>
      <c r="X65" s="10" t="n"/>
      <c r="Y65" s="10" t="n"/>
      <c r="Z65" s="10" t="n"/>
      <c r="AA65" s="10" t="n"/>
      <c r="AB65" s="10" t="n"/>
      <c r="AC65" s="11" t="n"/>
      <c r="AD65" s="84" t="inlineStr">
        <is>
          <t>Ess</t>
        </is>
      </c>
      <c r="AE65" s="11" t="n"/>
      <c r="AF65" s="85">
        <f>$AJ$17 + IF(U65, $D$48 + INT($D$48 / 2), IF(T65, $D$48, 0)) + AH65</f>
        <v/>
      </c>
      <c r="AG65" s="11" t="n"/>
      <c r="AH65" s="86" t="n"/>
      <c r="AI65" s="46" t="n"/>
      <c r="AJ65" s="46" t="n"/>
      <c r="AK65" s="17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9" t="n"/>
    </row>
    <row r="66">
      <c r="A66" s="7" t="n"/>
      <c r="B66" s="7" t="n"/>
      <c r="C66" s="39" t="n"/>
      <c r="D66" s="82" t="b">
        <v>0</v>
      </c>
      <c r="E66" s="82" t="b">
        <v>0</v>
      </c>
      <c r="F66" s="83" t="inlineStr">
        <is>
          <t>Intuição</t>
        </is>
      </c>
      <c r="G66" s="10" t="n"/>
      <c r="H66" s="10" t="n"/>
      <c r="I66" s="10" t="n"/>
      <c r="J66" s="10" t="n"/>
      <c r="K66" s="10" t="n"/>
      <c r="L66" s="10" t="n"/>
      <c r="M66" s="11" t="n"/>
      <c r="N66" s="84" t="inlineStr">
        <is>
          <t>Int</t>
        </is>
      </c>
      <c r="O66" s="11" t="n"/>
      <c r="P66" s="85">
        <f>$AB$17 + IF(E66, $D$48 + INT($D$48 / 2), IF(D66, $D$48, 0)) + R66</f>
        <v/>
      </c>
      <c r="Q66" s="11" t="n"/>
      <c r="R66" s="86" t="n"/>
      <c r="S66" s="46" t="n"/>
      <c r="T66" s="82" t="b">
        <v>0</v>
      </c>
      <c r="U66" s="82" t="b">
        <v>0</v>
      </c>
      <c r="V66" s="83" t="inlineStr">
        <is>
          <t>Persuasão</t>
        </is>
      </c>
      <c r="W66" s="10" t="n"/>
      <c r="X66" s="10" t="n"/>
      <c r="Y66" s="10" t="n"/>
      <c r="Z66" s="10" t="n"/>
      <c r="AA66" s="10" t="n"/>
      <c r="AB66" s="10" t="n"/>
      <c r="AC66" s="11" t="n"/>
      <c r="AD66" s="84" t="inlineStr">
        <is>
          <t>Ess</t>
        </is>
      </c>
      <c r="AE66" s="11" t="n"/>
      <c r="AF66" s="85">
        <f>$AJ$17 + IF(U66, $D$48 + INT($D$48 / 2), IF(T66, $D$48, 0)) + AH66</f>
        <v/>
      </c>
      <c r="AG66" s="11" t="n"/>
      <c r="AH66" s="86" t="n"/>
      <c r="AI66" s="46" t="n"/>
      <c r="AJ66" s="46" t="n"/>
      <c r="AK66" s="79" t="n"/>
      <c r="AL66" s="13" t="n"/>
      <c r="AM66" s="13" t="n"/>
      <c r="AN66" s="13" t="n"/>
      <c r="AO66" s="13" t="n"/>
      <c r="AP66" s="13" t="n"/>
      <c r="AQ66" s="13" t="n"/>
      <c r="AR66" s="13" t="n"/>
      <c r="AS66" s="13" t="n"/>
      <c r="AT66" s="14" t="n"/>
    </row>
    <row r="67">
      <c r="A67" s="7" t="n"/>
      <c r="B67" s="7" t="n"/>
      <c r="C67" s="39" t="n"/>
      <c r="D67" s="82" t="b">
        <v>0</v>
      </c>
      <c r="E67" s="82" t="b">
        <v>0</v>
      </c>
      <c r="F67" s="83" t="inlineStr">
        <is>
          <t>Ocultismo</t>
        </is>
      </c>
      <c r="G67" s="10" t="n"/>
      <c r="H67" s="10" t="n"/>
      <c r="I67" s="10" t="n"/>
      <c r="J67" s="10" t="n"/>
      <c r="K67" s="10" t="n"/>
      <c r="L67" s="10" t="n"/>
      <c r="M67" s="11" t="n"/>
      <c r="N67" s="84" t="inlineStr">
        <is>
          <t>Int</t>
        </is>
      </c>
      <c r="O67" s="11" t="n"/>
      <c r="P67" s="85">
        <f>$AB$17 + IF(E67, $D$48 + INT($D$48 / 2), IF(D67, $D$48, 0)) + R67</f>
        <v/>
      </c>
      <c r="Q67" s="11" t="n"/>
      <c r="R67" s="86" t="n"/>
      <c r="S67" s="46" t="n"/>
      <c r="T67" s="82" t="b">
        <v>0</v>
      </c>
      <c r="U67" s="82" t="b">
        <v>0</v>
      </c>
      <c r="V67" s="83" t="inlineStr">
        <is>
          <t>Enganação</t>
        </is>
      </c>
      <c r="W67" s="10" t="n"/>
      <c r="X67" s="10" t="n"/>
      <c r="Y67" s="10" t="n"/>
      <c r="Z67" s="10" t="n"/>
      <c r="AA67" s="10" t="n"/>
      <c r="AB67" s="10" t="n"/>
      <c r="AC67" s="11" t="n"/>
      <c r="AD67" s="84" t="inlineStr">
        <is>
          <t>Ess</t>
        </is>
      </c>
      <c r="AE67" s="11" t="n"/>
      <c r="AF67" s="85">
        <f>$AJ$17 + IF(U67, $D$48 + INT($D$48 / 2), IF(T67, $D$48, 0)) + AH67</f>
        <v/>
      </c>
      <c r="AG67" s="11" t="n"/>
      <c r="AH67" s="86" t="n"/>
      <c r="AI67" s="46" t="n"/>
      <c r="AJ67" s="46" t="n"/>
      <c r="AK67" s="17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9" t="n"/>
    </row>
    <row r="68">
      <c r="A68" s="7" t="n"/>
      <c r="B68" s="7" t="n"/>
      <c r="C68" s="39" t="n"/>
      <c r="D68" s="82" t="b">
        <v>0</v>
      </c>
      <c r="E68" s="82" t="b">
        <v>0</v>
      </c>
      <c r="F68" s="83" t="inlineStr">
        <is>
          <t>Religião</t>
        </is>
      </c>
      <c r="G68" s="10" t="n"/>
      <c r="H68" s="10" t="n"/>
      <c r="I68" s="10" t="n"/>
      <c r="J68" s="10" t="n"/>
      <c r="K68" s="10" t="n"/>
      <c r="L68" s="10" t="n"/>
      <c r="M68" s="11" t="n"/>
      <c r="N68" s="84" t="inlineStr">
        <is>
          <t>Int</t>
        </is>
      </c>
      <c r="O68" s="11" t="n"/>
      <c r="P68" s="85">
        <f>$AB$17 + IF(E68, $D$48 + INT($D$48 / 2), IF(D68, $D$48, 0)) + R68</f>
        <v/>
      </c>
      <c r="Q68" s="11" t="n"/>
      <c r="R68" s="86" t="n"/>
      <c r="S68" s="46" t="n"/>
      <c r="T68" s="82" t="b">
        <v>0</v>
      </c>
      <c r="U68" s="82" t="b">
        <v>0</v>
      </c>
      <c r="V68" s="83" t="inlineStr">
        <is>
          <t>Intimidação</t>
        </is>
      </c>
      <c r="W68" s="10" t="n"/>
      <c r="X68" s="10" t="n"/>
      <c r="Y68" s="10" t="n"/>
      <c r="Z68" s="10" t="n"/>
      <c r="AA68" s="10" t="n"/>
      <c r="AB68" s="10" t="n"/>
      <c r="AC68" s="11" t="n"/>
      <c r="AD68" s="84" t="inlineStr">
        <is>
          <t>Ess</t>
        </is>
      </c>
      <c r="AE68" s="11" t="n"/>
      <c r="AF68" s="85">
        <f>$AJ$17 + IF(U68, $D$48 + INT($D$48 / 2), IF(T68, $D$48, 0)) + AH68</f>
        <v/>
      </c>
      <c r="AG68" s="11" t="n"/>
      <c r="AH68" s="8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/>
      <c r="AT68" s="46" t="n"/>
    </row>
    <row r="69">
      <c r="A69" s="7" t="n"/>
      <c r="B69" s="7" t="n"/>
      <c r="C69" s="39" t="n"/>
      <c r="D69" s="82" t="b">
        <v>0</v>
      </c>
      <c r="E69" s="82" t="b">
        <v>0</v>
      </c>
      <c r="F69" s="83" t="inlineStr">
        <is>
          <t>História</t>
        </is>
      </c>
      <c r="G69" s="10" t="n"/>
      <c r="H69" s="10" t="n"/>
      <c r="I69" s="10" t="n"/>
      <c r="J69" s="10" t="n"/>
      <c r="K69" s="10" t="n"/>
      <c r="L69" s="10" t="n"/>
      <c r="M69" s="11" t="n"/>
      <c r="N69" s="84" t="inlineStr">
        <is>
          <t>Int</t>
        </is>
      </c>
      <c r="O69" s="11" t="n"/>
      <c r="P69" s="85">
        <f>$AB$17 + IF(E69, $D$48 + INT($D$48 / 2), IF(D69, $D$48, 0)) + R69</f>
        <v/>
      </c>
      <c r="Q69" s="11" t="n"/>
      <c r="R69" s="86" t="n"/>
      <c r="S69" s="46" t="n"/>
      <c r="T69" s="82" t="b">
        <v>0</v>
      </c>
      <c r="U69" s="82" t="b">
        <v>0</v>
      </c>
      <c r="V69" s="83" t="inlineStr">
        <is>
          <t>Atuação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84" t="inlineStr">
        <is>
          <t>Ess</t>
        </is>
      </c>
      <c r="AE69" s="11" t="n"/>
      <c r="AF69" s="85">
        <f>$AJ$17 + IF(U69, $D$48 + INT($D$48 / 2), IF(T69, $D$48, 0)) + AH69</f>
        <v/>
      </c>
      <c r="AG69" s="11" t="n"/>
      <c r="AH69" s="8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</row>
    <row r="70">
      <c r="A70" s="7" t="n"/>
      <c r="B70" s="7" t="n"/>
      <c r="C70" s="39" t="n"/>
      <c r="D70" s="82" t="b">
        <v>0</v>
      </c>
      <c r="E70" s="82" t="b">
        <v>0</v>
      </c>
      <c r="F70" s="83" t="inlineStr">
        <is>
          <t>Hierarquia</t>
        </is>
      </c>
      <c r="G70" s="10" t="n"/>
      <c r="H70" s="10" t="n"/>
      <c r="I70" s="10" t="n"/>
      <c r="J70" s="10" t="n"/>
      <c r="K70" s="10" t="n"/>
      <c r="L70" s="10" t="n"/>
      <c r="M70" s="11" t="n"/>
      <c r="N70" s="84" t="inlineStr">
        <is>
          <t>Int</t>
        </is>
      </c>
      <c r="O70" s="11" t="n"/>
      <c r="P70" s="85">
        <f>$AB$17 + IF(E70, $D$48 + INT($D$48 / 2), IF(D70, $D$48, 0)) + R70</f>
        <v/>
      </c>
      <c r="Q70" s="11" t="n"/>
      <c r="R70" s="86" t="n"/>
      <c r="S70" s="81" t="n"/>
      <c r="T70" s="82" t="b">
        <v>0</v>
      </c>
      <c r="U70" s="82" t="b">
        <v>0</v>
      </c>
      <c r="V70" s="83" t="inlineStr">
        <is>
          <t>Provocar</t>
        </is>
      </c>
      <c r="W70" s="10" t="n"/>
      <c r="X70" s="10" t="n"/>
      <c r="Y70" s="10" t="n"/>
      <c r="Z70" s="10" t="n"/>
      <c r="AA70" s="10" t="n"/>
      <c r="AB70" s="10" t="n"/>
      <c r="AC70" s="11" t="n"/>
      <c r="AD70" s="84" t="inlineStr">
        <is>
          <t>Ess</t>
        </is>
      </c>
      <c r="AE70" s="11" t="n"/>
      <c r="AF70" s="85">
        <f>$AJ$17 + IF(U70, $D$48 + INT($D$48 / 2), IF(T70, $D$48, 0)) + AH70</f>
        <v/>
      </c>
      <c r="AG70" s="11" t="n"/>
      <c r="AH70" s="8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</row>
    <row r="71">
      <c r="A71" s="7" t="n"/>
      <c r="B71" s="7" t="n"/>
      <c r="C71" s="39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</row>
    <row r="72" ht="27" customHeight="1">
      <c r="A72" s="7" t="n"/>
      <c r="B72" s="7" t="n"/>
      <c r="C72" s="39" t="n"/>
      <c r="D72" s="60" t="n">
        <v>6</v>
      </c>
      <c r="E72" s="13" t="n"/>
      <c r="F72" s="14" t="n"/>
      <c r="G72" s="78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</row>
    <row r="73">
      <c r="A73" s="7" t="n"/>
      <c r="B73" s="7" t="n"/>
      <c r="C73" s="39" t="n"/>
      <c r="D73" s="17" t="n"/>
      <c r="E73" s="18" t="n"/>
      <c r="F73" s="19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</row>
    <row r="74">
      <c r="A74" s="7" t="n"/>
      <c r="B74" s="7" t="n"/>
      <c r="C74" s="39" t="n"/>
      <c r="D74" s="80" t="inlineStr">
        <is>
          <t>Trein</t>
        </is>
      </c>
      <c r="E74" s="80" t="inlineStr">
        <is>
          <t>Espec</t>
        </is>
      </c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80" t="inlineStr">
        <is>
          <t>Extra</t>
        </is>
      </c>
      <c r="P74" s="46" t="n"/>
      <c r="Q74" s="80" t="inlineStr">
        <is>
          <t>Trein</t>
        </is>
      </c>
      <c r="R74" s="80" t="inlineStr">
        <is>
          <t>Espec</t>
        </is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80" t="inlineStr">
        <is>
          <t>Extra</t>
        </is>
      </c>
      <c r="AC74" s="46" t="n"/>
      <c r="AD74" s="46" t="n"/>
      <c r="AE74" s="81" t="n"/>
      <c r="AF74" s="80" t="inlineStr">
        <is>
          <t>Trein</t>
        </is>
      </c>
      <c r="AG74" s="46" t="n"/>
      <c r="AH74" s="46" t="n"/>
      <c r="AI74" s="46" t="n"/>
      <c r="AJ74" s="80" t="inlineStr">
        <is>
          <t>Extra</t>
        </is>
      </c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</row>
    <row r="75">
      <c r="A75" s="7" t="n"/>
      <c r="B75" s="7" t="n"/>
      <c r="C75" s="39" t="n"/>
      <c r="D75" s="72" t="b">
        <v>0</v>
      </c>
      <c r="E75" s="72" t="b">
        <v>0</v>
      </c>
      <c r="F75" s="87" t="inlineStr">
        <is>
          <t>Condução</t>
        </is>
      </c>
      <c r="G75" s="10" t="n"/>
      <c r="H75" s="10" t="n"/>
      <c r="I75" s="10" t="n"/>
      <c r="J75" s="11" t="n"/>
      <c r="K75" s="88" t="inlineStr">
        <is>
          <t>INTELIGÊNCIA</t>
        </is>
      </c>
      <c r="L75" s="10" t="n"/>
      <c r="M75" s="11" t="n"/>
      <c r="N75" s="89">
        <f>+IFS(K75="FORÇA",$D$17, K75="DESTREZA",$L$17, K75="CONSTITUIÇÃO",$T$17, K75="INTELIGÊNCIA",$AB$17, K75="ESSÊNCIA",$AJ$17) + IF(E75, $D$48 + INT($D$48 / 2), IF(D75, $D$48, 0)) + O75</f>
        <v/>
      </c>
      <c r="O75" s="90" t="n"/>
      <c r="P75" s="46" t="n"/>
      <c r="Q75" s="72" t="b">
        <v>0</v>
      </c>
      <c r="R75" s="72" t="b">
        <v>0</v>
      </c>
      <c r="S75" s="87" t="inlineStr">
        <is>
          <t>Entalhador</t>
        </is>
      </c>
      <c r="T75" s="10" t="n"/>
      <c r="U75" s="10" t="n"/>
      <c r="V75" s="10" t="n"/>
      <c r="W75" s="11" t="n"/>
      <c r="X75" s="88" t="inlineStr">
        <is>
          <t>INTELIGÊNCIA</t>
        </is>
      </c>
      <c r="Y75" s="10" t="n"/>
      <c r="Z75" s="11" t="n"/>
      <c r="AA75" s="91">
        <f>+IFS(X75="FORÇA",$D$17, X75="DESTREZA",$L$17, X75="CONSTITUIÇÃO",$T$17, X75="INTELIGÊNCIA",$AB$17, X75="ESSÊNCIA",$AJ$17) + IF(R75, $D$48 + INT($D$48 / 2), IF(Q75, $D$48, 0)) + AB75</f>
        <v/>
      </c>
      <c r="AB75" s="86" t="n"/>
      <c r="AC75" s="46" t="n"/>
      <c r="AD75" s="46" t="n"/>
      <c r="AE75" s="92" t="n"/>
      <c r="AF75" s="72" t="b">
        <v>0</v>
      </c>
      <c r="AG75" s="93" t="inlineStr">
        <is>
          <t>Físico</t>
        </is>
      </c>
      <c r="AH75" s="10" t="n"/>
      <c r="AI75" s="10" t="n"/>
      <c r="AJ75" s="90" t="n"/>
      <c r="AK75" s="94" t="inlineStr">
        <is>
          <t>FORÇA</t>
        </is>
      </c>
      <c r="AL75" s="10" t="n"/>
      <c r="AM75" s="10" t="n"/>
      <c r="AN75" s="10" t="n"/>
      <c r="AO75" s="11" t="n"/>
      <c r="AP75" s="95">
        <f>+IFS(AK75="FORÇA",$D$17, AK75="DESTREZA",$L$17)+IF($AF$75=TRUE,$D$48,0)+AJ75</f>
        <v/>
      </c>
      <c r="AQ75" s="10" t="n"/>
      <c r="AR75" s="10" t="n"/>
      <c r="AS75" s="10" t="n"/>
      <c r="AT75" s="11" t="n"/>
    </row>
    <row r="76">
      <c r="A76" s="7" t="n"/>
      <c r="B76" s="7" t="n"/>
      <c r="C76" s="39" t="n"/>
      <c r="D76" s="72" t="b">
        <v>0</v>
      </c>
      <c r="E76" s="72" t="b">
        <v>0</v>
      </c>
      <c r="F76" s="87" t="inlineStr">
        <is>
          <t>Arrombamento</t>
        </is>
      </c>
      <c r="G76" s="10" t="n"/>
      <c r="H76" s="10" t="n"/>
      <c r="I76" s="10" t="n"/>
      <c r="J76" s="11" t="n"/>
      <c r="K76" s="88" t="inlineStr">
        <is>
          <t>INTELIGÊNCIA</t>
        </is>
      </c>
      <c r="L76" s="10" t="n"/>
      <c r="M76" s="11" t="n"/>
      <c r="N76" s="91">
        <f>+IFS(K76="FORÇA",$D$17, K76="DESTREZA",$L$17, K76="CONSTITUIÇÃO",$T$17, K76="INTELIGÊNCIA",$AB$17, K76="ESSÊNCIA",$AJ$17) + IF(E76, $D$48 + INT($D$48 / 2), IF(D76, $D$48, 0)) + O76</f>
        <v/>
      </c>
      <c r="O76" s="86" t="n"/>
      <c r="P76" s="46" t="n"/>
      <c r="Q76" s="72" t="b">
        <v>0</v>
      </c>
      <c r="R76" s="72" t="b">
        <v>0</v>
      </c>
      <c r="S76" s="87" t="inlineStr">
        <is>
          <t xml:space="preserve">Alfaiate </t>
        </is>
      </c>
      <c r="T76" s="10" t="n"/>
      <c r="U76" s="10" t="n"/>
      <c r="V76" s="10" t="n"/>
      <c r="W76" s="11" t="n"/>
      <c r="X76" s="88" t="inlineStr">
        <is>
          <t>INTELIGÊNCIA</t>
        </is>
      </c>
      <c r="Y76" s="10" t="n"/>
      <c r="Z76" s="11" t="n"/>
      <c r="AA76" s="91">
        <f>+IFS(X76="FORÇA",$D$17, X76="DESTREZA",$L$17, X76="CONSTITUIÇÃO",$T$17, X76="INTELIGÊNCIA",$AB$17, X76="ESSÊNCIA",$AJ$17) + IF(R76, $D$48 + INT($D$48 / 2), IF(Q76, $D$48, 0)) + AB76</f>
        <v/>
      </c>
      <c r="AB76" s="86" t="n"/>
      <c r="AC76" s="46" t="n"/>
      <c r="AD76" s="46" t="n"/>
      <c r="AE76" s="92" t="n"/>
      <c r="AF76" s="72" t="b">
        <v>0</v>
      </c>
      <c r="AG76" s="93" t="inlineStr">
        <is>
          <t>Vigor</t>
        </is>
      </c>
      <c r="AH76" s="10" t="n"/>
      <c r="AI76" s="10" t="n"/>
      <c r="AJ76" s="90" t="n"/>
      <c r="AK76" s="88" t="inlineStr">
        <is>
          <t xml:space="preserve">CONSTITUIÇÃO </t>
        </is>
      </c>
      <c r="AL76" s="10" t="n"/>
      <c r="AM76" s="10" t="n"/>
      <c r="AN76" s="10" t="n"/>
      <c r="AO76" s="11" t="n"/>
      <c r="AP76" s="95">
        <f>$T$17+IF($AF$76=TRUE,$D$48,0)+AJ76</f>
        <v/>
      </c>
      <c r="AQ76" s="10" t="n"/>
      <c r="AR76" s="10" t="n"/>
      <c r="AS76" s="10" t="n"/>
      <c r="AT76" s="11" t="n"/>
    </row>
    <row r="77">
      <c r="A77" s="7" t="n"/>
      <c r="B77" s="7" t="n"/>
      <c r="C77" s="39" t="n"/>
      <c r="D77" s="72" t="b">
        <v>0</v>
      </c>
      <c r="E77" s="72" t="b">
        <v>0</v>
      </c>
      <c r="F77" s="87" t="inlineStr">
        <is>
          <t>Herbalismo</t>
        </is>
      </c>
      <c r="G77" s="10" t="n"/>
      <c r="H77" s="10" t="n"/>
      <c r="I77" s="10" t="n"/>
      <c r="J77" s="11" t="n"/>
      <c r="K77" s="88" t="inlineStr">
        <is>
          <t>INTELIGÊNCIA</t>
        </is>
      </c>
      <c r="L77" s="10" t="n"/>
      <c r="M77" s="11" t="n"/>
      <c r="N77" s="91">
        <f>+IFS(K77="FORÇA",$D$17, K77="DESTREZA",$L$17, K77="CONSTITUIÇÃO",$T$17, K77="INTELIGÊNCIA",$AB$17, K77="ESSÊNCIA",$AJ$17) + IF(E77, $D$48 + INT($D$48 / 2), IF(D77, $D$48, 0)) + O77</f>
        <v/>
      </c>
      <c r="O77" s="86" t="n"/>
      <c r="P77" s="46" t="n"/>
      <c r="Q77" s="72" t="b">
        <v>0</v>
      </c>
      <c r="R77" s="72" t="b">
        <v>0</v>
      </c>
      <c r="S77" s="96" t="inlineStr">
        <is>
          <t>Culinária</t>
        </is>
      </c>
      <c r="T77" s="10" t="n"/>
      <c r="U77" s="10" t="n"/>
      <c r="V77" s="10" t="n"/>
      <c r="W77" s="11" t="n"/>
      <c r="X77" s="88" t="inlineStr">
        <is>
          <t>INTELIGÊNCIA</t>
        </is>
      </c>
      <c r="Y77" s="10" t="n"/>
      <c r="Z77" s="11" t="n"/>
      <c r="AA77" s="91">
        <f>+IFS(X77="FORÇA",$D$17, X77="DESTREZA",$L$17, X77="CONSTITUIÇÃO",$T$17, X77="INTELIGÊNCIA",$AB$17, X77="ESSÊNCIA",$AJ$17) + IF(R77, $D$48 + INT($D$48 / 2), IF(Q77, $D$48, 0)) + AB77</f>
        <v/>
      </c>
      <c r="AB77" s="86" t="n"/>
      <c r="AC77" s="46" t="n"/>
      <c r="AD77" s="46" t="n"/>
      <c r="AE77" s="92" t="n"/>
      <c r="AF77" s="72" t="b">
        <v>0</v>
      </c>
      <c r="AG77" s="93" t="inlineStr">
        <is>
          <t>Intelecto</t>
        </is>
      </c>
      <c r="AH77" s="10" t="n"/>
      <c r="AI77" s="10" t="n"/>
      <c r="AJ77" s="90" t="n"/>
      <c r="AK77" s="88" t="inlineStr">
        <is>
          <t>INTELIGÊNCIA</t>
        </is>
      </c>
      <c r="AL77" s="10" t="n"/>
      <c r="AM77" s="10" t="n"/>
      <c r="AN77" s="10" t="n"/>
      <c r="AO77" s="11" t="n"/>
      <c r="AP77" s="95">
        <f>$AB$17+IF($AF$77=TRUE,$D$48,0)+AJ77</f>
        <v/>
      </c>
      <c r="AQ77" s="10" t="n"/>
      <c r="AR77" s="10" t="n"/>
      <c r="AS77" s="10" t="n"/>
      <c r="AT77" s="11" t="n"/>
    </row>
    <row r="78">
      <c r="A78" s="7" t="n"/>
      <c r="B78" s="7" t="n"/>
      <c r="C78" s="39" t="n"/>
      <c r="D78" s="72" t="b">
        <v>0</v>
      </c>
      <c r="E78" s="72" t="b">
        <v>0</v>
      </c>
      <c r="F78" s="87" t="inlineStr">
        <is>
          <t>Forja</t>
        </is>
      </c>
      <c r="G78" s="10" t="n"/>
      <c r="H78" s="10" t="n"/>
      <c r="I78" s="10" t="n"/>
      <c r="J78" s="11" t="n"/>
      <c r="K78" s="88" t="inlineStr">
        <is>
          <t>INTELIGÊNCIA</t>
        </is>
      </c>
      <c r="L78" s="10" t="n"/>
      <c r="M78" s="11" t="n"/>
      <c r="N78" s="91">
        <f>+IFS(K78="FORÇA",$D$17, K78="DESTREZA",$L$17, K78="CONSTITUIÇÃO",$T$17, K78="INTELIGÊNCIA",$AB$17, K78="ESSÊNCIA",$AJ$17) + IF(E78, $D$48 + INT($D$48 / 2), IF(D78, $D$48, 0)) + O78</f>
        <v/>
      </c>
      <c r="O78" s="86" t="n"/>
      <c r="P78" s="46" t="n"/>
      <c r="Q78" s="72" t="b">
        <v>0</v>
      </c>
      <c r="R78" s="72" t="b">
        <v>0</v>
      </c>
      <c r="S78" s="87" t="inlineStr">
        <is>
          <t>Jogatina</t>
        </is>
      </c>
      <c r="T78" s="10" t="n"/>
      <c r="U78" s="10" t="n"/>
      <c r="V78" s="10" t="n"/>
      <c r="W78" s="11" t="n"/>
      <c r="X78" s="88" t="inlineStr">
        <is>
          <t>INTELIGÊNCIA</t>
        </is>
      </c>
      <c r="Y78" s="10" t="n"/>
      <c r="Z78" s="11" t="n"/>
      <c r="AA78" s="91">
        <f>+IFS(X78="FORÇA",$D$17, X78="DESTREZA",$L$17, X78="CONSTITUIÇÃO",$T$17, X78="INTELIGÊNCIA",$AB$17, X78="ESSÊNCIA",$AJ$17) + IF(R78, $D$48 + INT($D$48 / 2), IF(Q78, $D$48, 0)) + AB78</f>
        <v/>
      </c>
      <c r="AB78" s="86" t="n"/>
      <c r="AC78" s="46" t="n"/>
      <c r="AD78" s="46" t="n"/>
      <c r="AE78" s="46" t="n"/>
      <c r="AF78" s="72" t="b">
        <v>0</v>
      </c>
      <c r="AG78" s="93" t="inlineStr">
        <is>
          <t>Espírito</t>
        </is>
      </c>
      <c r="AH78" s="10" t="n"/>
      <c r="AI78" s="10" t="n"/>
      <c r="AJ78" s="90" t="n"/>
      <c r="AK78" s="88" t="inlineStr">
        <is>
          <t>ESSÊNCIA</t>
        </is>
      </c>
      <c r="AL78" s="10" t="n"/>
      <c r="AM78" s="10" t="n"/>
      <c r="AN78" s="10" t="n"/>
      <c r="AO78" s="11" t="n"/>
      <c r="AP78" s="95">
        <f>$AJ$17+IF($AF$78=TRUE,$D$48,0)+AJ78</f>
        <v/>
      </c>
      <c r="AQ78" s="10" t="n"/>
      <c r="AR78" s="10" t="n"/>
      <c r="AS78" s="10" t="n"/>
      <c r="AT78" s="11" t="n"/>
    </row>
    <row r="79">
      <c r="A79" s="7" t="n"/>
      <c r="B79" s="7" t="n"/>
      <c r="C79" s="39" t="n"/>
      <c r="D79" s="72" t="b">
        <v>0</v>
      </c>
      <c r="E79" s="72" t="b">
        <v>0</v>
      </c>
      <c r="F79" s="87" t="inlineStr">
        <is>
          <t>Caligrafia</t>
        </is>
      </c>
      <c r="G79" s="10" t="n"/>
      <c r="H79" s="10" t="n"/>
      <c r="I79" s="10" t="n"/>
      <c r="J79" s="11" t="n"/>
      <c r="K79" s="88" t="inlineStr">
        <is>
          <t>INTELIGÊNCIA</t>
        </is>
      </c>
      <c r="L79" s="10" t="n"/>
      <c r="M79" s="11" t="n"/>
      <c r="N79" s="91">
        <f>+IFS(K79="FORÇA",$D$17, K79="DESTREZA",$L$17, K79="CONSTITUIÇÃO",$T$17, K79="INTELIGÊNCIA",$AB$17, K79="ESSÊNCIA",$AJ$17) + IF(E79, $D$48 + INT($D$48 / 2), IF(D79, $D$48, 0)) + O79</f>
        <v/>
      </c>
      <c r="O79" s="86" t="n"/>
      <c r="P79" s="46" t="n"/>
      <c r="Q79" s="72" t="b">
        <v>0</v>
      </c>
      <c r="R79" s="72" t="b">
        <v>0</v>
      </c>
      <c r="S79" s="87" t="inlineStr">
        <is>
          <t>Instrumento</t>
        </is>
      </c>
      <c r="T79" s="10" t="n"/>
      <c r="U79" s="10" t="n"/>
      <c r="V79" s="10" t="n"/>
      <c r="W79" s="11" t="n"/>
      <c r="X79" s="88" t="inlineStr">
        <is>
          <t>INTELIGÊNCIA</t>
        </is>
      </c>
      <c r="Y79" s="10" t="n"/>
      <c r="Z79" s="11" t="n"/>
      <c r="AA79" s="91">
        <f>+IFS(X79="FORÇA",$D$17, X79="DESTREZA",$L$17, X79="CONSTITUIÇÃO",$T$17, X79="INTELIGÊNCIA",$AB$17, X79="ESSÊNCIA",$AJ$17) + IF(R79, $D$48 + INT($D$48 / 2), IF(Q79, $D$48, 0)) + AB79</f>
        <v/>
      </c>
      <c r="AB79" s="8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</row>
    <row r="80">
      <c r="A80" s="7" t="n"/>
      <c r="B80" s="7" t="n"/>
      <c r="C80" s="39" t="n"/>
      <c r="D80" s="72" t="b">
        <v>0</v>
      </c>
      <c r="E80" s="72" t="b">
        <v>0</v>
      </c>
      <c r="F80" s="87" t="inlineStr">
        <is>
          <t>Burocracia</t>
        </is>
      </c>
      <c r="G80" s="10" t="n"/>
      <c r="H80" s="10" t="n"/>
      <c r="I80" s="10" t="n"/>
      <c r="J80" s="11" t="n"/>
      <c r="K80" s="88" t="inlineStr">
        <is>
          <t>INTELIGÊNCIA</t>
        </is>
      </c>
      <c r="L80" s="10" t="n"/>
      <c r="M80" s="11" t="n"/>
      <c r="N80" s="91">
        <f>+IFS(K80="FORÇA",$D$17, K80="DESTREZA",$L$17, K80="CONSTITUIÇÃO",$T$17, K80="INTELIGÊNCIA",$AB$17, K80="ESSÊNCIA",$AJ$17) + IF(E80, $D$48 + INT($D$48 / 2), IF(D80, $D$48, 0)) + O80</f>
        <v/>
      </c>
      <c r="O80" s="8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</row>
    <row r="81">
      <c r="A81" s="7" t="n"/>
      <c r="B81" s="7" t="n"/>
      <c r="C81" s="39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</row>
    <row r="82" ht="27" customHeight="1">
      <c r="A82" s="7" t="n"/>
      <c r="B82" s="7" t="n"/>
      <c r="C82" s="39" t="n"/>
      <c r="D82" s="60" t="n">
        <v>7</v>
      </c>
      <c r="E82" s="13" t="n"/>
      <c r="F82" s="14" t="n"/>
      <c r="G82" s="78" t="inlineStr">
        <is>
          <t>ANOTAÇÕES</t>
        </is>
      </c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1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</row>
    <row r="83">
      <c r="A83" s="7" t="n"/>
      <c r="B83" s="7" t="n"/>
      <c r="C83" s="39" t="n"/>
      <c r="D83" s="17" t="n"/>
      <c r="E83" s="18" t="n"/>
      <c r="F83" s="1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</row>
    <row r="84" ht="5.25" customHeight="1">
      <c r="A84" s="7" t="n"/>
      <c r="B84" s="7" t="n"/>
      <c r="C84" s="39" t="n"/>
      <c r="D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</row>
    <row r="85">
      <c r="A85" s="7" t="n"/>
      <c r="B85" s="7" t="n"/>
      <c r="C85" s="39" t="n"/>
      <c r="D85" s="97" t="inlineStr">
        <is>
          <t>Skill Base de Caminho 1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39" t="n"/>
      <c r="P85" s="97" t="inlineStr">
        <is>
          <t>Skill Base de Trilha 1</t>
        </is>
      </c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1" t="n"/>
      <c r="AA85" s="39" t="n"/>
      <c r="AB85" s="97" t="inlineStr">
        <is>
          <t>Outras Anotações</t>
        </is>
      </c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1" t="n"/>
      <c r="AM85" s="39" t="n"/>
      <c r="AN85" s="39" t="n"/>
      <c r="AO85" s="39" t="n"/>
      <c r="AP85" s="39" t="n"/>
      <c r="AQ85" s="39" t="n"/>
      <c r="AR85" s="39" t="n"/>
      <c r="AS85" s="39" t="n"/>
      <c r="AT85" s="39" t="n"/>
    </row>
    <row r="86" ht="5.25" customHeight="1">
      <c r="A86" s="7" t="n"/>
      <c r="B86" s="7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  <c r="AM86" s="39" t="n"/>
      <c r="AN86" s="39" t="n"/>
      <c r="AO86" s="39" t="n"/>
      <c r="AP86" s="39" t="n"/>
      <c r="AQ86" s="39" t="n"/>
      <c r="AR86" s="39" t="n"/>
      <c r="AS86" s="39" t="n"/>
      <c r="AT86" s="39" t="n"/>
    </row>
    <row r="87">
      <c r="A87" s="7" t="n"/>
      <c r="B87" s="7" t="n"/>
      <c r="C87" s="39" t="n"/>
      <c r="D87" s="98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4" t="n"/>
      <c r="O87" s="39" t="n"/>
      <c r="P87" s="98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4" t="n"/>
      <c r="AA87" s="39" t="n"/>
      <c r="AB87" s="98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4" t="n"/>
      <c r="AM87" s="39" t="n"/>
      <c r="AN87" s="39" t="n"/>
      <c r="AO87" s="39" t="n"/>
      <c r="AP87" s="39" t="n"/>
      <c r="AQ87" s="39" t="n"/>
      <c r="AR87" s="39" t="n"/>
      <c r="AS87" s="39" t="n"/>
      <c r="AT87" s="39" t="n"/>
    </row>
    <row r="88">
      <c r="A88" s="7" t="n"/>
      <c r="B88" s="7" t="n"/>
      <c r="C88" s="39" t="n"/>
      <c r="D88" s="15" t="n"/>
      <c r="N88" s="16" t="n"/>
      <c r="O88" s="39" t="n"/>
      <c r="P88" s="15" t="n"/>
      <c r="Z88" s="16" t="n"/>
      <c r="AA88" s="39" t="n"/>
      <c r="AB88" s="15" t="n"/>
      <c r="AL88" s="16" t="n"/>
      <c r="AM88" s="39" t="n"/>
      <c r="AN88" s="39" t="n"/>
      <c r="AO88" s="39" t="n"/>
      <c r="AP88" s="39" t="n"/>
      <c r="AQ88" s="39" t="n"/>
      <c r="AR88" s="39" t="n"/>
      <c r="AS88" s="39" t="n"/>
      <c r="AT88" s="39" t="n"/>
    </row>
    <row r="89">
      <c r="A89" s="7" t="n"/>
      <c r="B89" s="7" t="n"/>
      <c r="C89" s="39" t="n"/>
      <c r="D89" s="15" t="n"/>
      <c r="N89" s="16" t="n"/>
      <c r="O89" s="39" t="n"/>
      <c r="P89" s="15" t="n"/>
      <c r="Z89" s="16" t="n"/>
      <c r="AA89" s="39" t="n"/>
      <c r="AB89" s="15" t="n"/>
      <c r="AL89" s="16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>
      <c r="A90" s="7" t="n"/>
      <c r="B90" s="7" t="n"/>
      <c r="C90" s="39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9" t="n"/>
      <c r="O90" s="39" t="n"/>
      <c r="P90" s="17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9" t="n"/>
      <c r="AA90" s="39" t="n"/>
      <c r="AB90" s="17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 ht="5.25" customHeight="1">
      <c r="A91" s="7" t="n"/>
      <c r="B91" s="7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>
      <c r="A92" s="7" t="n"/>
      <c r="B92" s="7" t="n"/>
      <c r="C92" s="39" t="n"/>
      <c r="D92" s="97" t="inlineStr">
        <is>
          <t>Skill Base de Caminho 2</t>
        </is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1" t="n"/>
      <c r="O92" s="39" t="n"/>
      <c r="P92" s="97" t="inlineStr">
        <is>
          <t>Skill Base de Trilha 2</t>
        </is>
      </c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1" t="n"/>
      <c r="AA92" s="39" t="n"/>
      <c r="AB92" s="97" t="inlineStr">
        <is>
          <t>Outras Anotações</t>
        </is>
      </c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1" t="n"/>
      <c r="AM92" s="39" t="n"/>
      <c r="AN92" s="39" t="n"/>
      <c r="AO92" s="39" t="n"/>
      <c r="AP92" s="39" t="n"/>
      <c r="AQ92" s="39" t="n"/>
      <c r="AR92" s="39" t="n"/>
      <c r="AS92" s="39" t="n"/>
      <c r="AT92" s="39" t="n"/>
    </row>
    <row r="93" ht="5.25" customHeight="1">
      <c r="A93" s="7" t="n"/>
      <c r="B93" s="7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  <c r="AM93" s="39" t="n"/>
      <c r="AN93" s="39" t="n"/>
      <c r="AO93" s="39" t="n"/>
      <c r="AP93" s="39" t="n"/>
      <c r="AQ93" s="39" t="n"/>
      <c r="AR93" s="39" t="n"/>
      <c r="AS93" s="39" t="n"/>
      <c r="AT93" s="39" t="n"/>
    </row>
    <row r="94">
      <c r="A94" s="7" t="n"/>
      <c r="B94" s="7" t="n"/>
      <c r="C94" s="39" t="n"/>
      <c r="D94" s="98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4" t="n"/>
      <c r="O94" s="39" t="n"/>
      <c r="P94" s="98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4" t="n"/>
      <c r="AA94" s="39" t="n"/>
      <c r="AB94" s="98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4" t="n"/>
      <c r="AM94" s="39" t="n"/>
      <c r="AN94" s="39" t="n"/>
      <c r="AO94" s="39" t="n"/>
      <c r="AP94" s="39" t="n"/>
      <c r="AQ94" s="39" t="n"/>
      <c r="AR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P95" s="39" t="n"/>
      <c r="AQ95" s="39" t="n"/>
      <c r="AR95" s="39" t="n"/>
      <c r="AS95" s="39" t="n"/>
      <c r="AT95" s="39" t="n"/>
    </row>
    <row r="96">
      <c r="A96" s="7" t="n"/>
      <c r="B96" s="7" t="n"/>
      <c r="C96" s="39" t="n"/>
      <c r="D96" s="15" t="n"/>
      <c r="N96" s="16" t="n"/>
      <c r="O96" s="39" t="n"/>
      <c r="P96" s="15" t="n"/>
      <c r="Z96" s="16" t="n"/>
      <c r="AA96" s="39" t="n"/>
      <c r="AB96" s="15" t="n"/>
      <c r="AL96" s="16" t="n"/>
      <c r="AM96" s="39" t="n"/>
      <c r="AN96" s="39" t="n"/>
      <c r="AO96" s="39" t="n"/>
      <c r="AP96" s="39" t="n"/>
      <c r="AQ96" s="39" t="n"/>
      <c r="AR96" s="39" t="n"/>
      <c r="AS96" s="39" t="n"/>
      <c r="AT96" s="39" t="n"/>
    </row>
    <row r="97">
      <c r="A97" s="7" t="n"/>
      <c r="B97" s="7" t="n"/>
      <c r="C97" s="39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9" t="n"/>
      <c r="O97" s="39" t="n"/>
      <c r="P97" s="17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9" t="n"/>
      <c r="AA97" s="39" t="n"/>
      <c r="AB97" s="17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 ht="5.25" customHeight="1">
      <c r="A98" s="7" t="n"/>
      <c r="B98" s="7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>
      <c r="A99" s="7" t="n"/>
      <c r="B99" s="7" t="n"/>
      <c r="C99" s="39" t="n"/>
      <c r="D99" s="97" t="inlineStr">
        <is>
          <t>Skill Base de Caminho 3</t>
        </is>
      </c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1" t="n"/>
      <c r="O99" s="39" t="n"/>
      <c r="P99" s="97" t="inlineStr">
        <is>
          <t>Skill Base de Trilha 3</t>
        </is>
      </c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1" t="n"/>
      <c r="AA99" s="39" t="n"/>
      <c r="AB99" s="97" t="inlineStr">
        <is>
          <t>Outras Anotações</t>
        </is>
      </c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1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 ht="5.25" customHeight="1">
      <c r="A100" s="7" t="n"/>
      <c r="B100" s="7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98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4" t="n"/>
      <c r="O101" s="39" t="n"/>
      <c r="P101" s="98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4" t="n"/>
      <c r="AA101" s="39" t="n"/>
      <c r="AB101" s="98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4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5" t="n"/>
      <c r="N103" s="16" t="n"/>
      <c r="O103" s="39" t="n"/>
      <c r="P103" s="15" t="n"/>
      <c r="Z103" s="16" t="n"/>
      <c r="AA103" s="39" t="n"/>
      <c r="AB103" s="15" t="n"/>
      <c r="AL103" s="16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>
      <c r="A104" s="7" t="n"/>
      <c r="B104" s="7" t="n"/>
      <c r="C104" s="39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9" t="n"/>
      <c r="O104" s="39" t="n"/>
      <c r="P104" s="17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9" t="n"/>
      <c r="AA104" s="39" t="n"/>
      <c r="AB104" s="17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 ht="5.25" customHeight="1">
      <c r="A105" s="7" t="n"/>
      <c r="B105" s="7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>
      <c r="A106" s="7" t="n"/>
      <c r="B106" s="7" t="n"/>
      <c r="C106" s="39" t="n"/>
      <c r="D106" s="97" t="inlineStr">
        <is>
          <t>Skill Base de Caminho 3</t>
        </is>
      </c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1" t="n"/>
      <c r="O106" s="39" t="n"/>
      <c r="P106" s="97" t="inlineStr">
        <is>
          <t>Skill Base de Trilha 3</t>
        </is>
      </c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1" t="n"/>
      <c r="AA106" s="39" t="n"/>
      <c r="AB106" s="97" t="inlineStr">
        <is>
          <t>Outras Anotações</t>
        </is>
      </c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1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 ht="5.25" customHeight="1">
      <c r="A107" s="7" t="n"/>
      <c r="B107" s="7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98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4" t="n"/>
      <c r="O108" s="39" t="n"/>
      <c r="P108" s="98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4" t="n"/>
      <c r="AA108" s="39" t="n"/>
      <c r="AB108" s="98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4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5" t="n"/>
      <c r="N110" s="16" t="n"/>
      <c r="O110" s="39" t="n"/>
      <c r="P110" s="15" t="n"/>
      <c r="Z110" s="16" t="n"/>
      <c r="AA110" s="39" t="n"/>
      <c r="AB110" s="15" t="n"/>
      <c r="AL110" s="16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>
      <c r="A111" s="7" t="n"/>
      <c r="B111" s="7" t="n"/>
      <c r="C111" s="39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9" t="n"/>
      <c r="O111" s="39" t="n"/>
      <c r="P111" s="17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9" t="n"/>
      <c r="AA111" s="39" t="n"/>
      <c r="AB111" s="17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27" customHeight="1">
      <c r="A113" s="7" t="n"/>
      <c r="B113" s="7" t="n"/>
      <c r="C113" s="39" t="n"/>
      <c r="D113" s="60" t="n">
        <v>8</v>
      </c>
      <c r="E113" s="13" t="n"/>
      <c r="F113" s="14" t="n"/>
      <c r="G113" s="78" t="inlineStr">
        <is>
          <t>APTIDÕES E FEITIÇOS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1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7" t="n"/>
      <c r="E114" s="18" t="n"/>
      <c r="F114" s="1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 ht="4.5" customHeight="1">
      <c r="A115" s="7" t="n"/>
      <c r="B115" s="7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97" t="inlineStr">
        <is>
          <t>Classe</t>
        </is>
      </c>
      <c r="E116" s="11" t="n"/>
      <c r="F116" s="97">
        <f>"Feitiços - Disponível: " &amp; (D54 - COUNTIF(D118:D136,"&gt;0") - SUM(V133:W136,AD133:AE136)) &amp; " - Conhecidos (Total): " &amp; D54 &amp; " - Classe 0: " &amp; (AK54 - COUNTIFS(D118:D136,0,F118:F136,"&lt;&gt;")) &amp; "/" &amp; AK54</f>
        <v/>
      </c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1" t="n"/>
      <c r="U116" s="99" t="n"/>
      <c r="V116" s="97">
        <f>if(X11 = "Restrição Celestial","Refino ou Lapidação Atual: " &amp; MIN(10,$O$54+MIN($O$54-1,IFERROR(VALUE($AK$37&amp;""),0))) &amp; "/10","Refino Atual: " &amp; MIN(10,$O$54+MIN($O$54-1,IFERROR(VALUE($AK$37&amp;""),0))) &amp; "/10")</f>
        <v/>
      </c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1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 ht="5.25" customHeight="1">
      <c r="A117" s="7" t="n"/>
      <c r="B117" s="7" t="n"/>
      <c r="C117" s="3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  <c r="U117" s="99" t="n"/>
      <c r="V117" s="99" t="n"/>
      <c r="W117" s="99" t="n"/>
      <c r="X117" s="99" t="n"/>
      <c r="Y117" s="99" t="n"/>
      <c r="Z117" s="99" t="n"/>
      <c r="AA117" s="99" t="n"/>
      <c r="AB117" s="99" t="n"/>
      <c r="AC117" s="99" t="n"/>
      <c r="AD117" s="99" t="n"/>
      <c r="AE117" s="99" t="n"/>
      <c r="AF117" s="99" t="n"/>
      <c r="AG117" s="99" t="n"/>
      <c r="AH117" s="99" t="n"/>
      <c r="AI117" s="99" t="n"/>
      <c r="AJ117" s="99" t="n"/>
      <c r="AK117" s="99" t="n"/>
      <c r="AL117" s="9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100" t="n">
        <v>0</v>
      </c>
      <c r="E118" s="11" t="n"/>
      <c r="F118" s="33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3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>
      <c r="A119" s="7" t="n"/>
      <c r="B119" s="7" t="n"/>
      <c r="C119" s="39" t="n"/>
      <c r="D119" s="100" t="n">
        <v>0</v>
      </c>
      <c r="E119" s="11" t="n"/>
      <c r="F119" s="33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3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00" t="n">
        <v>0</v>
      </c>
      <c r="E120" s="11" t="n"/>
      <c r="F120" s="33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3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>
      <c r="A121" s="7" t="n"/>
      <c r="B121" s="7" t="n"/>
      <c r="C121" s="39" t="n"/>
      <c r="D121" s="100" t="n">
        <v>0</v>
      </c>
      <c r="E121" s="11" t="n"/>
      <c r="F121" s="33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3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0" t="n">
        <v>0</v>
      </c>
      <c r="E122" s="11" t="n"/>
      <c r="F122" s="33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3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>
      <c r="A123" s="7" t="n"/>
      <c r="B123" s="7" t="n"/>
      <c r="C123" s="39" t="n"/>
      <c r="D123" s="100" t="n">
        <v>0</v>
      </c>
      <c r="E123" s="11" t="n"/>
      <c r="F123" s="33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3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00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3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00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3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00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00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00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00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99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00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00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39" t="n"/>
      <c r="V131" s="97" t="inlineStr">
        <is>
          <t>Classe</t>
        </is>
      </c>
      <c r="W131" s="11" t="n"/>
      <c r="X131" s="97">
        <f>"Passivas - Regras"</f>
        <v/>
      </c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00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39" t="n"/>
      <c r="V132" s="99" t="n"/>
      <c r="W132" s="99" t="n"/>
      <c r="X132" s="99" t="n"/>
      <c r="Y132" s="99" t="n"/>
      <c r="Z132" s="99" t="n"/>
      <c r="AA132" s="99" t="n"/>
      <c r="AB132" s="99" t="n"/>
      <c r="AC132" s="99" t="n"/>
      <c r="AD132" s="99" t="n"/>
      <c r="AE132" s="99" t="n"/>
      <c r="AF132" s="99" t="n"/>
      <c r="AG132" s="99" t="n"/>
      <c r="AH132" s="99" t="n"/>
      <c r="AI132" s="99" t="n"/>
      <c r="AJ132" s="99" t="n"/>
      <c r="AK132" s="99" t="n"/>
      <c r="AL132" s="99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00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39" t="n"/>
      <c r="V133" s="100" t="n">
        <v>0</v>
      </c>
      <c r="W133" s="11" t="n"/>
      <c r="X133" s="33" t="n"/>
      <c r="Y133" s="10" t="n"/>
      <c r="Z133" s="10" t="n"/>
      <c r="AA133" s="10" t="n"/>
      <c r="AB133" s="10" t="n"/>
      <c r="AC133" s="11" t="n"/>
      <c r="AD133" s="100" t="n">
        <v>0</v>
      </c>
      <c r="AE133" s="11" t="n"/>
      <c r="AF133" s="33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00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39" t="n"/>
      <c r="V134" s="100" t="n">
        <v>0</v>
      </c>
      <c r="W134" s="11" t="n"/>
      <c r="X134" s="33" t="n"/>
      <c r="Y134" s="10" t="n"/>
      <c r="Z134" s="10" t="n"/>
      <c r="AA134" s="10" t="n"/>
      <c r="AB134" s="10" t="n"/>
      <c r="AC134" s="11" t="n"/>
      <c r="AD134" s="100" t="n">
        <v>0</v>
      </c>
      <c r="AE134" s="11" t="n"/>
      <c r="AF134" s="33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00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39" t="n"/>
      <c r="V135" s="100" t="n">
        <v>0</v>
      </c>
      <c r="W135" s="11" t="n"/>
      <c r="X135" s="33" t="n"/>
      <c r="Y135" s="10" t="n"/>
      <c r="Z135" s="10" t="n"/>
      <c r="AA135" s="10" t="n"/>
      <c r="AB135" s="10" t="n"/>
      <c r="AC135" s="11" t="n"/>
      <c r="AD135" s="100" t="n">
        <v>0</v>
      </c>
      <c r="AE135" s="11" t="n"/>
      <c r="AF135" s="33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00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100" t="n">
        <v>0</v>
      </c>
      <c r="W136" s="11" t="n"/>
      <c r="X136" s="33" t="n"/>
      <c r="Y136" s="10" t="n"/>
      <c r="Z136" s="10" t="n"/>
      <c r="AA136" s="10" t="n"/>
      <c r="AB136" s="10" t="n"/>
      <c r="AC136" s="11" t="n"/>
      <c r="AD136" s="100" t="n">
        <v>0</v>
      </c>
      <c r="AE136" s="11" t="n"/>
      <c r="AF136" s="33" t="n"/>
      <c r="AG136" s="10" t="n"/>
      <c r="AH136" s="10" t="n"/>
      <c r="AI136" s="10" t="n"/>
      <c r="AJ136" s="10" t="n"/>
      <c r="AK136" s="10" t="n"/>
      <c r="AL136" s="11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  <c r="AU137" s="39" t="n"/>
    </row>
    <row r="138">
      <c r="A138" s="7" t="n"/>
      <c r="B138" s="7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  <c r="AU138" s="39" t="n"/>
    </row>
  </sheetData>
  <mergeCells count="316">
    <mergeCell ref="P92:Z92"/>
    <mergeCell ref="D2:X2"/>
    <mergeCell ref="D39:M39"/>
    <mergeCell ref="P69:Q69"/>
    <mergeCell ref="AH2:AT2"/>
    <mergeCell ref="AK78:AO78"/>
    <mergeCell ref="V121:AL121"/>
    <mergeCell ref="X76:Z76"/>
    <mergeCell ref="A8:B26"/>
    <mergeCell ref="F75:J75"/>
    <mergeCell ref="D134:E134"/>
    <mergeCell ref="AF22:AK22"/>
    <mergeCell ref="F123:T123"/>
    <mergeCell ref="V120:AL120"/>
    <mergeCell ref="F116:T116"/>
    <mergeCell ref="P94:Z97"/>
    <mergeCell ref="F118:T118"/>
    <mergeCell ref="V124:AL124"/>
    <mergeCell ref="D8:F9"/>
    <mergeCell ref="D11:L11"/>
    <mergeCell ref="Z48:AI48"/>
    <mergeCell ref="F69:M69"/>
    <mergeCell ref="V126:AL126"/>
    <mergeCell ref="AE50:AO50"/>
    <mergeCell ref="D131:E131"/>
    <mergeCell ref="AD59:AE59"/>
    <mergeCell ref="F129:T129"/>
    <mergeCell ref="S77:W77"/>
    <mergeCell ref="F134:T134"/>
    <mergeCell ref="D124:E124"/>
    <mergeCell ref="AF63:AG63"/>
    <mergeCell ref="F121:T121"/>
    <mergeCell ref="F131:T131"/>
    <mergeCell ref="D126:E126"/>
    <mergeCell ref="J23:N24"/>
    <mergeCell ref="V60:AC60"/>
    <mergeCell ref="AB16:AH16"/>
    <mergeCell ref="AD61:AE61"/>
    <mergeCell ref="X77:Z77"/>
    <mergeCell ref="AP77:AT77"/>
    <mergeCell ref="D129:E129"/>
    <mergeCell ref="L17:R18"/>
    <mergeCell ref="AD62:AE62"/>
    <mergeCell ref="AP75:AT75"/>
    <mergeCell ref="N70:O70"/>
    <mergeCell ref="AK44:AT44"/>
    <mergeCell ref="AD64:AE64"/>
    <mergeCell ref="K75:M75"/>
    <mergeCell ref="F126:T126"/>
    <mergeCell ref="AF30:AK30"/>
    <mergeCell ref="V131:W131"/>
    <mergeCell ref="P87:Z90"/>
    <mergeCell ref="AF31:AK31"/>
    <mergeCell ref="O53:X53"/>
    <mergeCell ref="D84:M84"/>
    <mergeCell ref="F62:M62"/>
    <mergeCell ref="N60:O60"/>
    <mergeCell ref="D27:H28"/>
    <mergeCell ref="D92:N92"/>
    <mergeCell ref="D30:N30"/>
    <mergeCell ref="AK77:AO77"/>
    <mergeCell ref="D16:J16"/>
    <mergeCell ref="F124:T124"/>
    <mergeCell ref="X131:AL131"/>
    <mergeCell ref="G113:AH113"/>
    <mergeCell ref="AJ16:AP16"/>
    <mergeCell ref="AB19:AH19"/>
    <mergeCell ref="V63:AC63"/>
    <mergeCell ref="F80:J80"/>
    <mergeCell ref="AB17:AH18"/>
    <mergeCell ref="T17:Z18"/>
    <mergeCell ref="X10:AF10"/>
    <mergeCell ref="AP78:AT78"/>
    <mergeCell ref="AD70:AE70"/>
    <mergeCell ref="D122:E122"/>
    <mergeCell ref="AM27:AR27"/>
    <mergeCell ref="AK47:AT47"/>
    <mergeCell ref="N11:V11"/>
    <mergeCell ref="V66:AC66"/>
    <mergeCell ref="P106:Z106"/>
    <mergeCell ref="AM22:AR22"/>
    <mergeCell ref="F65:M65"/>
    <mergeCell ref="V122:AL122"/>
    <mergeCell ref="N66:O66"/>
    <mergeCell ref="AF134:AL134"/>
    <mergeCell ref="AB85:AL85"/>
    <mergeCell ref="AK37:AT37"/>
    <mergeCell ref="AD60:AE60"/>
    <mergeCell ref="N68:O68"/>
    <mergeCell ref="AF23:AK23"/>
    <mergeCell ref="F76:J76"/>
    <mergeCell ref="AH10:AL10"/>
    <mergeCell ref="D135:E135"/>
    <mergeCell ref="L16:R16"/>
    <mergeCell ref="D19:J19"/>
    <mergeCell ref="N61:O61"/>
    <mergeCell ref="P61:Q61"/>
    <mergeCell ref="AK60:AT61"/>
    <mergeCell ref="O39:X39"/>
    <mergeCell ref="AD136:AE136"/>
    <mergeCell ref="D10:L10"/>
    <mergeCell ref="V134:W134"/>
    <mergeCell ref="D26:N26"/>
    <mergeCell ref="AK59:AT59"/>
    <mergeCell ref="V68:AC68"/>
    <mergeCell ref="AK40:AT40"/>
    <mergeCell ref="Z44:AI44"/>
    <mergeCell ref="V67:AC67"/>
    <mergeCell ref="AG75:AI75"/>
    <mergeCell ref="AF66:AG66"/>
    <mergeCell ref="D54:M54"/>
    <mergeCell ref="V69:AC69"/>
    <mergeCell ref="AF68:AG68"/>
    <mergeCell ref="X134:AC134"/>
    <mergeCell ref="N67:O67"/>
    <mergeCell ref="D94:N97"/>
    <mergeCell ref="N69:O69"/>
    <mergeCell ref="D118:E118"/>
    <mergeCell ref="F77:J77"/>
    <mergeCell ref="Z47:AI47"/>
    <mergeCell ref="AB108:AL111"/>
    <mergeCell ref="P62:Q62"/>
    <mergeCell ref="D108:N111"/>
    <mergeCell ref="AK66:AT67"/>
    <mergeCell ref="V62:AC62"/>
    <mergeCell ref="K76:M76"/>
    <mergeCell ref="P64:Q64"/>
    <mergeCell ref="V116:AL116"/>
    <mergeCell ref="F63:M63"/>
    <mergeCell ref="AJ17:AP18"/>
    <mergeCell ref="G37:X37"/>
    <mergeCell ref="K77:M77"/>
    <mergeCell ref="AB106:AL106"/>
    <mergeCell ref="N10:V10"/>
    <mergeCell ref="D44:M44"/>
    <mergeCell ref="AK48:AT48"/>
    <mergeCell ref="D116:E116"/>
    <mergeCell ref="AB99:AL99"/>
    <mergeCell ref="P67:Q67"/>
    <mergeCell ref="P31:AD32"/>
    <mergeCell ref="D106:N106"/>
    <mergeCell ref="AK43:AT43"/>
    <mergeCell ref="Z53:AI53"/>
    <mergeCell ref="O40:X40"/>
    <mergeCell ref="AB92:AL92"/>
    <mergeCell ref="D119:E119"/>
    <mergeCell ref="T16:Z16"/>
    <mergeCell ref="AN10:AT10"/>
    <mergeCell ref="Z40:AI40"/>
    <mergeCell ref="AM30:AR30"/>
    <mergeCell ref="X75:Z75"/>
    <mergeCell ref="P65:Q65"/>
    <mergeCell ref="Z54:AI54"/>
    <mergeCell ref="AF64:AG64"/>
    <mergeCell ref="AK76:AO76"/>
    <mergeCell ref="V119:AL119"/>
    <mergeCell ref="AK39:AT39"/>
    <mergeCell ref="Z43:AI43"/>
    <mergeCell ref="D130:E130"/>
    <mergeCell ref="D53:M53"/>
    <mergeCell ref="D47:M47"/>
    <mergeCell ref="D132:E132"/>
    <mergeCell ref="G8:X8"/>
    <mergeCell ref="O47:X47"/>
    <mergeCell ref="F64:M64"/>
    <mergeCell ref="AK75:AO75"/>
    <mergeCell ref="P85:Z85"/>
    <mergeCell ref="D82:F83"/>
    <mergeCell ref="AF136:AL136"/>
    <mergeCell ref="AB101:AL104"/>
    <mergeCell ref="F130:T130"/>
    <mergeCell ref="S78:W78"/>
    <mergeCell ref="D125:E125"/>
    <mergeCell ref="AF59:AG59"/>
    <mergeCell ref="P108:Z111"/>
    <mergeCell ref="F132:T132"/>
    <mergeCell ref="D127:E127"/>
    <mergeCell ref="F119:T119"/>
    <mergeCell ref="AM23:AR23"/>
    <mergeCell ref="D43:M43"/>
    <mergeCell ref="F127:T127"/>
    <mergeCell ref="X78:Z78"/>
    <mergeCell ref="AN11:AT11"/>
    <mergeCell ref="AG76:AI76"/>
    <mergeCell ref="O48:X48"/>
    <mergeCell ref="AD63:AE63"/>
    <mergeCell ref="D113:F114"/>
    <mergeCell ref="AF26:AK26"/>
    <mergeCell ref="V59:AC59"/>
    <mergeCell ref="F70:M70"/>
    <mergeCell ref="P27:AD28"/>
    <mergeCell ref="AF27:AK27"/>
    <mergeCell ref="G82:AH82"/>
    <mergeCell ref="V128:AL128"/>
    <mergeCell ref="D72:F73"/>
    <mergeCell ref="AD134:AE134"/>
    <mergeCell ref="S79:W79"/>
    <mergeCell ref="O43:X43"/>
    <mergeCell ref="F60:M60"/>
    <mergeCell ref="D37:F38"/>
    <mergeCell ref="D5:Z5"/>
    <mergeCell ref="F133:T133"/>
    <mergeCell ref="AE51:AO51"/>
    <mergeCell ref="D128:E128"/>
    <mergeCell ref="F68:M68"/>
    <mergeCell ref="F135:T135"/>
    <mergeCell ref="F122:T122"/>
    <mergeCell ref="X79:Z79"/>
    <mergeCell ref="P99:Z99"/>
    <mergeCell ref="G72:AH72"/>
    <mergeCell ref="G51:X51"/>
    <mergeCell ref="D23:H24"/>
    <mergeCell ref="AD66:AE66"/>
    <mergeCell ref="F61:M61"/>
    <mergeCell ref="Z37:AI37"/>
    <mergeCell ref="V133:W133"/>
    <mergeCell ref="AP76:AT76"/>
    <mergeCell ref="V125:AL125"/>
    <mergeCell ref="A30:B48"/>
    <mergeCell ref="D85:N85"/>
    <mergeCell ref="J27:N28"/>
    <mergeCell ref="V65:AC65"/>
    <mergeCell ref="V135:W135"/>
    <mergeCell ref="D14:F15"/>
    <mergeCell ref="AF61:AG61"/>
    <mergeCell ref="V129:AL129"/>
    <mergeCell ref="P101:Z104"/>
    <mergeCell ref="D87:N90"/>
    <mergeCell ref="D136:E136"/>
    <mergeCell ref="N62:O62"/>
    <mergeCell ref="G14:X14"/>
    <mergeCell ref="AH3:AT3"/>
    <mergeCell ref="L19:R19"/>
    <mergeCell ref="N64:O64"/>
    <mergeCell ref="D31:H32"/>
    <mergeCell ref="F136:T136"/>
    <mergeCell ref="AH11:AL11"/>
    <mergeCell ref="AU6:AU136"/>
    <mergeCell ref="X135:AC135"/>
    <mergeCell ref="P23:AD24"/>
    <mergeCell ref="S75:W75"/>
    <mergeCell ref="AD68:AE68"/>
    <mergeCell ref="AD67:AE67"/>
    <mergeCell ref="AF67:AG67"/>
    <mergeCell ref="D22:N22"/>
    <mergeCell ref="V64:AC64"/>
    <mergeCell ref="AD69:AE69"/>
    <mergeCell ref="AK36:AT36"/>
    <mergeCell ref="AF69:AG69"/>
    <mergeCell ref="AM31:AR31"/>
    <mergeCell ref="V136:W136"/>
    <mergeCell ref="AF62:AG62"/>
    <mergeCell ref="P70:Q70"/>
    <mergeCell ref="D34:AT34"/>
    <mergeCell ref="AM26:AR26"/>
    <mergeCell ref="F67:M67"/>
    <mergeCell ref="AK54:AT54"/>
    <mergeCell ref="N65:O65"/>
    <mergeCell ref="AF133:AL133"/>
    <mergeCell ref="F78:J78"/>
    <mergeCell ref="N63:O63"/>
    <mergeCell ref="P63:Q63"/>
    <mergeCell ref="AK62:AT63"/>
    <mergeCell ref="AF135:AL135"/>
    <mergeCell ref="X136:AC136"/>
    <mergeCell ref="D99:N99"/>
    <mergeCell ref="D51:F52"/>
    <mergeCell ref="P60:Q60"/>
    <mergeCell ref="AK64:AT65"/>
    <mergeCell ref="J31:N32"/>
    <mergeCell ref="Z36:AI36"/>
    <mergeCell ref="AG78:AI78"/>
    <mergeCell ref="D40:M40"/>
    <mergeCell ref="AD133:AE133"/>
    <mergeCell ref="V70:AC70"/>
    <mergeCell ref="AD135:AE135"/>
    <mergeCell ref="AF70:AG70"/>
    <mergeCell ref="AB94:AL97"/>
    <mergeCell ref="G57:AD57"/>
    <mergeCell ref="T19:Z19"/>
    <mergeCell ref="X133:AC133"/>
    <mergeCell ref="F125:T125"/>
    <mergeCell ref="D120:E120"/>
    <mergeCell ref="F79:J79"/>
    <mergeCell ref="AD65:AE65"/>
    <mergeCell ref="V127:AL127"/>
    <mergeCell ref="F120:T120"/>
    <mergeCell ref="K78:M78"/>
    <mergeCell ref="D57:F58"/>
    <mergeCell ref="P66:Q66"/>
    <mergeCell ref="AF60:AG60"/>
    <mergeCell ref="O54:X54"/>
    <mergeCell ref="K80:M80"/>
    <mergeCell ref="P68:Q68"/>
    <mergeCell ref="D48:M48"/>
    <mergeCell ref="D133:E133"/>
    <mergeCell ref="K79:M79"/>
    <mergeCell ref="Z39:AI39"/>
    <mergeCell ref="V61:AC61"/>
    <mergeCell ref="D101:N104"/>
    <mergeCell ref="D3:Z4"/>
    <mergeCell ref="D17:J18"/>
    <mergeCell ref="AF65:AG65"/>
    <mergeCell ref="AK53:AT53"/>
    <mergeCell ref="F66:M66"/>
    <mergeCell ref="AB87:AL90"/>
    <mergeCell ref="V123:AL123"/>
    <mergeCell ref="D121:E121"/>
    <mergeCell ref="AJ19:AP19"/>
    <mergeCell ref="X11:AF11"/>
    <mergeCell ref="O44:X44"/>
    <mergeCell ref="V118:AL118"/>
    <mergeCell ref="F128:T128"/>
    <mergeCell ref="S76:W76"/>
    <mergeCell ref="D123:E123"/>
    <mergeCell ref="AG77:AI77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9">
    <dataValidation sqref="D118:D136" showDropDown="0" showInputMessage="0" showErrorMessage="0" allowBlank="1" type="list">
      <formula1>"0,1,2,3,4,5,6,7,Lib. Max.,Téc. Max."</formula1>
    </dataValidation>
    <dataValidation sqref="V133:V136 AD133:AD136" showDropDown="0" showInputMessage="0" showErrorMessage="0" allowBlank="1" type="list">
      <formula1>"0,1,2,3"</formula1>
    </dataValidation>
    <dataValidation sqref="K75:K80 X75:X79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5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  <dataValidation sqref="Z40" showDropDown="0" showInputMessage="0" showErrorMessage="0" allowBlank="1" type="list">
      <formula1>DADOS!$AE$5:$AE$31</formula1>
    </dataValidation>
    <dataValidation sqref="AK37" showDropDown="0" showInputMessage="0" showErrorMessage="0" allowBlank="1" type="list">
      <formula1>"0,1,2,3,4,5,6,7"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inlineStr">
        <is>
          <t>0.246</t>
        </is>
      </c>
      <c r="C1" s="103" t="inlineStr">
        <is>
          <t>versão corrente (puxada da central)</t>
        </is>
      </c>
      <c r="D1" s="102" t="inlineStr">
        <is>
          <t>0.246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03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39" t="n"/>
      <c r="N3" s="104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Força</t>
        </is>
      </c>
      <c r="L4" s="105" t="inlineStr">
        <is>
          <t>Muro</t>
        </is>
      </c>
      <c r="M4" s="39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39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39" t="n"/>
      <c r="AB4" s="106" t="inlineStr">
        <is>
          <t>perícia</t>
        </is>
      </c>
      <c r="AC4" s="106" t="inlineStr">
        <is>
          <t>atributo</t>
        </is>
      </c>
      <c r="AD4" s="39" t="n"/>
      <c r="AE4" s="106" t="inlineStr">
        <is>
          <t>equipamento</t>
        </is>
      </c>
      <c r="AF4" s="106" t="inlineStr">
        <is>
          <t>proteção</t>
        </is>
      </c>
      <c r="AG4" s="106" t="inlineStr">
        <is>
          <t>teto de destreza</t>
        </is>
      </c>
      <c r="AH4" s="106" t="inlineStr">
        <is>
          <t>desliga a passiva</t>
        </is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Atrasar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Destreza</t>
        </is>
      </c>
      <c r="L5" s="105" t="inlineStr">
        <is>
          <t>Punho</t>
        </is>
      </c>
      <c r="M5" s="39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39" t="n"/>
      <c r="W5" s="107" t="n">
        <v>6</v>
      </c>
      <c r="X5" s="107" t="n">
        <v>10</v>
      </c>
      <c r="Y5" s="107" t="n">
        <v>1</v>
      </c>
      <c r="Z5" s="107" t="n">
        <v>5</v>
      </c>
      <c r="AA5" s="39" t="n"/>
      <c r="AB5" s="105" t="inlineStr">
        <is>
          <t>Atletismo</t>
        </is>
      </c>
      <c r="AC5" s="105" t="inlineStr">
        <is>
          <t>Força</t>
        </is>
      </c>
      <c r="AD5" s="39" t="n"/>
      <c r="AE5" s="105" t="inlineStr">
        <is>
          <t>Traje 1</t>
        </is>
      </c>
      <c r="AF5" s="107" t="n">
        <v>1</v>
      </c>
      <c r="AG5" s="107" t="inlineStr">
        <is>
          <t>—</t>
        </is>
      </c>
      <c r="AH5" s="107" t="inlineStr">
        <is>
          <t>sim</t>
        </is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Constituição</t>
        </is>
      </c>
      <c r="L6" s="105" t="inlineStr">
        <is>
          <t>Brasa</t>
        </is>
      </c>
      <c r="M6" s="39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39" t="n"/>
      <c r="W6" s="107" t="n">
        <v>10</v>
      </c>
      <c r="X6" s="107" t="n">
        <v>18</v>
      </c>
      <c r="Y6" s="107" t="n">
        <v>5</v>
      </c>
      <c r="Z6" s="107" t="n">
        <v>11</v>
      </c>
      <c r="AA6" s="39" t="n"/>
      <c r="AB6" s="105" t="inlineStr">
        <is>
          <t>Acrobacia</t>
        </is>
      </c>
      <c r="AC6" s="105" t="inlineStr">
        <is>
          <t>Destreza</t>
        </is>
      </c>
      <c r="AD6" s="39" t="n"/>
      <c r="AE6" s="105" t="inlineStr">
        <is>
          <t>Traje 2</t>
        </is>
      </c>
      <c r="AF6" s="107" t="n">
        <v>2</v>
      </c>
      <c r="AG6" s="107" t="inlineStr">
        <is>
          <t>—</t>
        </is>
      </c>
      <c r="AH6" s="107" t="inlineStr">
        <is>
          <t>sim</t>
        </is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Inteligência</t>
        </is>
      </c>
      <c r="L7" s="105" t="inlineStr">
        <is>
          <t>Estocada</t>
        </is>
      </c>
      <c r="M7" s="39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39" t="n"/>
      <c r="W7" s="107" t="n">
        <v>14</v>
      </c>
      <c r="X7" s="107" t="n">
        <v>26</v>
      </c>
      <c r="Y7" s="107" t="n">
        <v>9</v>
      </c>
      <c r="Z7" s="107" t="n">
        <v>17</v>
      </c>
      <c r="AA7" s="39" t="n"/>
      <c r="AB7" s="105" t="inlineStr">
        <is>
          <t>Furtividade</t>
        </is>
      </c>
      <c r="AC7" s="105" t="inlineStr">
        <is>
          <t>Destreza</t>
        </is>
      </c>
      <c r="AD7" s="39" t="n"/>
      <c r="AE7" s="105" t="inlineStr">
        <is>
          <t>Traje 3</t>
        </is>
      </c>
      <c r="AF7" s="107" t="n">
        <v>3</v>
      </c>
      <c r="AG7" s="107" t="inlineStr">
        <is>
          <t>—</t>
        </is>
      </c>
      <c r="AH7" s="107" t="inlineStr">
        <is>
          <t>sim</t>
        </is>
      </c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105" t="inlineStr">
        <is>
          <t>Evocador</t>
        </is>
      </c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39" t="n"/>
      <c r="K8" s="105" t="inlineStr">
        <is>
          <t>Essência</t>
        </is>
      </c>
      <c r="L8" s="105" t="inlineStr">
        <is>
          <t>Batedor</t>
        </is>
      </c>
      <c r="M8" s="39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39" t="n"/>
      <c r="W8" s="107" t="n">
        <v>18</v>
      </c>
      <c r="X8" s="39" t="n"/>
      <c r="Y8" s="107" t="n">
        <v>13</v>
      </c>
      <c r="Z8" s="39" t="n"/>
      <c r="AA8" s="39" t="n"/>
      <c r="AB8" s="105" t="inlineStr">
        <is>
          <t>Pontaria</t>
        </is>
      </c>
      <c r="AC8" s="105" t="inlineStr">
        <is>
          <t>Destreza</t>
        </is>
      </c>
      <c r="AD8" s="39" t="n"/>
      <c r="AE8" s="105" t="inlineStr">
        <is>
          <t>Revestimento 1</t>
        </is>
      </c>
      <c r="AF8" s="107" t="n">
        <v>4</v>
      </c>
      <c r="AG8" s="107" t="n">
        <v>0</v>
      </c>
      <c r="AH8" s="107" t="inlineStr">
        <is>
          <t>sim</t>
        </is>
      </c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39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39" t="n"/>
      <c r="K9" s="39" t="n"/>
      <c r="L9" s="105" t="inlineStr">
        <is>
          <t>Executor</t>
        </is>
      </c>
      <c r="M9" s="39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39" t="n"/>
      <c r="W9" s="107" t="n">
        <v>22</v>
      </c>
      <c r="X9" s="39" t="n"/>
      <c r="Y9" s="107" t="n">
        <v>17</v>
      </c>
      <c r="Z9" s="39" t="n"/>
      <c r="AA9" s="39" t="n"/>
      <c r="AB9" s="105" t="inlineStr">
        <is>
          <t>Prestidigitação</t>
        </is>
      </c>
      <c r="AC9" s="105" t="inlineStr">
        <is>
          <t>Destreza</t>
        </is>
      </c>
      <c r="AD9" s="39" t="n"/>
      <c r="AE9" s="105" t="inlineStr">
        <is>
          <t>Revestimento 2</t>
        </is>
      </c>
      <c r="AF9" s="107" t="n">
        <v>5</v>
      </c>
      <c r="AG9" s="107" t="n">
        <v>0</v>
      </c>
      <c r="AH9" s="107" t="inlineStr">
        <is>
          <t>sim</t>
        </is>
      </c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39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39" t="n"/>
      <c r="K10" s="39" t="n"/>
      <c r="L10" s="105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07" t="n">
        <v>26</v>
      </c>
      <c r="X10" s="39" t="n"/>
      <c r="Y10" s="107" t="n">
        <v>21</v>
      </c>
      <c r="Z10" s="39" t="n"/>
      <c r="AA10" s="39" t="n"/>
      <c r="AB10" s="105" t="inlineStr">
        <is>
          <t>Investigação</t>
        </is>
      </c>
      <c r="AC10" s="105" t="inlineStr">
        <is>
          <t>Inteligência</t>
        </is>
      </c>
      <c r="AD10" s="39" t="n"/>
      <c r="AE10" s="105" t="inlineStr">
        <is>
          <t>Revestimento 3</t>
        </is>
      </c>
      <c r="AF10" s="107" t="n">
        <v>6</v>
      </c>
      <c r="AG10" s="107" t="n">
        <v>0</v>
      </c>
      <c r="AH10" s="107" t="inlineStr">
        <is>
          <t>sim</t>
        </is>
      </c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39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39" t="n"/>
      <c r="J11" s="39" t="n"/>
      <c r="K11" s="39" t="n"/>
      <c r="L11" s="105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07" t="n">
        <v>30</v>
      </c>
      <c r="X11" s="39" t="n"/>
      <c r="Y11" s="107" t="n">
        <v>26</v>
      </c>
      <c r="Z11" s="39" t="n"/>
      <c r="AA11" s="39" t="n"/>
      <c r="AB11" s="105" t="inlineStr">
        <is>
          <t>Intuição</t>
        </is>
      </c>
      <c r="AC11" s="105" t="inlineStr">
        <is>
          <t>Inteligência</t>
        </is>
      </c>
      <c r="AD11" s="39" t="n"/>
      <c r="AE11" s="105" t="inlineStr">
        <is>
          <t>Broquel</t>
        </is>
      </c>
      <c r="AF11" s="107" t="n">
        <v>1</v>
      </c>
      <c r="AG11" s="107" t="n">
        <v>5</v>
      </c>
      <c r="AH11" s="107" t="inlineStr">
        <is>
          <t>não</t>
        </is>
      </c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39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Impedido</t>
        </is>
      </c>
      <c r="I12" s="39" t="n"/>
      <c r="J12" s="39" t="n"/>
      <c r="K12" s="39" t="n"/>
      <c r="L12" s="105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05" t="inlineStr">
        <is>
          <t>Ocultismo</t>
        </is>
      </c>
      <c r="AC12" s="105" t="inlineStr">
        <is>
          <t>Inteligência</t>
        </is>
      </c>
      <c r="AD12" s="39" t="n"/>
      <c r="AE12" s="105" t="inlineStr">
        <is>
          <t>Médio</t>
        </is>
      </c>
      <c r="AF12" s="107" t="n">
        <v>2</v>
      </c>
      <c r="AG12" s="107" t="n">
        <v>3</v>
      </c>
      <c r="AH12" s="107" t="inlineStr">
        <is>
          <t>não</t>
        </is>
      </c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39" t="n"/>
      <c r="B13" s="105" t="inlineStr">
        <is>
          <t>História</t>
        </is>
      </c>
      <c r="C13" s="105" t="inlineStr">
        <is>
          <t>Instrumento</t>
        </is>
      </c>
      <c r="D13" s="39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Cego</t>
        </is>
      </c>
      <c r="I13" s="39" t="n"/>
      <c r="J13" s="39" t="n"/>
      <c r="K13" s="39" t="n"/>
      <c r="L13" s="105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05" t="inlineStr">
        <is>
          <t>Religião</t>
        </is>
      </c>
      <c r="AC13" s="105" t="inlineStr">
        <is>
          <t>Inteligência</t>
        </is>
      </c>
      <c r="AD13" s="39" t="n"/>
      <c r="AE13" s="105" t="inlineStr">
        <is>
          <t>Torre</t>
        </is>
      </c>
      <c r="AF13" s="107" t="n">
        <v>3</v>
      </c>
      <c r="AG13" s="107" t="n">
        <v>1</v>
      </c>
      <c r="AH13" s="107" t="inlineStr">
        <is>
          <t>não</t>
        </is>
      </c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39" t="n"/>
      <c r="B14" s="105" t="inlineStr">
        <is>
          <t>Hierarquia</t>
        </is>
      </c>
      <c r="C14" s="105" t="inlineStr">
        <is>
          <t>Jogatina</t>
        </is>
      </c>
      <c r="D14" s="39" t="n"/>
      <c r="E14" s="39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Amedrontado</t>
        </is>
      </c>
      <c r="I14" s="39" t="n"/>
      <c r="J14" s="39" t="n"/>
      <c r="K14" s="39" t="n"/>
      <c r="L14" s="105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05" t="inlineStr">
        <is>
          <t>História</t>
        </is>
      </c>
      <c r="AC14" s="105" t="inlineStr">
        <is>
          <t>Inteligência</t>
        </is>
      </c>
      <c r="AD14" s="39" t="n"/>
      <c r="AE14" s="105" t="inlineStr">
        <is>
          <t>Traje 1 + Broquel</t>
        </is>
      </c>
      <c r="AF14" s="107" t="n">
        <v>2</v>
      </c>
      <c r="AG14" s="107" t="n">
        <v>5</v>
      </c>
      <c r="AH14" s="107" t="inlineStr">
        <is>
          <t>sim</t>
        </is>
      </c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39" t="n"/>
      <c r="B15" s="105" t="inlineStr">
        <is>
          <t>Medicina</t>
        </is>
      </c>
      <c r="C15" s="39" t="n"/>
      <c r="D15" s="39" t="n"/>
      <c r="E15" s="39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Envenenado</t>
        </is>
      </c>
      <c r="I15" s="39" t="n"/>
      <c r="J15" s="39" t="n"/>
      <c r="K15" s="39" t="n"/>
      <c r="L15" s="105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05" t="inlineStr">
        <is>
          <t>Hierarquia</t>
        </is>
      </c>
      <c r="AC15" s="105" t="inlineStr">
        <is>
          <t>Inteligência</t>
        </is>
      </c>
      <c r="AD15" s="39" t="n"/>
      <c r="AE15" s="105" t="inlineStr">
        <is>
          <t>Traje 1 + Médio</t>
        </is>
      </c>
      <c r="AF15" s="107" t="n">
        <v>3</v>
      </c>
      <c r="AG15" s="107" t="n">
        <v>3</v>
      </c>
      <c r="AH15" s="107" t="inlineStr">
        <is>
          <t>sim</t>
        </is>
      </c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39" t="n"/>
      <c r="B16" s="105" t="inlineStr">
        <is>
          <t>Sobrevivência</t>
        </is>
      </c>
      <c r="C16" s="39" t="n"/>
      <c r="D16" s="39" t="n"/>
      <c r="E16" s="39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Atordoado</t>
        </is>
      </c>
      <c r="I16" s="39" t="n"/>
      <c r="J16" s="39" t="n"/>
      <c r="K16" s="39" t="n"/>
      <c r="L16" s="105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05" t="inlineStr">
        <is>
          <t>Medicina</t>
        </is>
      </c>
      <c r="AC16" s="105" t="inlineStr">
        <is>
          <t>Inteligência</t>
        </is>
      </c>
      <c r="AD16" s="39" t="n"/>
      <c r="AE16" s="105" t="inlineStr">
        <is>
          <t>Traje 1 + Torre</t>
        </is>
      </c>
      <c r="AF16" s="107" t="n">
        <v>4</v>
      </c>
      <c r="AG16" s="107" t="n">
        <v>1</v>
      </c>
      <c r="AH16" s="107" t="inlineStr">
        <is>
          <t>sim</t>
        </is>
      </c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39" t="n"/>
      <c r="B17" s="105" t="inlineStr">
        <is>
          <t>Natureza</t>
        </is>
      </c>
      <c r="C17" s="39" t="n"/>
      <c r="D17" s="39" t="n"/>
      <c r="E17" s="39" t="n"/>
      <c r="F17" s="105" t="inlineStr">
        <is>
          <t>Salto</t>
        </is>
      </c>
      <c r="G17" s="105" t="inlineStr">
        <is>
          <t>Assinatura</t>
        </is>
      </c>
      <c r="H17" s="105" t="n"/>
      <c r="I17" s="39" t="n"/>
      <c r="J17" s="39" t="n"/>
      <c r="K17" s="39" t="n"/>
      <c r="L17" s="105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05" t="inlineStr">
        <is>
          <t>Sobrevivência</t>
        </is>
      </c>
      <c r="AC17" s="105" t="inlineStr">
        <is>
          <t>Inteligência</t>
        </is>
      </c>
      <c r="AD17" s="39" t="n"/>
      <c r="AE17" s="105" t="inlineStr">
        <is>
          <t>Traje 2 + Broquel</t>
        </is>
      </c>
      <c r="AF17" s="107" t="n">
        <v>3</v>
      </c>
      <c r="AG17" s="107" t="n">
        <v>5</v>
      </c>
      <c r="AH17" s="107" t="inlineStr">
        <is>
          <t>sim</t>
        </is>
      </c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39" t="n"/>
      <c r="B18" s="105" t="inlineStr">
        <is>
          <t>Lidar com Animais</t>
        </is>
      </c>
      <c r="C18" s="39" t="n"/>
      <c r="D18" s="39" t="n"/>
      <c r="E18" s="39" t="n"/>
      <c r="F18" s="105" t="inlineStr">
        <is>
          <t>Contorno</t>
        </is>
      </c>
      <c r="G18" s="105" t="inlineStr">
        <is>
          <t>Aquecer</t>
        </is>
      </c>
      <c r="H18" s="39" t="n"/>
      <c r="I18" s="39" t="n"/>
      <c r="J18" s="39" t="n"/>
      <c r="K18" s="39" t="n"/>
      <c r="L18" s="105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05" t="inlineStr">
        <is>
          <t>Natureza</t>
        </is>
      </c>
      <c r="AC18" s="105" t="inlineStr">
        <is>
          <t>Inteligência</t>
        </is>
      </c>
      <c r="AD18" s="39" t="n"/>
      <c r="AE18" s="105" t="inlineStr">
        <is>
          <t>Traje 2 + Médio</t>
        </is>
      </c>
      <c r="AF18" s="107" t="n">
        <v>4</v>
      </c>
      <c r="AG18" s="107" t="n">
        <v>3</v>
      </c>
      <c r="AH18" s="107" t="inlineStr">
        <is>
          <t>sim</t>
        </is>
      </c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39" t="n"/>
      <c r="B19" s="105" t="inlineStr">
        <is>
          <t>Tecnologia</t>
        </is>
      </c>
      <c r="C19" s="39" t="n"/>
      <c r="D19" s="39" t="n"/>
      <c r="E19" s="39" t="n"/>
      <c r="F19" s="105" t="inlineStr">
        <is>
          <t>Precisão</t>
        </is>
      </c>
      <c r="G19" s="105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05" t="inlineStr">
        <is>
          <t>Lidar com Animais</t>
        </is>
      </c>
      <c r="AC19" s="105" t="inlineStr">
        <is>
          <t>Inteligência</t>
        </is>
      </c>
      <c r="AD19" s="39" t="n"/>
      <c r="AE19" s="105" t="inlineStr">
        <is>
          <t>Traje 2 + Torre</t>
        </is>
      </c>
      <c r="AF19" s="107" t="n">
        <v>5</v>
      </c>
      <c r="AG19" s="107" t="n">
        <v>1</v>
      </c>
      <c r="AH19" s="107" t="inlineStr">
        <is>
          <t>sim</t>
        </is>
      </c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39" t="n"/>
      <c r="B20" s="105" t="inlineStr">
        <is>
          <t>Sentir Energia</t>
        </is>
      </c>
      <c r="C20" s="39" t="n"/>
      <c r="D20" s="39" t="n"/>
      <c r="E20" s="39" t="n"/>
      <c r="F20" s="105" t="inlineStr">
        <is>
          <t>Certeiro</t>
        </is>
      </c>
      <c r="G20" s="105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05" t="inlineStr">
        <is>
          <t>Tecnologia</t>
        </is>
      </c>
      <c r="AC20" s="105" t="inlineStr">
        <is>
          <t>Inteligência</t>
        </is>
      </c>
      <c r="AD20" s="39" t="n"/>
      <c r="AE20" s="105" t="inlineStr">
        <is>
          <t>Traje 3 + Broquel</t>
        </is>
      </c>
      <c r="AF20" s="107" t="n">
        <v>4</v>
      </c>
      <c r="AG20" s="107" t="n">
        <v>5</v>
      </c>
      <c r="AH20" s="107" t="inlineStr">
        <is>
          <t>sim</t>
        </is>
      </c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39" t="n"/>
      <c r="B21" s="105" t="inlineStr">
        <is>
          <t>Percepção</t>
        </is>
      </c>
      <c r="C21" s="39" t="n"/>
      <c r="D21" s="39" t="n"/>
      <c r="E21" s="39" t="n"/>
      <c r="F21" s="105" t="inlineStr">
        <is>
          <t>Inescapável</t>
        </is>
      </c>
      <c r="G21" s="105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05" t="inlineStr">
        <is>
          <t>Sentir Energia</t>
        </is>
      </c>
      <c r="AC21" s="105" t="inlineStr">
        <is>
          <t>Essência</t>
        </is>
      </c>
      <c r="AD21" s="39" t="n"/>
      <c r="AE21" s="105" t="inlineStr">
        <is>
          <t>Traje 3 + Médio</t>
        </is>
      </c>
      <c r="AF21" s="107" t="n">
        <v>5</v>
      </c>
      <c r="AG21" s="107" t="n">
        <v>3</v>
      </c>
      <c r="AH21" s="107" t="inlineStr">
        <is>
          <t>sim</t>
        </is>
      </c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39" t="n"/>
      <c r="B22" s="105" t="inlineStr">
        <is>
          <t>Persuasão</t>
        </is>
      </c>
      <c r="C22" s="39" t="n"/>
      <c r="D22" s="39" t="n"/>
      <c r="E22" s="39" t="n"/>
      <c r="F22" s="105" t="inlineStr">
        <is>
          <t>Fura</t>
        </is>
      </c>
      <c r="G22" s="105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05" t="inlineStr">
        <is>
          <t>Percepção</t>
        </is>
      </c>
      <c r="AC22" s="105" t="inlineStr">
        <is>
          <t>Essência</t>
        </is>
      </c>
      <c r="AD22" s="39" t="n"/>
      <c r="AE22" s="105" t="inlineStr">
        <is>
          <t>Traje 3 + Torre</t>
        </is>
      </c>
      <c r="AF22" s="107" t="n">
        <v>6</v>
      </c>
      <c r="AG22" s="107" t="n">
        <v>1</v>
      </c>
      <c r="AH22" s="107" t="inlineStr">
        <is>
          <t>sim</t>
        </is>
      </c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39" t="n"/>
      <c r="B23" s="105" t="inlineStr">
        <is>
          <t>Enganação</t>
        </is>
      </c>
      <c r="C23" s="39" t="n"/>
      <c r="D23" s="39" t="n"/>
      <c r="E23" s="39" t="n"/>
      <c r="F23" s="105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05" t="inlineStr">
        <is>
          <t>Persuasão</t>
        </is>
      </c>
      <c r="AC23" s="105" t="inlineStr">
        <is>
          <t>Essência</t>
        </is>
      </c>
      <c r="AD23" s="39" t="n"/>
      <c r="AE23" s="105" t="inlineStr">
        <is>
          <t>Revestimento 1 + Broquel</t>
        </is>
      </c>
      <c r="AF23" s="107" t="n">
        <v>5</v>
      </c>
      <c r="AG23" s="107" t="n">
        <v>0</v>
      </c>
      <c r="AH23" s="107" t="inlineStr">
        <is>
          <t>sim</t>
        </is>
      </c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39" t="n"/>
      <c r="B24" s="105" t="inlineStr">
        <is>
          <t>Intimidação</t>
        </is>
      </c>
      <c r="C24" s="39" t="n"/>
      <c r="D24" s="39" t="n"/>
      <c r="E24" s="39" t="n"/>
      <c r="F24" s="105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05" t="inlineStr">
        <is>
          <t>Enganação</t>
        </is>
      </c>
      <c r="AC24" s="105" t="inlineStr">
        <is>
          <t>Essência</t>
        </is>
      </c>
      <c r="AD24" s="39" t="n"/>
      <c r="AE24" s="105" t="inlineStr">
        <is>
          <t>Revestimento 1 + Médio</t>
        </is>
      </c>
      <c r="AF24" s="107" t="n">
        <v>6</v>
      </c>
      <c r="AG24" s="107" t="n">
        <v>0</v>
      </c>
      <c r="AH24" s="107" t="inlineStr">
        <is>
          <t>sim</t>
        </is>
      </c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39" t="n"/>
      <c r="B25" s="105" t="inlineStr">
        <is>
          <t>Atuação</t>
        </is>
      </c>
      <c r="C25" s="39" t="n"/>
      <c r="D25" s="39" t="n"/>
      <c r="E25" s="39" t="n"/>
      <c r="F25" s="105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05" t="inlineStr">
        <is>
          <t>Intimidação</t>
        </is>
      </c>
      <c r="AC25" s="105" t="inlineStr">
        <is>
          <t>Essência</t>
        </is>
      </c>
      <c r="AD25" s="39" t="n"/>
      <c r="AE25" s="105" t="inlineStr">
        <is>
          <t>Revestimento 1 + Torre</t>
        </is>
      </c>
      <c r="AF25" s="107" t="n">
        <v>7</v>
      </c>
      <c r="AG25" s="107" t="n">
        <v>0</v>
      </c>
      <c r="AH25" s="107" t="inlineStr">
        <is>
          <t>sim</t>
        </is>
      </c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39" t="n"/>
      <c r="B26" s="105" t="inlineStr">
        <is>
          <t>Provocar</t>
        </is>
      </c>
      <c r="C26" s="39" t="n"/>
      <c r="D26" s="39" t="n"/>
      <c r="E26" s="39" t="n"/>
      <c r="F26" s="105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05" t="inlineStr">
        <is>
          <t>Atuação</t>
        </is>
      </c>
      <c r="AC26" s="105" t="inlineStr">
        <is>
          <t>Essência</t>
        </is>
      </c>
      <c r="AD26" s="39" t="n"/>
      <c r="AE26" s="105" t="inlineStr">
        <is>
          <t>Revestimento 2 + Broquel</t>
        </is>
      </c>
      <c r="AF26" s="107" t="n">
        <v>6</v>
      </c>
      <c r="AG26" s="107" t="n">
        <v>0</v>
      </c>
      <c r="AH26" s="107" t="inlineStr">
        <is>
          <t>sim</t>
        </is>
      </c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39" t="n"/>
      <c r="B27" s="39" t="n"/>
      <c r="C27" s="39" t="n"/>
      <c r="D27" s="39" t="n"/>
      <c r="E27" s="39" t="n"/>
      <c r="F27" s="105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05" t="inlineStr">
        <is>
          <t>Provocar</t>
        </is>
      </c>
      <c r="AC27" s="105" t="inlineStr">
        <is>
          <t>Essência</t>
        </is>
      </c>
      <c r="AD27" s="39" t="n"/>
      <c r="AE27" s="105" t="inlineStr">
        <is>
          <t>Revestimento 2 + Médio</t>
        </is>
      </c>
      <c r="AF27" s="107" t="n">
        <v>7</v>
      </c>
      <c r="AG27" s="107" t="n">
        <v>0</v>
      </c>
      <c r="AH27" s="107" t="inlineStr">
        <is>
          <t>sim</t>
        </is>
      </c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39" t="n"/>
      <c r="B28" s="39" t="n"/>
      <c r="C28" s="39" t="n"/>
      <c r="D28" s="39" t="n"/>
      <c r="E28" s="39" t="n"/>
      <c r="F28" s="105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105" t="inlineStr">
        <is>
          <t>Revestimento 2 + Torre</t>
        </is>
      </c>
      <c r="AF28" s="107" t="n">
        <v>8</v>
      </c>
      <c r="AG28" s="107" t="n">
        <v>0</v>
      </c>
      <c r="AH28" s="107" t="inlineStr">
        <is>
          <t>sim</t>
        </is>
      </c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39" t="n"/>
      <c r="B29" s="39" t="n"/>
      <c r="C29" s="39" t="n"/>
      <c r="D29" s="39" t="n"/>
      <c r="E29" s="39" t="n"/>
      <c r="F29" s="105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105" t="inlineStr">
        <is>
          <t>Revestimento 3 + Broquel</t>
        </is>
      </c>
      <c r="AF29" s="107" t="n">
        <v>7</v>
      </c>
      <c r="AG29" s="107" t="n">
        <v>0</v>
      </c>
      <c r="AH29" s="107" t="inlineStr">
        <is>
          <t>sim</t>
        </is>
      </c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39" t="n"/>
      <c r="B30" s="39" t="n"/>
      <c r="C30" s="39" t="n"/>
      <c r="D30" s="39" t="n"/>
      <c r="E30" s="39" t="n"/>
      <c r="F30" s="105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105" t="inlineStr">
        <is>
          <t>Revestimento 3 + Médio</t>
        </is>
      </c>
      <c r="AF30" s="107" t="n">
        <v>8</v>
      </c>
      <c r="AG30" s="107" t="n">
        <v>0</v>
      </c>
      <c r="AH30" s="107" t="inlineStr">
        <is>
          <t>sim</t>
        </is>
      </c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39" t="n"/>
      <c r="B31" s="39" t="n"/>
      <c r="C31" s="39" t="n"/>
      <c r="D31" s="39" t="n"/>
      <c r="E31" s="39" t="n"/>
      <c r="F31" s="105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105" t="inlineStr">
        <is>
          <t>Revestimento 3 + Torre</t>
        </is>
      </c>
      <c r="AF31" s="107" t="n">
        <v>9</v>
      </c>
      <c r="AG31" s="107" t="n">
        <v>0</v>
      </c>
      <c r="AH31" s="107" t="inlineStr">
        <is>
          <t>sim</t>
        </is>
      </c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39" t="n"/>
      <c r="B32" s="39" t="n"/>
      <c r="C32" s="39" t="n"/>
      <c r="D32" s="39" t="n"/>
      <c r="E32" s="39" t="n"/>
      <c r="F32" s="105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39" t="n"/>
      <c r="B33" s="39" t="n"/>
      <c r="C33" s="39" t="n"/>
      <c r="D33" s="39" t="n"/>
      <c r="E33" s="39" t="n"/>
      <c r="F33" s="105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39" t="n"/>
      <c r="B34" s="39" t="n"/>
      <c r="C34" s="39" t="n"/>
      <c r="D34" s="39" t="n"/>
      <c r="E34" s="39" t="n"/>
      <c r="F34" s="105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39" t="n"/>
      <c r="B35" s="39" t="n"/>
      <c r="C35" s="39" t="n"/>
      <c r="D35" s="39" t="n"/>
      <c r="E35" s="39" t="n"/>
      <c r="F35" s="105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39" t="n"/>
      <c r="B36" s="39" t="n"/>
      <c r="C36" s="39" t="n"/>
      <c r="D36" s="39" t="n"/>
      <c r="E36" s="39" t="n"/>
      <c r="F36" s="105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39" t="n"/>
      <c r="B37" s="39" t="n"/>
      <c r="C37" s="39" t="n"/>
      <c r="D37" s="39" t="n"/>
      <c r="E37" s="39" t="n"/>
      <c r="F37" s="105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39" t="n"/>
      <c r="B38" s="39" t="n"/>
      <c r="C38" s="39" t="n"/>
      <c r="D38" s="39" t="n"/>
      <c r="E38" s="39" t="n"/>
      <c r="F38" s="105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39" t="n"/>
      <c r="B39" s="39" t="n"/>
      <c r="C39" s="39" t="n"/>
      <c r="D39" s="39" t="n"/>
      <c r="E39" s="39" t="n"/>
      <c r="F39" s="105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39" t="n"/>
      <c r="B40" s="39" t="n"/>
      <c r="C40" s="39" t="n"/>
      <c r="D40" s="39" t="n"/>
      <c r="E40" s="39" t="n"/>
      <c r="F40" s="105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39" t="n"/>
      <c r="B41" s="39" t="n"/>
      <c r="C41" s="39" t="n"/>
      <c r="D41" s="39" t="n"/>
      <c r="E41" s="39" t="n"/>
      <c r="F41" s="105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39" t="n"/>
      <c r="B42" s="39" t="n"/>
      <c r="C42" s="39" t="n"/>
      <c r="D42" s="39" t="n"/>
      <c r="E42" s="39" t="n"/>
      <c r="F42" s="105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39" t="n"/>
      <c r="B43" s="39" t="n"/>
      <c r="C43" s="39" t="n"/>
      <c r="D43" s="39" t="n"/>
      <c r="E43" s="39" t="n"/>
      <c r="F43" s="105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105" t="inlineStr">
        <is>
          <t>refino escolhido</t>
        </is>
      </c>
      <c r="BB43" s="105" t="inlineStr">
        <is>
          <t>AK37</t>
        </is>
      </c>
    </row>
    <row r="44" ht="17.25" customHeight="1">
      <c r="A44" s="39" t="n"/>
      <c r="B44" s="39" t="n"/>
      <c r="C44" s="39" t="n"/>
      <c r="D44" s="39" t="n"/>
      <c r="E44" s="39" t="n"/>
      <c r="F44" s="105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</row>
    <row r="45" ht="17.25" customHeight="1">
      <c r="A45" s="39" t="n"/>
      <c r="B45" s="39" t="n"/>
      <c r="C45" s="39" t="n"/>
      <c r="D45" s="39" t="n"/>
      <c r="E45" s="39" t="n"/>
      <c r="F45" s="105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</row>
    <row r="46" ht="17.25" customHeight="1">
      <c r="A46" s="39" t="n"/>
      <c r="B46" s="39" t="n"/>
      <c r="C46" s="39" t="n"/>
      <c r="D46" s="39" t="n"/>
      <c r="E46" s="39" t="n"/>
      <c r="F46" s="105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</row>
    <row r="47" ht="17.25" customHeight="1">
      <c r="A47" s="39" t="n"/>
      <c r="B47" s="39" t="n"/>
      <c r="C47" s="39" t="n"/>
      <c r="D47" s="39" t="n"/>
      <c r="E47" s="39" t="n"/>
      <c r="F47" s="105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</row>
    <row r="48" ht="17.25" customHeight="1">
      <c r="A48" s="39" t="n"/>
      <c r="B48" s="39" t="n"/>
      <c r="C48" s="39" t="n"/>
      <c r="D48" s="39" t="n"/>
      <c r="E48" s="39" t="n"/>
      <c r="F48" s="105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</row>
    <row r="49" ht="17.25" customHeight="1">
      <c r="A49" s="39" t="n"/>
      <c r="B49" s="39" t="n"/>
      <c r="C49" s="39" t="n"/>
      <c r="D49" s="39" t="n"/>
      <c r="E49" s="39" t="n"/>
      <c r="F49" s="105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</row>
    <row r="50" ht="17.25" customHeight="1">
      <c r="A50" s="39" t="n"/>
      <c r="B50" s="39" t="n"/>
      <c r="C50" s="39" t="n"/>
      <c r="D50" s="39" t="n"/>
      <c r="E50" s="39" t="n"/>
      <c r="F50" s="105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</row>
    <row r="51" ht="17.25" customHeight="1">
      <c r="A51" s="39" t="n"/>
      <c r="B51" s="39" t="n"/>
      <c r="C51" s="39" t="n"/>
      <c r="D51" s="39" t="n"/>
      <c r="E51" s="39" t="n"/>
      <c r="F51" s="105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</row>
    <row r="52" ht="17.25" customHeight="1">
      <c r="A52" s="39" t="n"/>
      <c r="B52" s="39" t="n"/>
      <c r="C52" s="39" t="n"/>
      <c r="D52" s="39" t="n"/>
      <c r="E52" s="39" t="n"/>
      <c r="F52" s="105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</row>
    <row r="53" ht="17.25" customHeight="1">
      <c r="A53" s="39" t="n"/>
      <c r="B53" s="39" t="n"/>
      <c r="C53" s="39" t="n"/>
      <c r="D53" s="39" t="n"/>
      <c r="E53" s="39" t="n"/>
      <c r="F53" s="105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</row>
    <row r="54" ht="17.25" customHeight="1">
      <c r="A54" s="39" t="n"/>
      <c r="B54" s="39" t="n"/>
      <c r="C54" s="39" t="n"/>
      <c r="D54" s="39" t="n"/>
      <c r="E54" s="39" t="n"/>
      <c r="F54" s="105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</row>
    <row r="55" ht="17.25" customHeight="1">
      <c r="A55" s="39" t="n"/>
      <c r="B55" s="39" t="n"/>
      <c r="C55" s="39" t="n"/>
      <c r="D55" s="39" t="n"/>
      <c r="E55" s="39" t="n"/>
      <c r="F55" s="105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</row>
    <row r="56" ht="17.25" customHeight="1">
      <c r="A56" s="39" t="n"/>
      <c r="B56" s="39" t="n"/>
      <c r="C56" s="39" t="n"/>
      <c r="D56" s="39" t="n"/>
      <c r="E56" s="39" t="n"/>
      <c r="F56" s="105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</row>
    <row r="57" ht="17.25" customHeight="1">
      <c r="A57" s="39" t="n"/>
      <c r="B57" s="39" t="n"/>
      <c r="C57" s="39" t="n"/>
      <c r="D57" s="39" t="n"/>
      <c r="E57" s="39" t="n"/>
      <c r="F57" s="105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</row>
    <row r="58" ht="17.25" customHeight="1">
      <c r="A58" s="39" t="n"/>
      <c r="B58" s="39" t="n"/>
      <c r="C58" s="39" t="n"/>
      <c r="D58" s="39" t="n"/>
      <c r="E58" s="39" t="n"/>
      <c r="F58" s="105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</row>
    <row r="59" ht="17.25" customHeight="1">
      <c r="A59" s="39" t="n"/>
      <c r="B59" s="39" t="n"/>
      <c r="C59" s="39" t="n"/>
      <c r="D59" s="39" t="n"/>
      <c r="E59" s="39" t="n"/>
      <c r="F59" s="105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</row>
    <row r="60" ht="17.25" customHeight="1">
      <c r="A60" s="39" t="n"/>
      <c r="B60" s="39" t="n"/>
      <c r="C60" s="39" t="n"/>
      <c r="D60" s="39" t="n"/>
      <c r="E60" s="39" t="n"/>
      <c r="F60" s="105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</row>
    <row r="61" ht="17.25" customHeight="1">
      <c r="A61" s="39" t="n"/>
      <c r="B61" s="39" t="n"/>
      <c r="C61" s="39" t="n"/>
      <c r="D61" s="39" t="n"/>
      <c r="E61" s="39" t="n"/>
      <c r="F61" s="105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</row>
    <row r="62" ht="17.25" customHeight="1">
      <c r="A62" s="39" t="n"/>
      <c r="B62" s="39" t="n"/>
      <c r="C62" s="39" t="n"/>
      <c r="D62" s="39" t="n"/>
      <c r="E62" s="39" t="n"/>
      <c r="F62" s="105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</row>
    <row r="63" ht="17.25" customHeight="1">
      <c r="A63" s="39" t="n"/>
      <c r="B63" s="39" t="n"/>
      <c r="C63" s="39" t="n"/>
      <c r="D63" s="39" t="n"/>
      <c r="E63" s="39" t="n"/>
      <c r="F63" s="105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</row>
    <row r="64" ht="17.25" customHeight="1">
      <c r="A64" s="39" t="n"/>
      <c r="B64" s="39" t="n"/>
      <c r="C64" s="39" t="n"/>
      <c r="D64" s="39" t="n"/>
      <c r="E64" s="39" t="n"/>
      <c r="F64" s="105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</row>
    <row r="65" ht="17.25" customHeight="1">
      <c r="A65" s="39" t="n"/>
      <c r="B65" s="39" t="n"/>
      <c r="C65" s="39" t="n"/>
      <c r="D65" s="39" t="n"/>
      <c r="E65" s="39" t="n"/>
      <c r="F65" s="105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</row>
    <row r="66" ht="17.25" customHeight="1">
      <c r="A66" s="39" t="n"/>
      <c r="B66" s="39" t="n"/>
      <c r="C66" s="39" t="n"/>
      <c r="D66" s="39" t="n"/>
      <c r="E66" s="39" t="n"/>
      <c r="F66" s="105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</row>
    <row r="67" ht="17.25" customHeight="1">
      <c r="A67" s="39" t="n"/>
      <c r="B67" s="39" t="n"/>
      <c r="C67" s="39" t="n"/>
      <c r="D67" s="39" t="n"/>
      <c r="E67" s="39" t="n"/>
      <c r="F67" s="105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</row>
    <row r="68" ht="17.25" customHeight="1">
      <c r="A68" s="39" t="n"/>
      <c r="B68" s="39" t="n"/>
      <c r="C68" s="39" t="n"/>
      <c r="D68" s="39" t="n"/>
      <c r="E68" s="39" t="n"/>
      <c r="F68" s="105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</row>
    <row r="69" ht="17.25" customHeight="1">
      <c r="A69" s="39" t="n"/>
      <c r="B69" s="39" t="n"/>
      <c r="C69" s="39" t="n"/>
      <c r="D69" s="39" t="n"/>
      <c r="E69" s="39" t="n"/>
      <c r="F69" s="105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8" t="n"/>
      <c r="B1" s="109" t="n"/>
      <c r="C1" s="110" t="n"/>
      <c r="D1" s="11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8" t="n"/>
      <c r="B2" s="109" t="n"/>
      <c r="C2" s="11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8" t="n"/>
      <c r="B3" s="108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</row>
    <row r="4" ht="15" customHeight="1">
      <c r="A4" s="108" t="n"/>
      <c r="B4" s="108" t="n"/>
      <c r="C4" s="114" t="n"/>
      <c r="D4" s="60" t="inlineStr">
        <is>
          <t>1</t>
        </is>
      </c>
      <c r="E4" s="13" t="n"/>
      <c r="F4" s="14" t="n"/>
      <c r="G4" s="78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</row>
    <row r="5" ht="15" customHeight="1">
      <c r="A5" s="108" t="n"/>
      <c r="B5" s="108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</row>
    <row r="6" ht="15" customHeight="1">
      <c r="A6" s="108" t="n"/>
      <c r="B6" s="108" t="n"/>
      <c r="C6" s="114" t="n"/>
      <c r="D6" s="50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15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0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0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8" t="n"/>
      <c r="B7" s="108" t="n"/>
      <c r="C7" s="114" t="n"/>
      <c r="D7" s="116">
        <f>FICHA!AH11</f>
        <v/>
      </c>
      <c r="M7" s="16" t="n"/>
      <c r="N7" s="114" t="n"/>
      <c r="O7" s="68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16">
        <f>FICHA!AB17</f>
        <v/>
      </c>
      <c r="AI7" s="16" t="n"/>
      <c r="AJ7" s="114" t="n"/>
      <c r="AK7" s="117">
        <f>(1+COUNTIF(DADOS_INV!$AH$3:$AH$5,"&lt;="&amp;$D$7))</f>
        <v/>
      </c>
      <c r="AT7" s="16" t="n"/>
    </row>
    <row r="8" ht="15" customHeight="1">
      <c r="A8" s="43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</row>
    <row r="10" ht="15" customHeight="1">
      <c r="C10" s="114" t="n"/>
      <c r="D10" s="115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0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</row>
    <row r="11" ht="26.25" customHeight="1">
      <c r="C11" s="114" t="n"/>
      <c r="D11" s="7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17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</row>
    <row r="13" ht="15" customHeight="1">
      <c r="C13" s="114" t="n"/>
      <c r="D13" s="103" t="n"/>
    </row>
    <row r="14" ht="15" customHeight="1">
      <c r="C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</row>
    <row r="16" ht="15" customHeight="1">
      <c r="C16" s="114" t="n"/>
      <c r="D16" s="60" t="inlineStr">
        <is>
          <t>2</t>
        </is>
      </c>
      <c r="E16" s="13" t="n"/>
      <c r="F16" s="14" t="n"/>
      <c r="G16" s="78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</row>
    <row r="18" ht="15" customHeight="1">
      <c r="C18" s="114" t="n"/>
      <c r="D18" s="50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0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0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14" t="n"/>
      <c r="D19" s="118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7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7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</row>
    <row r="21" ht="15" customHeight="1">
      <c r="C21" s="114" t="n"/>
      <c r="D21" s="50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19" t="n"/>
    </row>
    <row r="22" ht="27" customHeight="1">
      <c r="C22" s="114" t="n"/>
      <c r="D22" s="120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21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15" customHeight="1">
      <c r="C24" s="114" t="n"/>
      <c r="D24" s="103" t="n"/>
    </row>
    <row r="25" ht="15" customHeight="1">
      <c r="C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</row>
    <row r="27" ht="15" customHeight="1">
      <c r="A27" s="108" t="n"/>
      <c r="B27" s="108" t="n"/>
      <c r="C27" s="114" t="n"/>
      <c r="D27" s="60" t="inlineStr">
        <is>
          <t>3</t>
        </is>
      </c>
      <c r="E27" s="13" t="n"/>
      <c r="F27" s="14" t="n"/>
      <c r="G27" s="78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</row>
    <row r="28" ht="15" customHeight="1">
      <c r="A28" s="108" t="n"/>
      <c r="B28" s="108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</row>
    <row r="29" ht="15" customHeight="1">
      <c r="A29" s="108" t="n"/>
      <c r="B29" s="108" t="n"/>
      <c r="C29" s="114" t="n"/>
      <c r="D29" s="50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0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0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0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0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</row>
    <row r="30" ht="15" customHeight="1">
      <c r="A30" s="43" t="inlineStr">
        <is>
          <t>PROJETO - M</t>
        </is>
      </c>
      <c r="C30" s="114" t="n"/>
      <c r="D30" s="63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3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3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3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3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</row>
    <row r="32" ht="15" customHeight="1">
      <c r="C32" s="114" t="n"/>
      <c r="D32" s="65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65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65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65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65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</row>
    <row r="34" ht="15" customHeight="1">
      <c r="C34" s="114" t="n"/>
      <c r="D34" s="50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0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0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14" t="n"/>
      <c r="D35" s="122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22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23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</row>
    <row r="37" ht="15" customHeight="1">
      <c r="C37" s="114" t="n"/>
      <c r="D37" s="103" t="inlineStr">
        <is>
          <t>Distribua 9 pontos, nenhum acima de 3. A cada marco ela ganha 1 ponto, até o teto de 6. É a mesma regra da sua ficha.</t>
        </is>
      </c>
    </row>
    <row r="38" ht="15" customHeight="1">
      <c r="C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</row>
    <row r="40" ht="15" customHeight="1">
      <c r="C40" s="114" t="n"/>
      <c r="D40" s="60" t="inlineStr">
        <is>
          <t>4</t>
        </is>
      </c>
      <c r="E40" s="13" t="n"/>
      <c r="F40" s="14" t="n"/>
      <c r="G40" s="78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</row>
    <row r="42" ht="15" customHeight="1">
      <c r="C42" s="114" t="n"/>
      <c r="D42" s="50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0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0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0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14" t="n"/>
      <c r="D43" s="7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7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7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7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</row>
    <row r="45" ht="15" customHeight="1">
      <c r="C45" s="114" t="n"/>
      <c r="D45" s="50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0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0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</row>
    <row r="46" ht="25.5" customHeight="1">
      <c r="C46" s="114" t="n"/>
      <c r="D46" s="120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7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7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</row>
    <row r="48" ht="15" customHeight="1">
      <c r="C48" s="114" t="n"/>
      <c r="D48" s="119" t="inlineStr">
        <is>
          <t>TESTES DE RESISTÊNCIA · ela treina um, e você escolhe qual no campo acima</t>
        </is>
      </c>
    </row>
    <row r="49" ht="15" customHeight="1">
      <c r="A49" s="108" t="n"/>
      <c r="B49" s="108" t="n"/>
      <c r="C49" s="114" t="n"/>
      <c r="D49" s="124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25" t="inlineStr">
        <is>
          <t>Extra</t>
        </is>
      </c>
      <c r="L49" s="50" t="inlineStr">
        <is>
          <t>USA</t>
        </is>
      </c>
      <c r="M49" s="10" t="n"/>
      <c r="N49" s="10" t="n"/>
      <c r="O49" s="10" t="n"/>
      <c r="P49" s="11" t="n"/>
      <c r="Q49" s="12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4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25" t="inlineStr">
        <is>
          <t>Extra</t>
        </is>
      </c>
      <c r="AH49" s="50" t="inlineStr">
        <is>
          <t>USA</t>
        </is>
      </c>
      <c r="AI49" s="10" t="n"/>
      <c r="AJ49" s="10" t="n"/>
      <c r="AK49" s="10" t="n"/>
      <c r="AL49" s="11" t="n"/>
      <c r="AM49" s="12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8" t="n"/>
      <c r="B50" s="108" t="n"/>
      <c r="C50" s="114" t="n"/>
      <c r="D50" s="8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5" t="n"/>
      <c r="L50" s="127" t="inlineStr">
        <is>
          <t>For ou Des</t>
        </is>
      </c>
      <c r="M50" s="10" t="n"/>
      <c r="N50" s="10" t="n"/>
      <c r="O50" s="10" t="n"/>
      <c r="P50" s="11" t="n"/>
      <c r="Q50" s="12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8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5" t="n"/>
      <c r="AH50" s="127" t="inlineStr">
        <is>
          <t>Con</t>
        </is>
      </c>
      <c r="AI50" s="10" t="n"/>
      <c r="AJ50" s="10" t="n"/>
      <c r="AK50" s="10" t="n"/>
      <c r="AL50" s="11" t="n"/>
      <c r="AM50" s="12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</row>
    <row r="51" ht="15" customHeight="1">
      <c r="A51" s="108" t="n"/>
      <c r="B51" s="108" t="n"/>
      <c r="C51" s="114" t="n"/>
      <c r="D51" s="13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31" t="n"/>
      <c r="L51" s="20" t="inlineStr">
        <is>
          <t>Int</t>
        </is>
      </c>
      <c r="M51" s="10" t="n"/>
      <c r="N51" s="10" t="n"/>
      <c r="O51" s="10" t="n"/>
      <c r="P51" s="11" t="n"/>
      <c r="Q51" s="132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3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31" t="n"/>
      <c r="AH51" s="20" t="inlineStr">
        <is>
          <t>Ess</t>
        </is>
      </c>
      <c r="AI51" s="10" t="n"/>
      <c r="AJ51" s="10" t="n"/>
      <c r="AK51" s="10" t="n"/>
      <c r="AL51" s="11" t="n"/>
      <c r="AM51" s="132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</row>
    <row r="52" ht="15" customHeight="1">
      <c r="A52" s="108" t="n"/>
      <c r="B52" s="108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</row>
    <row r="53" ht="15" customHeight="1">
      <c r="A53" s="108" t="n"/>
      <c r="B53" s="108" t="n"/>
      <c r="C53" s="114" t="n"/>
      <c r="D53" s="103" t="n"/>
    </row>
    <row r="54" ht="15" customHeight="1">
      <c r="A54" s="108" t="n"/>
      <c r="B54" s="108" t="n"/>
      <c r="C54" s="114" t="n"/>
    </row>
    <row r="55" ht="15" customHeight="1">
      <c r="A55" s="108" t="n"/>
      <c r="B55" s="108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</row>
    <row r="56" ht="15" customHeight="1">
      <c r="A56" s="108" t="n"/>
      <c r="B56" s="108" t="n"/>
      <c r="C56" s="114" t="n"/>
      <c r="D56" s="60" t="inlineStr">
        <is>
          <t>5</t>
        </is>
      </c>
      <c r="E56" s="13" t="n"/>
      <c r="F56" s="14" t="n"/>
      <c r="G56" s="78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</row>
    <row r="57" ht="15" customHeight="1">
      <c r="A57" s="108" t="n"/>
      <c r="B57" s="108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</row>
    <row r="58" ht="15" customHeight="1">
      <c r="A58" s="108" t="n"/>
      <c r="B58" s="108" t="n"/>
      <c r="C58" s="114" t="n"/>
      <c r="D58" s="50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0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0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0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8" t="n"/>
      <c r="B59" s="108" t="n"/>
      <c r="C59" s="114" t="n"/>
      <c r="D59" s="68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68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7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7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8" t="n"/>
      <c r="B60" s="108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8" t="n"/>
      <c r="B61" s="108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</row>
    <row r="62" ht="15" customHeight="1">
      <c r="A62" s="108" t="n"/>
      <c r="B62" s="108" t="n"/>
      <c r="C62" s="114" t="n"/>
      <c r="D62" s="124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33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8" t="n"/>
      <c r="B63" s="108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</row>
    <row r="64" ht="15" customHeight="1">
      <c r="A64" s="108" t="n"/>
      <c r="B64" s="108" t="n"/>
      <c r="C64" s="114" t="n"/>
      <c r="D64" s="115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0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15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</row>
    <row r="65" ht="26.25" customHeight="1">
      <c r="A65" s="108" t="n"/>
      <c r="B65" s="108" t="n"/>
      <c r="C65" s="114" t="n"/>
      <c r="D65" s="7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17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7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</row>
    <row r="66" ht="15" customHeight="1">
      <c r="A66" s="108" t="n"/>
      <c r="B66" s="108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</row>
    <row r="67" ht="15" customHeight="1">
      <c r="A67" s="108" t="n"/>
      <c r="B67" s="108" t="n"/>
      <c r="C67" s="114" t="n"/>
      <c r="D67" s="134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8" t="n"/>
      <c r="B68" s="108" t="n"/>
      <c r="C68" s="114" t="n"/>
      <c r="D68" s="135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8" t="n"/>
      <c r="B69" s="108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8" t="n"/>
      <c r="B70" s="108" t="n"/>
      <c r="C70" s="114" t="n"/>
      <c r="D70" s="103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8" t="n"/>
      <c r="B71" s="108" t="n"/>
      <c r="C71" s="114" t="n"/>
    </row>
    <row r="72" ht="15" customHeight="1">
      <c r="A72" s="108" t="n"/>
      <c r="B72" s="108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</row>
    <row r="73" ht="15" customHeight="1">
      <c r="A73" s="108" t="n"/>
      <c r="B73" s="108" t="n"/>
      <c r="C73" s="114" t="n"/>
      <c r="D73" s="60" t="inlineStr">
        <is>
          <t>6</t>
        </is>
      </c>
      <c r="E73" s="13" t="n"/>
      <c r="F73" s="14" t="n"/>
      <c r="G73" s="78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</row>
    <row r="74" ht="15" customHeight="1">
      <c r="A74" s="108" t="n"/>
      <c r="B74" s="108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</row>
    <row r="75" ht="15" customHeight="1">
      <c r="A75" s="108" t="n"/>
      <c r="B75" s="108" t="n"/>
      <c r="C75" s="114" t="n"/>
      <c r="D75" s="50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</row>
    <row r="76" ht="15" customHeight="1">
      <c r="A76" s="108" t="n"/>
      <c r="B76" s="108" t="n"/>
      <c r="C76" s="114" t="n"/>
      <c r="D76" s="68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</row>
    <row r="77" ht="15" customHeight="1">
      <c r="A77" s="108" t="n"/>
      <c r="B77" s="108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</row>
    <row r="78" ht="15" customHeight="1">
      <c r="A78" s="108" t="n"/>
      <c r="B78" s="108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</row>
    <row r="79" ht="15" customHeight="1">
      <c r="A79" s="108" t="n"/>
      <c r="B79" s="108" t="n"/>
      <c r="C79" s="114" t="n"/>
      <c r="D79" s="136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7" t="inlineStr">
        <is>
          <t>DEGRAU</t>
        </is>
      </c>
      <c r="P79" s="10" t="n"/>
      <c r="Q79" s="10" t="n"/>
      <c r="R79" s="10" t="n"/>
      <c r="S79" s="138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36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7" t="inlineStr">
        <is>
          <t>DEGRAU</t>
        </is>
      </c>
      <c r="AL79" s="10" t="n"/>
      <c r="AM79" s="10" t="n"/>
      <c r="AN79" s="10" t="n"/>
      <c r="AO79" s="138" t="inlineStr">
        <is>
          <t>PONTOS</t>
        </is>
      </c>
      <c r="AP79" s="10" t="n"/>
      <c r="AQ79" s="10" t="n"/>
      <c r="AR79" s="10" t="n"/>
      <c r="AS79" s="11" t="n"/>
      <c r="AT79" s="114" t="n"/>
    </row>
    <row r="80" ht="15" customHeight="1">
      <c r="A80" s="108" t="n"/>
      <c r="B80" s="108" t="n"/>
      <c r="C80" s="114" t="n"/>
      <c r="D80" s="8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9" t="inlineStr">
        <is>
          <t>—</t>
        </is>
      </c>
      <c r="P80" s="10" t="n"/>
      <c r="Q80" s="10" t="n"/>
      <c r="R80" s="11" t="n"/>
      <c r="S80" s="140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8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9" t="inlineStr">
        <is>
          <t>—</t>
        </is>
      </c>
      <c r="AL80" s="10" t="n"/>
      <c r="AM80" s="10" t="n"/>
      <c r="AN80" s="11" t="n"/>
      <c r="AO80" s="140">
        <f>IFERROR(VLOOKUP($Z$80,DADOS_INV!$W$3:$X$10,2,FALSE),N($AK80))</f>
        <v/>
      </c>
      <c r="AP80" s="10" t="n"/>
      <c r="AQ80" s="10" t="n"/>
      <c r="AR80" s="10" t="n"/>
      <c r="AS80" s="11" t="n"/>
      <c r="AT80" s="114" t="n"/>
    </row>
    <row r="81" ht="15" customHeight="1">
      <c r="A81" s="108" t="n"/>
      <c r="B81" s="108" t="n"/>
      <c r="C81" s="114" t="n"/>
      <c r="D81" s="13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1" t="inlineStr">
        <is>
          <t>—</t>
        </is>
      </c>
      <c r="P81" s="10" t="n"/>
      <c r="Q81" s="10" t="n"/>
      <c r="R81" s="11" t="n"/>
      <c r="S81" s="142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3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1" t="inlineStr">
        <is>
          <t>—</t>
        </is>
      </c>
      <c r="AL81" s="10" t="n"/>
      <c r="AM81" s="10" t="n"/>
      <c r="AN81" s="11" t="n"/>
      <c r="AO81" s="142">
        <f>IFERROR(VLOOKUP($Z$81,DADOS_INV!$W$3:$X$10,2,FALSE),N($AK81))</f>
        <v/>
      </c>
      <c r="AP81" s="10" t="n"/>
      <c r="AQ81" s="10" t="n"/>
      <c r="AR81" s="10" t="n"/>
      <c r="AS81" s="11" t="n"/>
      <c r="AT81" s="114" t="n"/>
    </row>
    <row r="82" ht="15" customHeight="1">
      <c r="A82" s="108" t="n"/>
      <c r="B82" s="108" t="n"/>
      <c r="C82" s="114" t="n"/>
      <c r="D82" s="8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9" t="inlineStr">
        <is>
          <t>—</t>
        </is>
      </c>
      <c r="P82" s="10" t="n"/>
      <c r="Q82" s="10" t="n"/>
      <c r="R82" s="11" t="n"/>
      <c r="S82" s="140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8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9" t="inlineStr">
        <is>
          <t>—</t>
        </is>
      </c>
      <c r="AL82" s="10" t="n"/>
      <c r="AM82" s="10" t="n"/>
      <c r="AN82" s="11" t="n"/>
      <c r="AO82" s="140">
        <f>IFERROR(VLOOKUP($Z$82,DADOS_INV!$W$3:$X$10,2,FALSE),N($AK82))</f>
        <v/>
      </c>
      <c r="AP82" s="10" t="n"/>
      <c r="AQ82" s="10" t="n"/>
      <c r="AR82" s="10" t="n"/>
      <c r="AS82" s="11" t="n"/>
      <c r="AT82" s="114" t="n"/>
    </row>
    <row r="83" ht="15" customHeight="1">
      <c r="A83" s="108" t="n"/>
      <c r="B83" s="108" t="n"/>
      <c r="C83" s="114" t="n"/>
      <c r="D83" s="13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1" t="inlineStr">
        <is>
          <t>—</t>
        </is>
      </c>
      <c r="P83" s="10" t="n"/>
      <c r="Q83" s="10" t="n"/>
      <c r="R83" s="11" t="n"/>
      <c r="S83" s="142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3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1" t="inlineStr">
        <is>
          <t>—</t>
        </is>
      </c>
      <c r="AL83" s="10" t="n"/>
      <c r="AM83" s="10" t="n"/>
      <c r="AN83" s="11" t="n"/>
      <c r="AO83" s="142">
        <f>IFERROR(VLOOKUP($Z$83,DADOS_INV!$W$3:$X$10,2,FALSE),N($AK83))</f>
        <v/>
      </c>
      <c r="AP83" s="10" t="n"/>
      <c r="AQ83" s="10" t="n"/>
      <c r="AR83" s="10" t="n"/>
      <c r="AS83" s="11" t="n"/>
      <c r="AT83" s="114" t="n"/>
    </row>
    <row r="84" ht="15" customHeight="1">
      <c r="A84" s="108" t="n"/>
      <c r="B84" s="108" t="n"/>
      <c r="C84" s="114" t="n"/>
      <c r="D84" s="8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9" t="inlineStr">
        <is>
          <t>—</t>
        </is>
      </c>
      <c r="P84" s="10" t="n"/>
      <c r="Q84" s="10" t="n"/>
      <c r="R84" s="11" t="n"/>
      <c r="S84" s="140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8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9" t="inlineStr">
        <is>
          <t>—</t>
        </is>
      </c>
      <c r="AL84" s="10" t="n"/>
      <c r="AM84" s="10" t="n"/>
      <c r="AN84" s="11" t="n"/>
      <c r="AO84" s="140">
        <f>IFERROR(VLOOKUP($Z$84,DADOS_INV!$W$3:$X$10,2,FALSE),N($AK84))</f>
        <v/>
      </c>
      <c r="AP84" s="10" t="n"/>
      <c r="AQ84" s="10" t="n"/>
      <c r="AR84" s="10" t="n"/>
      <c r="AS84" s="11" t="n"/>
      <c r="AT84" s="114" t="n"/>
    </row>
    <row r="85" ht="15" customHeight="1">
      <c r="A85" s="108" t="n"/>
      <c r="B85" s="108" t="n"/>
      <c r="C85" s="114" t="n"/>
      <c r="D85" s="13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1" t="inlineStr">
        <is>
          <t>—</t>
        </is>
      </c>
      <c r="P85" s="10" t="n"/>
      <c r="Q85" s="10" t="n"/>
      <c r="R85" s="11" t="n"/>
      <c r="S85" s="142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3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1" t="inlineStr">
        <is>
          <t>—</t>
        </is>
      </c>
      <c r="AL85" s="10" t="n"/>
      <c r="AM85" s="10" t="n"/>
      <c r="AN85" s="11" t="n"/>
      <c r="AO85" s="142">
        <f>IFERROR(VLOOKUP($Z$85,DADOS_INV!$W$3:$X$10,2,FALSE),N($AK85))</f>
        <v/>
      </c>
      <c r="AP85" s="10" t="n"/>
      <c r="AQ85" s="10" t="n"/>
      <c r="AR85" s="10" t="n"/>
      <c r="AS85" s="11" t="n"/>
      <c r="AT85" s="114" t="n"/>
    </row>
    <row r="86" ht="15" customHeight="1">
      <c r="A86" s="108" t="n"/>
      <c r="B86" s="108" t="n"/>
      <c r="C86" s="114" t="n"/>
      <c r="D86" s="8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9" t="inlineStr">
        <is>
          <t>—</t>
        </is>
      </c>
      <c r="P86" s="10" t="n"/>
      <c r="Q86" s="10" t="n"/>
      <c r="R86" s="11" t="n"/>
      <c r="S86" s="140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</row>
    <row r="87" ht="15" customHeight="1">
      <c r="A87" s="108" t="n"/>
      <c r="B87" s="108" t="n"/>
      <c r="C87" s="114" t="n"/>
      <c r="D87" s="13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1" t="inlineStr">
        <is>
          <t>—</t>
        </is>
      </c>
      <c r="P87" s="10" t="n"/>
      <c r="Q87" s="10" t="n"/>
      <c r="R87" s="11" t="n"/>
      <c r="S87" s="142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</row>
    <row r="88" ht="15" customHeight="1">
      <c r="A88" s="108" t="n"/>
      <c r="B88" s="108" t="n"/>
      <c r="C88" s="114" t="n"/>
      <c r="D88" s="8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9" t="inlineStr">
        <is>
          <t>—</t>
        </is>
      </c>
      <c r="P88" s="10" t="n"/>
      <c r="Q88" s="10" t="n"/>
      <c r="R88" s="11" t="n"/>
      <c r="S88" s="140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</row>
    <row r="89" ht="15" customHeight="1">
      <c r="A89" s="108" t="n"/>
      <c r="B89" s="108" t="n"/>
      <c r="C89" s="114" t="n"/>
      <c r="D89" s="143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</row>
    <row r="90" ht="15" customHeight="1">
      <c r="A90" s="108" t="n"/>
      <c r="B90" s="108" t="n"/>
      <c r="C90" s="114" t="n"/>
      <c r="D90" s="52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2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</row>
    <row r="91" ht="26.25" customHeight="1">
      <c r="A91" s="108" t="n"/>
      <c r="B91" s="108" t="n"/>
      <c r="C91" s="114" t="n"/>
      <c r="D91" s="7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44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</row>
    <row r="92" ht="15" customHeight="1">
      <c r="A92" s="108" t="n"/>
      <c r="B92" s="108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</row>
    <row r="93" ht="15" customHeight="1">
      <c r="A93" s="108" t="n"/>
      <c r="B93" s="108" t="n"/>
      <c r="C93" s="114" t="n"/>
      <c r="D93" s="103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8" t="n"/>
      <c r="B94" s="108" t="n"/>
      <c r="C94" s="114" t="n"/>
    </row>
    <row r="95" ht="15" customHeight="1">
      <c r="A95" s="108" t="n"/>
      <c r="B95" s="108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</row>
    <row r="96" ht="15" customHeight="1">
      <c r="A96" s="108" t="n"/>
      <c r="B96" s="108" t="n"/>
      <c r="C96" s="114" t="n"/>
      <c r="D96" s="60" t="inlineStr">
        <is>
          <t>7</t>
        </is>
      </c>
      <c r="E96" s="13" t="n"/>
      <c r="F96" s="14" t="n"/>
      <c r="G96" s="78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</row>
    <row r="97" ht="15" customHeight="1">
      <c r="A97" s="108" t="n"/>
      <c r="B97" s="108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</row>
    <row r="98" ht="15" customHeight="1">
      <c r="A98" s="108" t="n"/>
      <c r="B98" s="108" t="n"/>
      <c r="C98" s="114" t="n"/>
      <c r="D98" s="115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0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8" t="n"/>
      <c r="B99" s="108" t="n"/>
      <c r="C99" s="114" t="n"/>
      <c r="D99" s="68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72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8" t="n"/>
      <c r="B100" s="108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8" t="n"/>
      <c r="B101" s="108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</row>
    <row r="102" ht="15" customHeight="1">
      <c r="A102" s="108" t="n"/>
      <c r="B102" s="108" t="n"/>
      <c r="C102" s="114" t="n"/>
      <c r="D102" s="103" t="n"/>
    </row>
    <row r="103" ht="15" customHeight="1">
      <c r="A103" s="108" t="n"/>
      <c r="B103" s="108" t="n"/>
      <c r="C103" s="114" t="n"/>
    </row>
    <row r="104" ht="15" customHeight="1">
      <c r="A104" s="108" t="n"/>
      <c r="B104" s="108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</row>
    <row r="105" ht="15" customHeight="1">
      <c r="A105" s="108" t="n"/>
      <c r="B105" s="108" t="n"/>
      <c r="C105" s="114" t="n"/>
      <c r="D105" s="60" t="inlineStr">
        <is>
          <t>8</t>
        </is>
      </c>
      <c r="E105" s="13" t="n"/>
      <c r="F105" s="14" t="n"/>
      <c r="G105" s="78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</row>
    <row r="106" ht="15" customHeight="1">
      <c r="A106" s="108" t="n"/>
      <c r="B106" s="108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</row>
    <row r="107" ht="15" customHeight="1">
      <c r="A107" s="108" t="n"/>
      <c r="B107" s="108" t="n"/>
      <c r="C107" s="114" t="n"/>
      <c r="D107" s="145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46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8" t="n"/>
      <c r="B108" s="108" t="n"/>
      <c r="C108" s="114" t="n"/>
      <c r="D108" s="147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8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8" t="n"/>
      <c r="B109" s="108" t="n"/>
      <c r="C109" s="114" t="n"/>
      <c r="D109" s="145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46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8" t="n"/>
      <c r="B110" s="108" t="n"/>
      <c r="C110" s="114" t="n"/>
      <c r="D110" s="147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8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8" t="n"/>
      <c r="B111" s="108" t="n"/>
      <c r="C111" s="114" t="n"/>
      <c r="D111" s="145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46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8" t="n"/>
      <c r="B112" s="108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</row>
    <row r="113" ht="15" customHeight="1">
      <c r="A113" s="108" t="n"/>
      <c r="B113" s="108" t="n"/>
      <c r="C113" s="114" t="n"/>
      <c r="D113" s="60" t="inlineStr">
        <is>
          <t>9</t>
        </is>
      </c>
      <c r="E113" s="13" t="n"/>
      <c r="F113" s="14" t="n"/>
      <c r="G113" s="149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</row>
    <row r="114" ht="15" customHeight="1">
      <c r="A114" s="108" t="n"/>
      <c r="B114" s="108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</row>
    <row r="115" ht="15" customHeight="1">
      <c r="A115" s="108" t="n"/>
      <c r="B115" s="108" t="n"/>
      <c r="C115" s="114" t="n"/>
      <c r="D115" s="134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8" t="n"/>
      <c r="B116" s="108" t="n"/>
      <c r="C116" s="114" t="n"/>
      <c r="D116" s="150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8" t="n"/>
      <c r="B117" s="108" t="n"/>
      <c r="C117" s="114" t="n"/>
      <c r="D117" s="15" t="n"/>
      <c r="AT117" s="16" t="n"/>
    </row>
    <row r="118" ht="15" customHeight="1">
      <c r="A118" s="108" t="n"/>
      <c r="B118" s="108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8" t="n"/>
      <c r="B119" s="108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</row>
    <row r="120" ht="15" customHeight="1">
      <c r="A120" s="108" t="n"/>
      <c r="B120" s="108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</cols>
  <sheetData>
    <row r="1" ht="15" customHeight="1">
      <c r="A1" s="114" t="n"/>
      <c r="B1" s="114" t="n"/>
      <c r="C1" s="151" t="n"/>
      <c r="D1" s="15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53" t="n"/>
      <c r="AV1" s="153" t="n"/>
      <c r="AW1" s="153" t="n"/>
      <c r="AX1" s="153" t="n"/>
      <c r="AY1" s="153" t="n"/>
    </row>
    <row r="2" ht="15" customHeight="1">
      <c r="A2" s="114" t="n"/>
      <c r="B2" s="114" t="n"/>
      <c r="C2" s="154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53" t="n"/>
      <c r="AV2" s="153" t="n"/>
      <c r="AW2" s="153" t="n"/>
      <c r="AX2" s="153" t="n"/>
      <c r="AY2" s="153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114" t="n"/>
      <c r="AW3" s="114" t="n"/>
      <c r="AX3" s="114" t="n"/>
      <c r="AY3" s="114" t="n"/>
    </row>
    <row r="4" ht="15" customHeight="1">
      <c r="A4" s="114" t="n"/>
      <c r="B4" s="114" t="n"/>
      <c r="C4" s="114" t="n"/>
      <c r="D4" s="155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56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57" t="n"/>
      <c r="AV4" s="157" t="n"/>
      <c r="AW4" s="157" t="n"/>
      <c r="AX4" s="157" t="n"/>
      <c r="AY4" s="157" t="n"/>
    </row>
    <row r="5" ht="15" customHeight="1">
      <c r="A5" s="114" t="n"/>
      <c r="B5" s="114" t="n"/>
      <c r="C5" s="114" t="n"/>
      <c r="D5" s="50" t="inlineStr">
        <is>
          <t>PONTOS</t>
        </is>
      </c>
      <c r="E5" s="10" t="n"/>
      <c r="F5" s="10" t="n"/>
      <c r="G5" s="11" t="n"/>
      <c r="H5" s="124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4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58" t="n"/>
      <c r="AV5" s="158" t="n"/>
      <c r="AW5" s="158" t="n"/>
      <c r="AX5" s="158" t="n"/>
      <c r="AY5" s="158" t="n"/>
    </row>
    <row r="6" ht="15" customHeight="1">
      <c r="A6" s="114" t="n"/>
      <c r="B6" s="114" t="n"/>
      <c r="C6" s="114" t="n"/>
      <c r="D6" s="159" t="n">
        <v>2</v>
      </c>
      <c r="E6" s="10" t="n"/>
      <c r="F6" s="10" t="n"/>
      <c r="G6" s="11" t="n"/>
      <c r="H6" s="8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35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60" t="n"/>
      <c r="AV6" s="160" t="n"/>
      <c r="AW6" s="160" t="n"/>
      <c r="AX6" s="160" t="n"/>
      <c r="AY6" s="160" t="n"/>
    </row>
    <row r="7" ht="15" customHeight="1">
      <c r="A7" s="114" t="n"/>
      <c r="B7" s="114" t="n"/>
      <c r="C7" s="114" t="n"/>
      <c r="D7" s="161" t="n">
        <v>2</v>
      </c>
      <c r="E7" s="10" t="n"/>
      <c r="F7" s="10" t="n"/>
      <c r="G7" s="11" t="n"/>
      <c r="H7" s="13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2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63" t="n"/>
      <c r="AV7" s="163" t="n"/>
      <c r="AW7" s="163" t="n"/>
      <c r="AX7" s="163" t="n"/>
      <c r="AY7" s="163" t="n"/>
    </row>
    <row r="8" ht="15" customHeight="1">
      <c r="A8" s="114" t="n"/>
      <c r="B8" s="114" t="n"/>
      <c r="C8" s="114" t="n"/>
      <c r="D8" s="159" t="n">
        <v>3</v>
      </c>
      <c r="E8" s="10" t="n"/>
      <c r="F8" s="10" t="n"/>
      <c r="G8" s="11" t="n"/>
      <c r="H8" s="8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35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60" t="n"/>
      <c r="AV8" s="160" t="n"/>
      <c r="AW8" s="160" t="n"/>
      <c r="AX8" s="160" t="n"/>
      <c r="AY8" s="160" t="n"/>
    </row>
    <row r="9" ht="15" customHeight="1">
      <c r="A9" s="114" t="n"/>
      <c r="B9" s="114" t="n"/>
      <c r="C9" s="114" t="n"/>
      <c r="D9" s="161" t="n">
        <v>5</v>
      </c>
      <c r="E9" s="10" t="n"/>
      <c r="F9" s="10" t="n"/>
      <c r="G9" s="11" t="n"/>
      <c r="H9" s="13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2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63" t="n"/>
      <c r="AV9" s="163" t="n"/>
      <c r="AW9" s="163" t="n"/>
      <c r="AX9" s="163" t="n"/>
      <c r="AY9" s="163" t="n"/>
    </row>
    <row r="10" ht="15" customHeight="1">
      <c r="A10" s="114" t="n"/>
      <c r="B10" s="114" t="n"/>
      <c r="C10" s="114" t="n"/>
      <c r="D10" s="159" t="n">
        <v>5</v>
      </c>
      <c r="E10" s="10" t="n"/>
      <c r="F10" s="10" t="n"/>
      <c r="G10" s="11" t="n"/>
      <c r="H10" s="8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35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60" t="n"/>
      <c r="AV10" s="160" t="n"/>
      <c r="AW10" s="160" t="n"/>
      <c r="AX10" s="160" t="n"/>
      <c r="AY10" s="160" t="n"/>
    </row>
    <row r="11" ht="15" customHeight="1">
      <c r="A11" s="114" t="n"/>
      <c r="B11" s="114" t="n"/>
      <c r="C11" s="114" t="n"/>
      <c r="D11" s="161" t="n">
        <v>7</v>
      </c>
      <c r="E11" s="10" t="n"/>
      <c r="F11" s="10" t="n"/>
      <c r="G11" s="11" t="n"/>
      <c r="H11" s="13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2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63" t="n"/>
      <c r="AV11" s="163" t="n"/>
      <c r="AW11" s="163" t="n"/>
      <c r="AX11" s="163" t="n"/>
      <c r="AY11" s="163" t="n"/>
    </row>
    <row r="12" ht="15" customHeight="1">
      <c r="A12" s="114" t="n"/>
      <c r="B12" s="114" t="n"/>
      <c r="C12" s="114" t="n"/>
      <c r="D12" s="159" t="n">
        <v>8</v>
      </c>
      <c r="E12" s="10" t="n"/>
      <c r="F12" s="10" t="n"/>
      <c r="G12" s="11" t="n"/>
      <c r="H12" s="8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35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60" t="n"/>
      <c r="AV12" s="160" t="n"/>
      <c r="AW12" s="160" t="n"/>
      <c r="AX12" s="160" t="n"/>
      <c r="AY12" s="160" t="n"/>
    </row>
    <row r="13" ht="15" customHeight="1">
      <c r="A13" s="114" t="n"/>
      <c r="B13" s="114" t="n"/>
      <c r="C13" s="114" t="n"/>
      <c r="D13" s="161" t="n">
        <v>8</v>
      </c>
      <c r="E13" s="10" t="n"/>
      <c r="F13" s="10" t="n"/>
      <c r="G13" s="11" t="n"/>
      <c r="H13" s="13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2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63" t="n"/>
      <c r="AV13" s="163" t="n"/>
      <c r="AW13" s="163" t="n"/>
      <c r="AX13" s="163" t="n"/>
      <c r="AY13" s="163" t="n"/>
    </row>
    <row r="14" ht="15" customHeight="1">
      <c r="A14" s="114" t="n"/>
      <c r="B14" s="114" t="n"/>
      <c r="C14" s="114" t="n"/>
      <c r="D14" s="159" t="n">
        <v>8</v>
      </c>
      <c r="E14" s="10" t="n"/>
      <c r="F14" s="10" t="n"/>
      <c r="G14" s="11" t="n"/>
      <c r="H14" s="8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35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60" t="n"/>
      <c r="AV14" s="160" t="n"/>
      <c r="AW14" s="160" t="n"/>
      <c r="AX14" s="160" t="n"/>
      <c r="AY14" s="160" t="n"/>
    </row>
    <row r="15" ht="15" customHeight="1">
      <c r="A15" s="114" t="n"/>
      <c r="B15" s="114" t="n"/>
      <c r="C15" s="114" t="n"/>
      <c r="D15" s="161" t="n">
        <v>8</v>
      </c>
      <c r="E15" s="10" t="n"/>
      <c r="F15" s="10" t="n"/>
      <c r="G15" s="11" t="n"/>
      <c r="H15" s="13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2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63" t="n"/>
      <c r="AV15" s="163" t="n"/>
      <c r="AW15" s="163" t="n"/>
      <c r="AX15" s="163" t="n"/>
      <c r="AY15" s="163" t="n"/>
    </row>
    <row r="16" ht="15" customHeight="1">
      <c r="A16" s="114" t="n"/>
      <c r="B16" s="114" t="n"/>
      <c r="C16" s="114" t="n"/>
      <c r="D16" s="159" t="n">
        <v>8</v>
      </c>
      <c r="E16" s="10" t="n"/>
      <c r="F16" s="10" t="n"/>
      <c r="G16" s="11" t="n"/>
      <c r="H16" s="8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35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60" t="n"/>
      <c r="AV16" s="160" t="n"/>
      <c r="AW16" s="160" t="n"/>
      <c r="AX16" s="160" t="n"/>
      <c r="AY16" s="160" t="n"/>
    </row>
    <row r="17" ht="15" customHeight="1">
      <c r="A17" s="114" t="n"/>
      <c r="B17" s="114" t="n"/>
      <c r="C17" s="114" t="n"/>
      <c r="D17" s="161" t="n">
        <v>8</v>
      </c>
      <c r="E17" s="10" t="n"/>
      <c r="F17" s="10" t="n"/>
      <c r="G17" s="11" t="n"/>
      <c r="H17" s="13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2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63" t="n"/>
      <c r="AV17" s="163" t="n"/>
      <c r="AW17" s="163" t="n"/>
      <c r="AX17" s="163" t="n"/>
      <c r="AY17" s="163" t="n"/>
    </row>
    <row r="18" ht="15" customHeight="1">
      <c r="A18" s="114" t="n"/>
      <c r="B18" s="114" t="n"/>
      <c r="C18" s="114" t="n"/>
      <c r="D18" s="159" t="n">
        <v>8</v>
      </c>
      <c r="E18" s="10" t="n"/>
      <c r="F18" s="10" t="n"/>
      <c r="G18" s="11" t="n"/>
      <c r="H18" s="8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35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60" t="n"/>
      <c r="AV18" s="160" t="n"/>
      <c r="AW18" s="160" t="n"/>
      <c r="AX18" s="160" t="n"/>
      <c r="AY18" s="160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</row>
    <row r="21" ht="15" customHeight="1">
      <c r="A21" s="114" t="n"/>
      <c r="B21" s="114" t="n"/>
      <c r="C21" s="114" t="n"/>
      <c r="D21" s="155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56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57" t="n"/>
      <c r="AV21" s="157" t="n"/>
      <c r="AW21" s="157" t="n"/>
      <c r="AX21" s="157" t="n"/>
      <c r="AY21" s="157" t="n"/>
    </row>
    <row r="22" ht="15" customHeight="1">
      <c r="A22" s="114" t="n"/>
      <c r="B22" s="114" t="n"/>
      <c r="C22" s="114" t="n"/>
      <c r="D22" s="50" t="inlineStr">
        <is>
          <t>PONTOS</t>
        </is>
      </c>
      <c r="E22" s="10" t="n"/>
      <c r="F22" s="10" t="n"/>
      <c r="G22" s="11" t="n"/>
      <c r="H22" s="124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4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58" t="n"/>
      <c r="AV22" s="158" t="n"/>
      <c r="AW22" s="158" t="n"/>
      <c r="AX22" s="158" t="n"/>
      <c r="AY22" s="158" t="n"/>
    </row>
    <row r="23" ht="15" customHeight="1">
      <c r="A23" s="114" t="n"/>
      <c r="B23" s="114" t="n"/>
      <c r="C23" s="114" t="n"/>
      <c r="D23" s="159" t="n">
        <v>0</v>
      </c>
      <c r="E23" s="10" t="n"/>
      <c r="F23" s="10" t="n"/>
      <c r="G23" s="11" t="n"/>
      <c r="H23" s="8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35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60" t="n"/>
      <c r="AV23" s="160" t="n"/>
      <c r="AW23" s="160" t="n"/>
      <c r="AX23" s="160" t="n"/>
      <c r="AY23" s="160" t="n"/>
    </row>
    <row r="24" ht="15" customHeight="1">
      <c r="A24" s="114" t="n"/>
      <c r="B24" s="114" t="n"/>
      <c r="C24" s="114" t="n"/>
      <c r="D24" s="161" t="n">
        <v>4</v>
      </c>
      <c r="E24" s="10" t="n"/>
      <c r="F24" s="10" t="n"/>
      <c r="G24" s="11" t="n"/>
      <c r="H24" s="13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2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63" t="n"/>
      <c r="AV24" s="163" t="n"/>
      <c r="AW24" s="163" t="n"/>
      <c r="AX24" s="163" t="n"/>
      <c r="AY24" s="163" t="n"/>
    </row>
    <row r="25" ht="15" customHeight="1">
      <c r="A25" s="114" t="n"/>
      <c r="B25" s="114" t="n"/>
      <c r="C25" s="114" t="n"/>
      <c r="D25" s="159" t="n">
        <v>4</v>
      </c>
      <c r="E25" s="10" t="n"/>
      <c r="F25" s="10" t="n"/>
      <c r="G25" s="11" t="n"/>
      <c r="H25" s="8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35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60" t="n"/>
      <c r="AV25" s="160" t="n"/>
      <c r="AW25" s="160" t="n"/>
      <c r="AX25" s="160" t="n"/>
      <c r="AY25" s="160" t="n"/>
    </row>
    <row r="26" ht="15" customHeight="1">
      <c r="A26" s="114" t="n"/>
      <c r="B26" s="114" t="n"/>
      <c r="C26" s="114" t="n"/>
      <c r="D26" s="161" t="n">
        <v>4</v>
      </c>
      <c r="E26" s="10" t="n"/>
      <c r="F26" s="10" t="n"/>
      <c r="G26" s="11" t="n"/>
      <c r="H26" s="13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2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63" t="n"/>
      <c r="AV26" s="163" t="n"/>
      <c r="AW26" s="163" t="n"/>
      <c r="AX26" s="163" t="n"/>
      <c r="AY26" s="163" t="n"/>
    </row>
    <row r="27" ht="15" customHeight="1">
      <c r="A27" s="114" t="n"/>
      <c r="B27" s="114" t="n"/>
      <c r="C27" s="114" t="n"/>
      <c r="D27" s="159" t="n">
        <v>4</v>
      </c>
      <c r="E27" s="10" t="n"/>
      <c r="F27" s="10" t="n"/>
      <c r="G27" s="11" t="n"/>
      <c r="H27" s="8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35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60" t="n"/>
      <c r="AV27" s="160" t="n"/>
      <c r="AW27" s="160" t="n"/>
      <c r="AX27" s="160" t="n"/>
      <c r="AY27" s="160" t="n"/>
    </row>
    <row r="28" ht="15" customHeight="1">
      <c r="A28" s="114" t="n"/>
      <c r="B28" s="114" t="n"/>
      <c r="C28" s="114" t="n"/>
      <c r="D28" s="161" t="n">
        <v>8</v>
      </c>
      <c r="E28" s="10" t="n"/>
      <c r="F28" s="10" t="n"/>
      <c r="G28" s="11" t="n"/>
      <c r="H28" s="13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2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63" t="n"/>
      <c r="AV28" s="163" t="n"/>
      <c r="AW28" s="163" t="n"/>
      <c r="AX28" s="163" t="n"/>
      <c r="AY28" s="163" t="n"/>
    </row>
    <row r="29" ht="15" customHeight="1">
      <c r="A29" s="114" t="n"/>
      <c r="B29" s="114" t="n"/>
      <c r="C29" s="114" t="n"/>
      <c r="D29" s="159" t="n">
        <v>8</v>
      </c>
      <c r="E29" s="10" t="n"/>
      <c r="F29" s="10" t="n"/>
      <c r="G29" s="11" t="n"/>
      <c r="H29" s="8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35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60" t="n"/>
      <c r="AV29" s="160" t="n"/>
      <c r="AW29" s="160" t="n"/>
      <c r="AX29" s="160" t="n"/>
      <c r="AY29" s="160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</row>
    <row r="32" ht="15" customHeight="1">
      <c r="A32" s="114" t="n"/>
      <c r="B32" s="114" t="n"/>
      <c r="C32" s="114" t="n"/>
      <c r="D32" s="155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56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57" t="n"/>
      <c r="AV32" s="157" t="n"/>
      <c r="AW32" s="157" t="n"/>
      <c r="AX32" s="157" t="n"/>
      <c r="AY32" s="157" t="n"/>
    </row>
    <row r="33" ht="15" customHeight="1">
      <c r="A33" s="114" t="n"/>
      <c r="B33" s="114" t="n"/>
      <c r="C33" s="114" t="n"/>
      <c r="D33" s="124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58" t="n"/>
      <c r="AV33" s="158" t="n"/>
      <c r="AW33" s="158" t="n"/>
      <c r="AX33" s="158" t="n"/>
      <c r="AY33" s="158" t="n"/>
    </row>
    <row r="34" ht="15" customHeight="1">
      <c r="A34" s="114" t="n"/>
      <c r="B34" s="114" t="n"/>
      <c r="C34" s="114" t="n"/>
      <c r="D34" s="159" t="n">
        <v>2</v>
      </c>
      <c r="E34" s="10" t="n"/>
      <c r="F34" s="10" t="n"/>
      <c r="G34" s="11" t="n"/>
      <c r="H34" s="135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60" t="n"/>
      <c r="AV34" s="160" t="n"/>
      <c r="AW34" s="160" t="n"/>
      <c r="AX34" s="160" t="n"/>
      <c r="AY34" s="160" t="n"/>
    </row>
    <row r="35" ht="15" customHeight="1">
      <c r="A35" s="114" t="n"/>
      <c r="B35" s="114" t="n"/>
      <c r="C35" s="114" t="n"/>
      <c r="D35" s="161" t="n">
        <v>3</v>
      </c>
      <c r="E35" s="10" t="n"/>
      <c r="F35" s="10" t="n"/>
      <c r="G35" s="11" t="n"/>
      <c r="H35" s="162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63" t="n"/>
      <c r="AV35" s="163" t="n"/>
      <c r="AW35" s="163" t="n"/>
      <c r="AX35" s="163" t="n"/>
      <c r="AY35" s="163" t="n"/>
    </row>
    <row r="36" ht="15" customHeight="1">
      <c r="A36" s="114" t="n"/>
      <c r="B36" s="114" t="n"/>
      <c r="C36" s="114" t="n"/>
      <c r="D36" s="159" t="n">
        <v>5</v>
      </c>
      <c r="E36" s="10" t="n"/>
      <c r="F36" s="10" t="n"/>
      <c r="G36" s="11" t="n"/>
      <c r="H36" s="135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60" t="n"/>
      <c r="AV36" s="160" t="n"/>
      <c r="AW36" s="160" t="n"/>
      <c r="AX36" s="160" t="n"/>
      <c r="AY36" s="160" t="n"/>
    </row>
    <row r="37" ht="15" customHeight="1">
      <c r="A37" s="114" t="n"/>
      <c r="B37" s="114" t="n"/>
      <c r="C37" s="114" t="n"/>
      <c r="D37" s="161" t="n">
        <v>7</v>
      </c>
      <c r="E37" s="10" t="n"/>
      <c r="F37" s="10" t="n"/>
      <c r="G37" s="11" t="n"/>
      <c r="H37" s="162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63" t="n"/>
      <c r="AV37" s="163" t="n"/>
      <c r="AW37" s="163" t="n"/>
      <c r="AX37" s="163" t="n"/>
      <c r="AY37" s="163" t="n"/>
    </row>
    <row r="38" ht="15" customHeight="1">
      <c r="A38" s="114" t="n"/>
      <c r="B38" s="114" t="n"/>
      <c r="C38" s="114" t="n"/>
      <c r="D38" s="159" t="n">
        <v>8</v>
      </c>
      <c r="E38" s="10" t="n"/>
      <c r="F38" s="10" t="n"/>
      <c r="G38" s="11" t="n"/>
      <c r="H38" s="135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60" t="n"/>
      <c r="AV38" s="160" t="n"/>
      <c r="AW38" s="160" t="n"/>
      <c r="AX38" s="160" t="n"/>
      <c r="AY38" s="160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64" t="n"/>
      <c r="AK39" s="164" t="n"/>
      <c r="AL39" s="164" t="n"/>
      <c r="AM39" s="164" t="n"/>
      <c r="AN39" s="164" t="n"/>
      <c r="AO39" s="164" t="n"/>
      <c r="AP39" s="164" t="n"/>
      <c r="AQ39" s="164" t="n"/>
      <c r="AR39" s="164" t="n"/>
      <c r="AS39" s="164" t="n"/>
      <c r="AT39" s="164" t="n"/>
      <c r="AU39" s="164" t="n"/>
      <c r="AV39" s="164" t="n"/>
      <c r="AW39" s="164" t="n"/>
      <c r="AX39" s="164" t="n"/>
      <c r="AY39" s="164" t="n"/>
    </row>
    <row r="40" ht="15" customHeight="1">
      <c r="A40" s="114" t="n"/>
      <c r="B40" s="114" t="n"/>
      <c r="C40" s="114" t="n"/>
      <c r="D40" s="124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58" t="n"/>
      <c r="AV40" s="158" t="n"/>
      <c r="AW40" s="158" t="n"/>
      <c r="AX40" s="158" t="n"/>
      <c r="AY40" s="158" t="n"/>
    </row>
    <row r="41" ht="15" customHeight="1">
      <c r="A41" s="114" t="n"/>
      <c r="B41" s="114" t="n"/>
      <c r="C41" s="114" t="n"/>
      <c r="D41" s="159" t="n">
        <v>0</v>
      </c>
      <c r="E41" s="10" t="n"/>
      <c r="F41" s="10" t="n"/>
      <c r="G41" s="11" t="n"/>
      <c r="H41" s="135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60" t="n"/>
      <c r="AV41" s="160" t="n"/>
      <c r="AW41" s="160" t="n"/>
      <c r="AX41" s="160" t="n"/>
      <c r="AY41" s="160" t="n"/>
    </row>
    <row r="42" ht="15" customHeight="1">
      <c r="A42" s="114" t="n"/>
      <c r="B42" s="114" t="n"/>
      <c r="C42" s="114" t="n"/>
      <c r="D42" s="161" t="n">
        <v>4</v>
      </c>
      <c r="E42" s="10" t="n"/>
      <c r="F42" s="10" t="n"/>
      <c r="G42" s="11" t="n"/>
      <c r="H42" s="162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63" t="n"/>
      <c r="AV42" s="163" t="n"/>
      <c r="AW42" s="163" t="n"/>
      <c r="AX42" s="163" t="n"/>
      <c r="AY42" s="163" t="n"/>
    </row>
    <row r="43" ht="15" customHeight="1">
      <c r="A43" s="114" t="n"/>
      <c r="B43" s="114" t="n"/>
      <c r="C43" s="114" t="n"/>
      <c r="D43" s="159" t="n">
        <v>8</v>
      </c>
      <c r="E43" s="10" t="n"/>
      <c r="F43" s="10" t="n"/>
      <c r="G43" s="11" t="n"/>
      <c r="H43" s="135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60" t="n"/>
      <c r="AV43" s="160" t="n"/>
      <c r="AW43" s="160" t="n"/>
      <c r="AX43" s="160" t="n"/>
      <c r="AY43" s="160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</row>
    <row r="45" ht="15" customHeight="1">
      <c r="A45" s="114" t="n"/>
      <c r="B45" s="114" t="n"/>
      <c r="C45" s="114" t="n"/>
      <c r="D45" s="134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65" t="n"/>
      <c r="AV45" s="165" t="n"/>
      <c r="AW45" s="165" t="n"/>
      <c r="AX45" s="165" t="n"/>
      <c r="AY45" s="165" t="n"/>
    </row>
    <row r="46" ht="15" customHeight="1">
      <c r="A46" s="114" t="n"/>
      <c r="B46" s="114" t="n"/>
      <c r="C46" s="114" t="n"/>
      <c r="D46" s="8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6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67" t="n"/>
      <c r="AV46" s="167" t="n"/>
      <c r="AW46" s="167" t="n"/>
      <c r="AX46" s="167" t="n"/>
      <c r="AY46" s="167" t="n"/>
    </row>
    <row r="47" ht="15" customHeight="1">
      <c r="A47" s="114" t="n"/>
      <c r="B47" s="114" t="n"/>
      <c r="C47" s="114" t="n"/>
      <c r="D47" s="13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69" t="n"/>
      <c r="AV47" s="169" t="n"/>
      <c r="AW47" s="169" t="n"/>
      <c r="AX47" s="169" t="n"/>
      <c r="AY47" s="169" t="n"/>
    </row>
    <row r="48" ht="15" customHeight="1">
      <c r="A48" s="114" t="n"/>
      <c r="B48" s="114" t="n"/>
      <c r="C48" s="114" t="n"/>
      <c r="D48" s="8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6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67" t="n"/>
      <c r="AV48" s="167" t="n"/>
      <c r="AW48" s="167" t="n"/>
      <c r="AX48" s="167" t="n"/>
      <c r="AY48" s="167" t="n"/>
    </row>
    <row r="49" ht="15" customHeight="1">
      <c r="A49" s="114" t="n"/>
      <c r="B49" s="114" t="n"/>
      <c r="C49" s="114" t="n"/>
      <c r="D49" s="13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69" t="n"/>
      <c r="AV49" s="169" t="n"/>
      <c r="AW49" s="169" t="n"/>
      <c r="AX49" s="169" t="n"/>
      <c r="AY49" s="169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01" t="inlineStr">
        <is>
          <t>tipos</t>
        </is>
      </c>
      <c r="B1" s="101" t="inlineStr">
        <is>
          <t>trilhas</t>
        </is>
      </c>
      <c r="C1" s="101" t="inlineStr">
        <is>
          <t>atributos</t>
        </is>
      </c>
      <c r="D1" s="101" t="inlineStr">
        <is>
          <t>trs</t>
        </is>
      </c>
      <c r="E1" s="101" t="inlineStr">
        <is>
          <t>sintonia</t>
        </is>
      </c>
      <c r="F1" s="101" t="inlineStr">
        <is>
          <t>defesa_de</t>
        </is>
      </c>
      <c r="G1" s="101" t="inlineStr">
        <is>
          <t>fisico_de</t>
        </is>
      </c>
      <c r="H1" s="101" t="inlineStr">
        <is>
          <t>traco</t>
        </is>
      </c>
      <c r="I1" s="101" t="inlineStr">
        <is>
          <t>comando</t>
        </is>
      </c>
      <c r="J1" s="114" t="n"/>
      <c r="K1" s="101" t="inlineStr">
        <is>
          <t>tab_tipos</t>
        </is>
      </c>
      <c r="L1" s="114" t="n"/>
      <c r="M1" s="114" t="n"/>
      <c r="N1" s="101" t="inlineStr">
        <is>
          <t>tab_trilhas</t>
        </is>
      </c>
      <c r="O1" s="114" t="n"/>
      <c r="P1" s="114" t="n"/>
      <c r="Q1" s="114" t="n"/>
      <c r="R1" s="114" t="n"/>
      <c r="S1" s="114" t="n"/>
      <c r="T1" s="101" t="inlineStr">
        <is>
          <t>tab_traco</t>
        </is>
      </c>
      <c r="U1" s="114" t="n"/>
      <c r="V1" s="114" t="n"/>
      <c r="W1" s="101" t="inlineStr">
        <is>
          <t>tab_comando</t>
        </is>
      </c>
      <c r="X1" s="114" t="n"/>
      <c r="Y1" s="114" t="n"/>
      <c r="Z1" s="101" t="inlineStr">
        <is>
          <t>tab_investir</t>
        </is>
      </c>
      <c r="AA1" s="114" t="n"/>
      <c r="AB1" s="114" t="n"/>
      <c r="AC1" s="114" t="n"/>
      <c r="AD1" s="101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05" t="inlineStr">
        <is>
          <t>talismã</t>
        </is>
      </c>
      <c r="B2" s="105" t="inlineStr">
        <is>
          <t>Servo</t>
        </is>
      </c>
      <c r="C2" s="105" t="inlineStr">
        <is>
          <t>Força</t>
        </is>
      </c>
      <c r="D2" s="105" t="inlineStr">
        <is>
          <t>Físico</t>
        </is>
      </c>
      <c r="E2" s="105" t="inlineStr">
        <is>
          <t>—</t>
        </is>
      </c>
      <c r="F2" s="105" t="inlineStr">
        <is>
          <t>Essência</t>
        </is>
      </c>
      <c r="G2" s="105" t="inlineStr">
        <is>
          <t>Força</t>
        </is>
      </c>
      <c r="H2" s="105" t="inlineStr">
        <is>
          <t>—</t>
        </is>
      </c>
      <c r="I2" s="105" t="inlineStr">
        <is>
          <t>—</t>
        </is>
      </c>
      <c r="J2" s="114" t="n"/>
      <c r="K2" s="103" t="inlineStr">
        <is>
          <t>tipo</t>
        </is>
      </c>
      <c r="L2" s="103" t="inlineStr">
        <is>
          <t>base</t>
        </is>
      </c>
      <c r="M2" s="114" t="n"/>
      <c r="N2" s="103" t="inlineStr">
        <is>
          <t>trilha</t>
        </is>
      </c>
      <c r="O2" s="103" t="inlineStr">
        <is>
          <t>corpos</t>
        </is>
      </c>
      <c r="P2" s="103" t="inlineStr">
        <is>
          <t>mult</t>
        </is>
      </c>
      <c r="Q2" s="103" t="inlineStr">
        <is>
          <t>corpo</t>
        </is>
      </c>
      <c r="R2" s="103" t="inlineStr">
        <is>
          <t>area</t>
        </is>
      </c>
      <c r="S2" s="114" t="n"/>
      <c r="T2" s="103" t="inlineStr">
        <is>
          <t>traço</t>
        </is>
      </c>
      <c r="U2" s="103" t="inlineStr">
        <is>
          <t>pontos</t>
        </is>
      </c>
      <c r="V2" s="114" t="n"/>
      <c r="W2" s="103" t="inlineStr">
        <is>
          <t>comando</t>
        </is>
      </c>
      <c r="X2" s="103" t="inlineStr">
        <is>
          <t>pontos</t>
        </is>
      </c>
      <c r="Y2" s="114" t="n"/>
      <c r="Z2" s="103" t="inlineStr">
        <is>
          <t>de</t>
        </is>
      </c>
      <c r="AA2" s="103" t="inlineStr">
        <is>
          <t>uma</t>
        </is>
      </c>
      <c r="AB2" s="103" t="inlineStr">
        <is>
          <t>matilha</t>
        </is>
      </c>
      <c r="AC2" s="114" t="n"/>
      <c r="AD2" s="103" t="inlineStr">
        <is>
          <t>tr</t>
        </is>
      </c>
      <c r="AE2" s="103" t="inlineStr">
        <is>
          <t>atributo</t>
        </is>
      </c>
      <c r="AF2" s="114" t="n"/>
      <c r="AG2" s="103" t="inlineStr">
        <is>
          <t>e_marcos</t>
        </is>
      </c>
      <c r="AH2" s="103" t="inlineStr">
        <is>
          <t>e_maestria</t>
        </is>
      </c>
      <c r="AI2" s="103" t="inlineStr">
        <is>
          <t>e_classe</t>
        </is>
      </c>
      <c r="AJ2" s="114" t="n"/>
      <c r="AK2" s="103" t="inlineStr">
        <is>
          <t>espelho</t>
        </is>
      </c>
      <c r="AL2" s="114" t="n"/>
      <c r="AM2" s="103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05" t="inlineStr">
        <is>
          <t>corpo amaldiçoado</t>
        </is>
      </c>
      <c r="B3" s="105" t="inlineStr">
        <is>
          <t>Matilha</t>
        </is>
      </c>
      <c r="C3" s="105" t="inlineStr">
        <is>
          <t>Destreza</t>
        </is>
      </c>
      <c r="D3" s="105" t="inlineStr">
        <is>
          <t>Vigor</t>
        </is>
      </c>
      <c r="E3" s="105" t="inlineStr">
        <is>
          <t>Presa</t>
        </is>
      </c>
      <c r="F3" s="105" t="inlineStr">
        <is>
          <t>Inteligência</t>
        </is>
      </c>
      <c r="G3" s="105" t="inlineStr">
        <is>
          <t>Destreza</t>
        </is>
      </c>
      <c r="H3" s="105" t="inlineStr">
        <is>
          <t>Escalada</t>
        </is>
      </c>
      <c r="I3" s="105" t="inlineStr">
        <is>
          <t>Investir</t>
        </is>
      </c>
      <c r="J3" s="114" t="n"/>
      <c r="K3" s="105" t="inlineStr">
        <is>
          <t>talismã</t>
        </is>
      </c>
      <c r="L3" s="105" t="n">
        <v>1</v>
      </c>
      <c r="M3" s="114" t="n"/>
      <c r="N3" s="105" t="inlineStr">
        <is>
          <t>Servo</t>
        </is>
      </c>
      <c r="O3" s="105" t="n">
        <v>1</v>
      </c>
      <c r="P3" s="105" t="n">
        <v>1.5</v>
      </c>
      <c r="Q3" s="105" t="inlineStr">
        <is>
          <t>forte</t>
        </is>
      </c>
      <c r="R3" s="105" t="n">
        <v>1</v>
      </c>
      <c r="S3" s="114" t="n"/>
      <c r="T3" s="105" t="inlineStr">
        <is>
          <t>—</t>
        </is>
      </c>
      <c r="U3" s="105" t="n">
        <v>0</v>
      </c>
      <c r="V3" s="114" t="n"/>
      <c r="W3" s="105" t="inlineStr">
        <is>
          <t>—</t>
        </is>
      </c>
      <c r="X3" s="105" t="n">
        <v>0</v>
      </c>
      <c r="Y3" s="114" t="n"/>
      <c r="Z3" s="105" t="n">
        <v>2</v>
      </c>
      <c r="AA3" s="105" t="inlineStr">
        <is>
          <t>1d6</t>
        </is>
      </c>
      <c r="AB3" s="105" t="inlineStr">
        <is>
          <t>2</t>
        </is>
      </c>
      <c r="AC3" s="114" t="n"/>
      <c r="AD3" s="105" t="inlineStr">
        <is>
          <t>Físico</t>
        </is>
      </c>
      <c r="AE3" s="105" t="inlineStr">
        <is>
          <t>Força</t>
        </is>
      </c>
      <c r="AF3" s="114" t="n"/>
      <c r="AG3" s="105" t="n">
        <v>6</v>
      </c>
      <c r="AH3" s="105" t="n">
        <v>10</v>
      </c>
      <c r="AI3" s="105" t="n">
        <v>1</v>
      </c>
      <c r="AJ3" s="114" t="n"/>
      <c r="AK3" s="105">
        <f>'INVOCAÇÃO'!$D$30</f>
        <v/>
      </c>
      <c r="AL3" s="114" t="n"/>
      <c r="AM3" s="105" t="inlineStr">
        <is>
          <t>nivel</t>
        </is>
      </c>
      <c r="AN3" s="172" t="inlineStr">
        <is>
          <t>D7</t>
        </is>
      </c>
      <c r="AO3" s="172" t="n"/>
      <c r="AP3" s="172" t="n">
        <v>2</v>
      </c>
      <c r="AQ3" s="172" t="n"/>
      <c r="AR3" s="172" t="n"/>
      <c r="AS3" s="172" t="n">
        <v>0</v>
      </c>
      <c r="AT3" s="172" t="n"/>
      <c r="AU3" s="172" t="n">
        <v>2</v>
      </c>
      <c r="AV3" s="172" t="n"/>
      <c r="AW3" s="172" t="n"/>
      <c r="AX3" s="172" t="n">
        <v>0</v>
      </c>
    </row>
    <row r="4">
      <c r="A4" s="105" t="inlineStr">
        <is>
          <t>técnica</t>
        </is>
      </c>
      <c r="B4" s="105" t="inlineStr">
        <is>
          <t>Coro</t>
        </is>
      </c>
      <c r="C4" s="105" t="inlineStr">
        <is>
          <t>Constituição</t>
        </is>
      </c>
      <c r="D4" s="105" t="inlineStr">
        <is>
          <t>Intelecto</t>
        </is>
      </c>
      <c r="E4" s="105" t="inlineStr">
        <is>
          <t>Parrudo</t>
        </is>
      </c>
      <c r="F4" s="114" t="n"/>
      <c r="G4" s="114" t="n"/>
      <c r="H4" s="105" t="inlineStr">
        <is>
          <t>Nado</t>
        </is>
      </c>
      <c r="I4" s="105" t="inlineStr">
        <is>
          <t>Agarrar</t>
        </is>
      </c>
      <c r="J4" s="114" t="n"/>
      <c r="K4" s="105" t="inlineStr">
        <is>
          <t>corpo amaldiçoado</t>
        </is>
      </c>
      <c r="L4" s="105" t="n">
        <v>1</v>
      </c>
      <c r="M4" s="114" t="n"/>
      <c r="N4" s="105" t="inlineStr">
        <is>
          <t>Matilha</t>
        </is>
      </c>
      <c r="O4" s="105" t="n">
        <v>5</v>
      </c>
      <c r="P4" s="105" t="n">
        <v>1</v>
      </c>
      <c r="Q4" s="105" t="inlineStr">
        <is>
          <t>forte</t>
        </is>
      </c>
      <c r="R4" s="105" t="n">
        <v>1.5</v>
      </c>
      <c r="S4" s="114" t="n"/>
      <c r="T4" s="105" t="inlineStr">
        <is>
          <t>Escalada</t>
        </is>
      </c>
      <c r="U4" s="105" t="n">
        <v>2</v>
      </c>
      <c r="V4" s="114" t="n"/>
      <c r="W4" s="105" t="inlineStr">
        <is>
          <t>Investir</t>
        </is>
      </c>
      <c r="X4" s="105" t="n">
        <v>0</v>
      </c>
      <c r="Y4" s="114" t="n"/>
      <c r="Z4" s="105" t="n">
        <v>5</v>
      </c>
      <c r="AA4" s="105" t="inlineStr">
        <is>
          <t>4d6</t>
        </is>
      </c>
      <c r="AB4" s="105" t="inlineStr">
        <is>
          <t>1d6</t>
        </is>
      </c>
      <c r="AC4" s="114" t="n"/>
      <c r="AD4" s="105" t="inlineStr">
        <is>
          <t>Vigor</t>
        </is>
      </c>
      <c r="AE4" s="105" t="inlineStr">
        <is>
          <t>Constituição</t>
        </is>
      </c>
      <c r="AF4" s="114" t="n"/>
      <c r="AG4" s="105" t="n">
        <v>10</v>
      </c>
      <c r="AH4" s="105" t="n">
        <v>18</v>
      </c>
      <c r="AI4" s="105" t="n">
        <v>5</v>
      </c>
      <c r="AJ4" s="114" t="n"/>
      <c r="AK4" s="105">
        <f>'INVOCAÇÃO'!$L$30</f>
        <v/>
      </c>
      <c r="AL4" s="114" t="n"/>
      <c r="AM4" s="105" t="inlineStr">
        <is>
          <t>ess_dono</t>
        </is>
      </c>
      <c r="AN4" s="172" t="inlineStr">
        <is>
          <t>O7</t>
        </is>
      </c>
      <c r="AO4" s="172" t="n"/>
      <c r="AP4" s="172" t="n">
        <v>3</v>
      </c>
      <c r="AQ4" s="172" t="n"/>
      <c r="AR4" s="172" t="n"/>
      <c r="AS4" s="172" t="n">
        <v>4</v>
      </c>
      <c r="AT4" s="172" t="n"/>
      <c r="AU4" s="172" t="n">
        <v>3</v>
      </c>
      <c r="AV4" s="172" t="n"/>
      <c r="AW4" s="172" t="n"/>
      <c r="AX4" s="172" t="n">
        <v>4</v>
      </c>
    </row>
    <row r="5">
      <c r="A5" s="105" t="inlineStr">
        <is>
          <t>maldição domada</t>
        </is>
      </c>
      <c r="B5" s="114" t="n"/>
      <c r="C5" s="105" t="inlineStr">
        <is>
          <t>Inteligência</t>
        </is>
      </c>
      <c r="D5" s="105" t="inlineStr">
        <is>
          <t>Espírito</t>
        </is>
      </c>
      <c r="E5" s="105" t="inlineStr">
        <is>
          <t>Voz</t>
        </is>
      </c>
      <c r="F5" s="114" t="n"/>
      <c r="G5" s="114" t="n"/>
      <c r="H5" s="105" t="inlineStr">
        <is>
          <t>Fala</t>
        </is>
      </c>
      <c r="I5" s="105" t="inlineStr">
        <is>
          <t>Arrastar</t>
        </is>
      </c>
      <c r="J5" s="114" t="n"/>
      <c r="K5" s="105" t="inlineStr">
        <is>
          <t>técnica</t>
        </is>
      </c>
      <c r="L5" s="105" t="n">
        <v>2</v>
      </c>
      <c r="M5" s="114" t="n"/>
      <c r="N5" s="105" t="inlineStr">
        <is>
          <t>Coro</t>
        </is>
      </c>
      <c r="O5" s="105" t="n">
        <v>1</v>
      </c>
      <c r="P5" s="105" t="n">
        <v>1</v>
      </c>
      <c r="Q5" s="105" t="inlineStr">
        <is>
          <t>cru</t>
        </is>
      </c>
      <c r="R5" s="105" t="n">
        <v>1</v>
      </c>
      <c r="S5" s="114" t="n"/>
      <c r="T5" s="105" t="inlineStr">
        <is>
          <t>Nado</t>
        </is>
      </c>
      <c r="U5" s="105" t="n">
        <v>2</v>
      </c>
      <c r="V5" s="114" t="n"/>
      <c r="W5" s="105" t="inlineStr">
        <is>
          <t>Agarrar</t>
        </is>
      </c>
      <c r="X5" s="105" t="n">
        <v>4</v>
      </c>
      <c r="Y5" s="114" t="n"/>
      <c r="Z5" s="105" t="n">
        <v>9</v>
      </c>
      <c r="AA5" s="105" t="inlineStr">
        <is>
          <t>6d6</t>
        </is>
      </c>
      <c r="AB5" s="105" t="inlineStr">
        <is>
          <t>2d6</t>
        </is>
      </c>
      <c r="AC5" s="114" t="n"/>
      <c r="AD5" s="105" t="inlineStr">
        <is>
          <t>Intelecto</t>
        </is>
      </c>
      <c r="AE5" s="105" t="inlineStr">
        <is>
          <t>Inteligência</t>
        </is>
      </c>
      <c r="AF5" s="114" t="n"/>
      <c r="AG5" s="105" t="n">
        <v>14</v>
      </c>
      <c r="AH5" s="105" t="n">
        <v>26</v>
      </c>
      <c r="AI5" s="105" t="n">
        <v>9</v>
      </c>
      <c r="AJ5" s="114" t="n"/>
      <c r="AK5" s="105">
        <f>'INVOCAÇÃO'!$T$30</f>
        <v/>
      </c>
      <c r="AL5" s="114" t="n"/>
      <c r="AM5" s="105" t="inlineStr">
        <is>
          <t>int_dono</t>
        </is>
      </c>
      <c r="AN5" s="172" t="inlineStr">
        <is>
          <t>Z7</t>
        </is>
      </c>
      <c r="AO5" s="172" t="n"/>
      <c r="AP5" s="172" t="n">
        <v>5</v>
      </c>
      <c r="AQ5" s="172" t="n"/>
      <c r="AR5" s="172" t="n"/>
      <c r="AS5" s="172" t="n">
        <v>8</v>
      </c>
      <c r="AT5" s="172" t="n"/>
      <c r="AU5" s="172" t="n">
        <v>5</v>
      </c>
      <c r="AV5" s="172" t="n"/>
      <c r="AW5" s="172" t="n"/>
      <c r="AX5" s="172" t="n">
        <v>8</v>
      </c>
    </row>
    <row r="6">
      <c r="A6" s="114" t="n"/>
      <c r="B6" s="114" t="n"/>
      <c r="C6" s="105" t="inlineStr">
        <is>
          <t>Essência</t>
        </is>
      </c>
      <c r="D6" s="114" t="n"/>
      <c r="E6" s="114" t="n"/>
      <c r="F6" s="114" t="n"/>
      <c r="G6" s="114" t="n"/>
      <c r="H6" s="105" t="inlineStr">
        <is>
          <t>Faro</t>
        </is>
      </c>
      <c r="I6" s="105" t="inlineStr">
        <is>
          <t>Buscar</t>
        </is>
      </c>
      <c r="J6" s="114" t="n"/>
      <c r="K6" s="105" t="inlineStr">
        <is>
          <t>maldição domada</t>
        </is>
      </c>
      <c r="L6" s="105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05" t="inlineStr">
        <is>
          <t>Fala</t>
        </is>
      </c>
      <c r="U6" s="105" t="n">
        <v>3</v>
      </c>
      <c r="V6" s="114" t="n"/>
      <c r="W6" s="105" t="inlineStr">
        <is>
          <t>Arrastar</t>
        </is>
      </c>
      <c r="X6" s="105" t="n">
        <v>4</v>
      </c>
      <c r="Y6" s="114" t="n"/>
      <c r="Z6" s="105" t="n">
        <v>13</v>
      </c>
      <c r="AA6" s="105" t="inlineStr">
        <is>
          <t>8d6</t>
        </is>
      </c>
      <c r="AB6" s="105" t="inlineStr">
        <is>
          <t>3d6</t>
        </is>
      </c>
      <c r="AC6" s="114" t="n"/>
      <c r="AD6" s="105" t="inlineStr">
        <is>
          <t>Espírito</t>
        </is>
      </c>
      <c r="AE6" s="105" t="inlineStr">
        <is>
          <t>Essência</t>
        </is>
      </c>
      <c r="AF6" s="114" t="n"/>
      <c r="AG6" s="105" t="n">
        <v>18</v>
      </c>
      <c r="AH6" s="114" t="n"/>
      <c r="AI6" s="105" t="n">
        <v>13</v>
      </c>
      <c r="AJ6" s="114" t="n"/>
      <c r="AK6" s="105">
        <f>'INVOCAÇÃO'!$AB$30</f>
        <v/>
      </c>
      <c r="AL6" s="114" t="n"/>
      <c r="AM6" s="105" t="inlineStr">
        <is>
          <t>maestria</t>
        </is>
      </c>
      <c r="AN6" s="172" t="inlineStr">
        <is>
          <t>AK7</t>
        </is>
      </c>
      <c r="AO6" s="172" t="n"/>
      <c r="AP6" s="172" t="n">
        <v>7</v>
      </c>
      <c r="AQ6" s="172" t="n"/>
      <c r="AR6" s="172" t="n"/>
      <c r="AS6" s="172" t="n"/>
      <c r="AT6" s="172" t="n"/>
      <c r="AU6" s="172" t="n">
        <v>7</v>
      </c>
      <c r="AV6" s="172" t="n"/>
      <c r="AW6" s="172" t="n"/>
      <c r="AX6" s="172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05" t="inlineStr">
        <is>
          <t>Vigia</t>
        </is>
      </c>
      <c r="I7" s="105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05" t="inlineStr">
        <is>
          <t>Faro</t>
        </is>
      </c>
      <c r="U7" s="105" t="n">
        <v>5</v>
      </c>
      <c r="V7" s="114" t="n"/>
      <c r="W7" s="105" t="inlineStr">
        <is>
          <t>Buscar</t>
        </is>
      </c>
      <c r="X7" s="105" t="n">
        <v>4</v>
      </c>
      <c r="Y7" s="114" t="n"/>
      <c r="Z7" s="105" t="n">
        <v>17</v>
      </c>
      <c r="AA7" s="105" t="inlineStr">
        <is>
          <t>10d6</t>
        </is>
      </c>
      <c r="AB7" s="105" t="inlineStr">
        <is>
          <t>4d6</t>
        </is>
      </c>
      <c r="AC7" s="114" t="n"/>
      <c r="AD7" s="114" t="n"/>
      <c r="AE7" s="114" t="n"/>
      <c r="AF7" s="114" t="n"/>
      <c r="AG7" s="105" t="n">
        <v>22</v>
      </c>
      <c r="AH7" s="114" t="n"/>
      <c r="AI7" s="105" t="n">
        <v>17</v>
      </c>
      <c r="AJ7" s="114" t="n"/>
      <c r="AK7" s="105">
        <f>'INVOCAÇÃO'!$AJ$30</f>
        <v/>
      </c>
      <c r="AL7" s="114" t="n"/>
      <c r="AM7" s="105" t="inlineStr">
        <is>
          <t>marcos</t>
        </is>
      </c>
      <c r="AN7" s="172" t="inlineStr">
        <is>
          <t>D11</t>
        </is>
      </c>
      <c r="AO7" s="172" t="n"/>
      <c r="AP7" s="172" t="n">
        <v>8</v>
      </c>
      <c r="AQ7" s="172" t="n"/>
      <c r="AR7" s="172" t="n"/>
      <c r="AS7" s="172" t="n"/>
      <c r="AT7" s="172" t="n"/>
      <c r="AU7" s="172" t="n">
        <v>8</v>
      </c>
      <c r="AV7" s="172" t="n"/>
      <c r="AW7" s="172" t="n"/>
      <c r="AX7" s="172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05" t="inlineStr">
        <is>
          <t>Miúdo</t>
        </is>
      </c>
      <c r="I8" s="105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05" t="inlineStr">
        <is>
          <t>Vigia</t>
        </is>
      </c>
      <c r="U8" s="105" t="n">
        <v>5</v>
      </c>
      <c r="V8" s="114" t="n"/>
      <c r="W8" s="105" t="inlineStr">
        <is>
          <t>Cavar</t>
        </is>
      </c>
      <c r="X8" s="105" t="n">
        <v>4</v>
      </c>
      <c r="Y8" s="114" t="n"/>
      <c r="Z8" s="105" t="n">
        <v>21</v>
      </c>
      <c r="AA8" s="105" t="inlineStr">
        <is>
          <t>13d6</t>
        </is>
      </c>
      <c r="AB8" s="105" t="inlineStr">
        <is>
          <t>5d6</t>
        </is>
      </c>
      <c r="AC8" s="114" t="n"/>
      <c r="AD8" s="114" t="n"/>
      <c r="AE8" s="114" t="n"/>
      <c r="AF8" s="114" t="n"/>
      <c r="AG8" s="105" t="n">
        <v>26</v>
      </c>
      <c r="AH8" s="114" t="n"/>
      <c r="AI8" s="105" t="n">
        <v>21</v>
      </c>
      <c r="AJ8" s="114" t="n"/>
      <c r="AK8" s="114" t="n"/>
      <c r="AL8" s="114" t="n"/>
      <c r="AM8" s="105" t="inlineStr">
        <is>
          <t>classe</t>
        </is>
      </c>
      <c r="AN8" s="172" t="inlineStr">
        <is>
          <t>O11</t>
        </is>
      </c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05" t="inlineStr">
        <is>
          <t>Voo</t>
        </is>
      </c>
      <c r="I9" s="105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05" t="inlineStr">
        <is>
          <t>Miúdo</t>
        </is>
      </c>
      <c r="U9" s="105" t="n">
        <v>7</v>
      </c>
      <c r="V9" s="114" t="n"/>
      <c r="W9" s="105" t="inlineStr">
        <is>
          <t>Interpor</t>
        </is>
      </c>
      <c r="X9" s="105" t="n">
        <v>8</v>
      </c>
      <c r="Y9" s="114" t="n"/>
      <c r="Z9" s="105" t="n">
        <v>26</v>
      </c>
      <c r="AA9" s="105" t="inlineStr">
        <is>
          <t>15d6</t>
        </is>
      </c>
      <c r="AB9" s="105" t="inlineStr">
        <is>
          <t>6d6</t>
        </is>
      </c>
      <c r="AC9" s="114" t="n"/>
      <c r="AD9" s="114" t="n"/>
      <c r="AE9" s="114" t="n"/>
      <c r="AF9" s="114" t="n"/>
      <c r="AG9" s="105" t="n">
        <v>30</v>
      </c>
      <c r="AH9" s="114" t="n"/>
      <c r="AI9" s="105" t="n">
        <v>26</v>
      </c>
      <c r="AJ9" s="114" t="n"/>
      <c r="AK9" s="114" t="n"/>
      <c r="AL9" s="114" t="n"/>
      <c r="AM9" s="105" t="inlineStr">
        <is>
          <t>nome</t>
        </is>
      </c>
      <c r="AN9" s="172" t="inlineStr">
        <is>
          <t>D19</t>
        </is>
      </c>
      <c r="AO9" s="172" t="n"/>
      <c r="AP9" s="172" t="n"/>
      <c r="AQ9" s="172" t="n"/>
      <c r="AR9" s="172" t="n"/>
      <c r="AS9" s="172" t="n"/>
      <c r="AT9" s="172" t="n"/>
      <c r="AU9" s="172" t="n"/>
      <c r="AV9" s="172" t="n"/>
      <c r="AW9" s="172" t="n"/>
      <c r="AX9" s="172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05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05" t="inlineStr">
        <is>
          <t>Voo</t>
        </is>
      </c>
      <c r="U10" s="105" t="n">
        <v>8</v>
      </c>
      <c r="V10" s="114" t="n"/>
      <c r="W10" s="105" t="inlineStr">
        <is>
          <t>Chamariz</t>
        </is>
      </c>
      <c r="X10" s="105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5" t="inlineStr">
        <is>
          <t>tipo</t>
        </is>
      </c>
      <c r="AN10" s="172" t="inlineStr">
        <is>
          <t>Z19</t>
        </is>
      </c>
      <c r="AO10" s="172" t="n"/>
      <c r="AP10" s="172" t="n"/>
      <c r="AQ10" s="172" t="n"/>
      <c r="AR10" s="172" t="n"/>
      <c r="AS10" s="172" t="n"/>
      <c r="AT10" s="172" t="n"/>
      <c r="AU10" s="172" t="n"/>
      <c r="AV10" s="172" t="n"/>
      <c r="AW10" s="172" t="n"/>
      <c r="AX10" s="172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05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05" t="inlineStr">
        <is>
          <t>Montaria</t>
        </is>
      </c>
      <c r="U11" s="105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5" t="inlineStr">
        <is>
          <t>trilha</t>
        </is>
      </c>
      <c r="AN11" s="172" t="inlineStr">
        <is>
          <t>AK19</t>
        </is>
      </c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05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05" t="inlineStr">
        <is>
          <t>Fisgada</t>
        </is>
      </c>
      <c r="U12" s="105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5" t="inlineStr">
        <is>
          <t>sintonia</t>
        </is>
      </c>
      <c r="AN12" s="172" t="inlineStr">
        <is>
          <t>D22</t>
        </is>
      </c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05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05" t="inlineStr">
        <is>
          <t>Emboscada</t>
        </is>
      </c>
      <c r="U13" s="105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5" t="inlineStr">
        <is>
          <t>pontos_atributo</t>
        </is>
      </c>
      <c r="AN13" s="172" t="inlineStr">
        <is>
          <t>D35</t>
        </is>
      </c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05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05" t="inlineStr">
        <is>
          <t>Jorro</t>
        </is>
      </c>
      <c r="U14" s="105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5" t="inlineStr">
        <is>
          <t>pontos_disp</t>
        </is>
      </c>
      <c r="AN14" s="172" t="inlineStr">
        <is>
          <t>O35</t>
        </is>
      </c>
      <c r="AO14" s="172" t="n"/>
      <c r="AP14" s="172" t="n"/>
      <c r="AQ14" s="172" t="n"/>
      <c r="AR14" s="172" t="n"/>
      <c r="AS14" s="172" t="n"/>
      <c r="AT14" s="172" t="n"/>
      <c r="AU14" s="172" t="n"/>
      <c r="AV14" s="172" t="n"/>
      <c r="AW14" s="172" t="n"/>
      <c r="AX14" s="172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05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05" t="inlineStr">
        <is>
          <t>Graúdo</t>
        </is>
      </c>
      <c r="U15" s="105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5" t="inlineStr">
        <is>
          <t>aviso_atributo</t>
        </is>
      </c>
      <c r="AN15" s="172" t="inlineStr">
        <is>
          <t>Z35</t>
        </is>
      </c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05" t="inlineStr">
        <is>
          <t>Remoto</t>
        </is>
      </c>
      <c r="U16" s="105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5" t="inlineStr">
        <is>
          <t>atr_acerto</t>
        </is>
      </c>
      <c r="AN16" s="172" t="inlineStr">
        <is>
          <t>D43</t>
        </is>
      </c>
      <c r="AO16" s="172" t="n"/>
      <c r="AP16" s="172" t="n"/>
      <c r="AQ16" s="172" t="n"/>
      <c r="AR16" s="172" t="n"/>
      <c r="AS16" s="172" t="n"/>
      <c r="AT16" s="172" t="n"/>
      <c r="AU16" s="172" t="n"/>
      <c r="AV16" s="172" t="n"/>
      <c r="AW16" s="172" t="n"/>
      <c r="AX16" s="172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5" t="inlineStr">
        <is>
          <t>acerto</t>
        </is>
      </c>
      <c r="AN17" s="172" t="inlineStr">
        <is>
          <t>O43</t>
        </is>
      </c>
      <c r="AO17" s="172" t="n"/>
      <c r="AP17" s="172" t="n"/>
      <c r="AQ17" s="172" t="n"/>
      <c r="AR17" s="172" t="n"/>
      <c r="AS17" s="172" t="n"/>
      <c r="AT17" s="172" t="n"/>
      <c r="AU17" s="172" t="n"/>
      <c r="AV17" s="172" t="n"/>
      <c r="AW17" s="172" t="n"/>
      <c r="AX17" s="172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5" t="inlineStr">
        <is>
          <t>defesa_de</t>
        </is>
      </c>
      <c r="AN18" s="172" t="inlineStr">
        <is>
          <t>Z43</t>
        </is>
      </c>
      <c r="AO18" s="172" t="n"/>
      <c r="AP18" s="172" t="n"/>
      <c r="AQ18" s="172" t="n"/>
      <c r="AR18" s="172" t="n"/>
      <c r="AS18" s="172" t="n"/>
      <c r="AT18" s="172" t="n"/>
      <c r="AU18" s="172" t="n"/>
      <c r="AV18" s="172" t="n"/>
      <c r="AW18" s="172" t="n"/>
      <c r="AX18" s="172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5" t="inlineStr">
        <is>
          <t>defesa</t>
        </is>
      </c>
      <c r="AN19" s="172" t="inlineStr">
        <is>
          <t>AK43</t>
        </is>
      </c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5" t="inlineStr">
        <is>
          <t>critico</t>
        </is>
      </c>
      <c r="AN20" s="172" t="inlineStr">
        <is>
          <t>D46</t>
        </is>
      </c>
      <c r="AO20" s="172" t="n"/>
      <c r="AP20" s="172" t="n"/>
      <c r="AQ20" s="172" t="n"/>
      <c r="AR20" s="172" t="n"/>
      <c r="AS20" s="172" t="n"/>
      <c r="AT20" s="172" t="n"/>
      <c r="AU20" s="172" t="n"/>
      <c r="AV20" s="172" t="n"/>
      <c r="AW20" s="172" t="n"/>
      <c r="AX20" s="172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5" t="inlineStr">
        <is>
          <t>tr_treinado</t>
        </is>
      </c>
      <c r="AN21" s="172" t="inlineStr">
        <is>
          <t>O46</t>
        </is>
      </c>
      <c r="AO21" s="172" t="n"/>
      <c r="AP21" s="172" t="n"/>
      <c r="AQ21" s="172" t="n"/>
      <c r="AR21" s="172" t="n"/>
      <c r="AS21" s="172" t="n"/>
      <c r="AT21" s="172" t="n"/>
      <c r="AU21" s="172" t="n"/>
      <c r="AV21" s="172" t="n"/>
      <c r="AW21" s="172" t="n"/>
      <c r="AX21" s="172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5" t="inlineStr">
        <is>
          <t>fisico_de</t>
        </is>
      </c>
      <c r="AN22" s="172" t="inlineStr">
        <is>
          <t>Z46</t>
        </is>
      </c>
      <c r="AO22" s="172" t="n"/>
      <c r="AP22" s="172" t="n"/>
      <c r="AQ22" s="172" t="n"/>
      <c r="AR22" s="172" t="n"/>
      <c r="AS22" s="172" t="n"/>
      <c r="AT22" s="172" t="n"/>
      <c r="AU22" s="172" t="n"/>
      <c r="AV22" s="172" t="n"/>
      <c r="AW22" s="172" t="n"/>
      <c r="AX22" s="172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5" t="inlineStr">
        <is>
          <t>tr_Físico</t>
        </is>
      </c>
      <c r="AN23" s="172" t="inlineStr">
        <is>
          <t>Q50</t>
        </is>
      </c>
      <c r="AO23" s="172" t="n"/>
      <c r="AP23" s="172" t="n"/>
      <c r="AQ23" s="172" t="n"/>
      <c r="AR23" s="172" t="n"/>
      <c r="AS23" s="172" t="n"/>
      <c r="AT23" s="172" t="n"/>
      <c r="AU23" s="172" t="n"/>
      <c r="AV23" s="172" t="n"/>
      <c r="AW23" s="172" t="n"/>
      <c r="AX23" s="172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5" t="inlineStr">
        <is>
          <t>tr_extra_Físico</t>
        </is>
      </c>
      <c r="AN24" s="172" t="inlineStr">
        <is>
          <t>K50</t>
        </is>
      </c>
      <c r="AO24" s="172" t="n"/>
      <c r="AP24" s="172" t="n"/>
      <c r="AQ24" s="172" t="n"/>
      <c r="AR24" s="172" t="n"/>
      <c r="AS24" s="172" t="n"/>
      <c r="AT24" s="172" t="n"/>
      <c r="AU24" s="172" t="n"/>
      <c r="AV24" s="172" t="n"/>
      <c r="AW24" s="172" t="n"/>
      <c r="AX24" s="172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5" t="inlineStr">
        <is>
          <t>tr_Vigor</t>
        </is>
      </c>
      <c r="AN25" s="172" t="inlineStr">
        <is>
          <t>AM50</t>
        </is>
      </c>
      <c r="AO25" s="172" t="n"/>
      <c r="AP25" s="172" t="n"/>
      <c r="AQ25" s="172" t="n"/>
      <c r="AR25" s="172" t="n"/>
      <c r="AS25" s="172" t="n"/>
      <c r="AT25" s="172" t="n"/>
      <c r="AU25" s="172" t="n"/>
      <c r="AV25" s="172" t="n"/>
      <c r="AW25" s="172" t="n"/>
      <c r="AX25" s="172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5" t="inlineStr">
        <is>
          <t>tr_extra_Vigor</t>
        </is>
      </c>
      <c r="AN26" s="172" t="inlineStr">
        <is>
          <t>AG50</t>
        </is>
      </c>
      <c r="AO26" s="172" t="n"/>
      <c r="AP26" s="172" t="n"/>
      <c r="AQ26" s="172" t="n"/>
      <c r="AR26" s="172" t="n"/>
      <c r="AS26" s="172" t="n"/>
      <c r="AT26" s="172" t="n"/>
      <c r="AU26" s="172" t="n"/>
      <c r="AV26" s="172" t="n"/>
      <c r="AW26" s="172" t="n"/>
      <c r="AX26" s="172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5" t="inlineStr">
        <is>
          <t>tr_Intelecto</t>
        </is>
      </c>
      <c r="AN27" s="172" t="inlineStr">
        <is>
          <t>Q51</t>
        </is>
      </c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5" t="inlineStr">
        <is>
          <t>tr_extra_Intelecto</t>
        </is>
      </c>
      <c r="AN28" s="172" t="inlineStr">
        <is>
          <t>K51</t>
        </is>
      </c>
      <c r="AO28" s="172" t="n"/>
      <c r="AP28" s="172" t="n"/>
      <c r="AQ28" s="172" t="n"/>
      <c r="AR28" s="172" t="n"/>
      <c r="AS28" s="172" t="n"/>
      <c r="AT28" s="172" t="n"/>
      <c r="AU28" s="172" t="n"/>
      <c r="AV28" s="172" t="n"/>
      <c r="AW28" s="172" t="n"/>
      <c r="AX28" s="172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5" t="inlineStr">
        <is>
          <t>tr_Espírito</t>
        </is>
      </c>
      <c r="AN29" s="172" t="inlineStr">
        <is>
          <t>AM51</t>
        </is>
      </c>
      <c r="AO29" s="172" t="n"/>
      <c r="AP29" s="172" t="n"/>
      <c r="AQ29" s="172" t="n"/>
      <c r="AR29" s="172" t="n"/>
      <c r="AS29" s="172" t="n"/>
      <c r="AT29" s="172" t="n"/>
      <c r="AU29" s="172" t="n"/>
      <c r="AV29" s="172" t="n"/>
      <c r="AW29" s="172" t="n"/>
      <c r="AX29" s="172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5" t="inlineStr">
        <is>
          <t>tr_extra_Espírito</t>
        </is>
      </c>
      <c r="AN30" s="172" t="inlineStr">
        <is>
          <t>AG51</t>
        </is>
      </c>
      <c r="AO30" s="172" t="n"/>
      <c r="AP30" s="172" t="n"/>
      <c r="AQ30" s="172" t="n"/>
      <c r="AR30" s="172" t="n"/>
      <c r="AS30" s="172" t="n"/>
      <c r="AT30" s="172" t="n"/>
      <c r="AU30" s="172" t="n"/>
      <c r="AV30" s="172" t="n"/>
      <c r="AW30" s="172" t="n"/>
      <c r="AX30" s="172" t="n"/>
    </row>
    <row r="31">
      <c r="AM31" s="172" t="inlineStr">
        <is>
          <t>vida_max</t>
        </is>
      </c>
      <c r="AN31" s="172" t="inlineStr">
        <is>
          <t>D59</t>
        </is>
      </c>
      <c r="AO31" s="172" t="n"/>
      <c r="AP31" s="172" t="n"/>
      <c r="AQ31" s="172" t="n"/>
      <c r="AR31" s="172" t="n"/>
      <c r="AS31" s="172" t="n"/>
      <c r="AT31" s="172" t="n"/>
      <c r="AU31" s="172" t="n"/>
      <c r="AV31" s="172" t="n"/>
      <c r="AW31" s="172" t="n"/>
      <c r="AX31" s="172" t="n"/>
    </row>
    <row r="32">
      <c r="AM32" s="172" t="inlineStr">
        <is>
          <t>vida</t>
        </is>
      </c>
      <c r="AN32" s="172" t="inlineStr">
        <is>
          <t>O59</t>
        </is>
      </c>
      <c r="AO32" s="172" t="n"/>
      <c r="AP32" s="172" t="n"/>
      <c r="AQ32" s="172" t="n"/>
      <c r="AR32" s="172" t="n"/>
      <c r="AS32" s="172" t="n"/>
      <c r="AT32" s="172" t="n"/>
      <c r="AU32" s="172" t="n"/>
      <c r="AV32" s="172" t="n"/>
      <c r="AW32" s="172" t="n"/>
      <c r="AX32" s="172" t="n"/>
    </row>
    <row r="33">
      <c r="AM33" s="172" t="inlineStr">
        <is>
          <t>corpos</t>
        </is>
      </c>
      <c r="AN33" s="172" t="inlineStr">
        <is>
          <t>Z59</t>
        </is>
      </c>
      <c r="AO33" s="172" t="n"/>
      <c r="AP33" s="172" t="n"/>
      <c r="AQ33" s="172" t="n"/>
      <c r="AR33" s="172" t="n"/>
      <c r="AS33" s="172" t="n"/>
      <c r="AT33" s="172" t="n"/>
      <c r="AU33" s="172" t="n"/>
      <c r="AV33" s="172" t="n"/>
      <c r="AW33" s="172" t="n"/>
      <c r="AX33" s="172" t="n"/>
    </row>
    <row r="34">
      <c r="AM34" s="172" t="inlineStr">
        <is>
          <t>area</t>
        </is>
      </c>
      <c r="AN34" s="172" t="inlineStr">
        <is>
          <t>AK59</t>
        </is>
      </c>
      <c r="AO34" s="172" t="n"/>
      <c r="AP34" s="172" t="n"/>
      <c r="AQ34" s="172" t="n"/>
      <c r="AR34" s="172" t="n"/>
      <c r="AS34" s="172" t="n"/>
      <c r="AT34" s="172" t="n"/>
      <c r="AU34" s="172" t="n"/>
      <c r="AV34" s="172" t="n"/>
      <c r="AW34" s="172" t="n"/>
      <c r="AX34" s="172" t="n"/>
    </row>
    <row r="35">
      <c r="AM35" s="172" t="inlineStr">
        <is>
          <t>regua</t>
        </is>
      </c>
      <c r="AN35" s="172" t="inlineStr">
        <is>
          <t>D65</t>
        </is>
      </c>
      <c r="AO35" s="172" t="n"/>
      <c r="AP35" s="172" t="n"/>
      <c r="AQ35" s="172" t="n"/>
      <c r="AR35" s="172" t="n"/>
      <c r="AS35" s="172" t="n"/>
      <c r="AT35" s="172" t="n"/>
      <c r="AU35" s="172" t="n"/>
      <c r="AV35" s="172" t="n"/>
      <c r="AW35" s="172" t="n"/>
      <c r="AX35" s="172" t="n"/>
    </row>
    <row r="36">
      <c r="AM36" s="172" t="inlineStr">
        <is>
          <t>meia_regua</t>
        </is>
      </c>
      <c r="AN36" s="172" t="inlineStr">
        <is>
          <t>O65</t>
        </is>
      </c>
      <c r="AO36" s="172" t="n"/>
      <c r="AP36" s="172" t="n"/>
      <c r="AQ36" s="172" t="n"/>
      <c r="AR36" s="172" t="n"/>
      <c r="AS36" s="172" t="n"/>
      <c r="AT36" s="172" t="n"/>
      <c r="AU36" s="172" t="n"/>
      <c r="AV36" s="172" t="n"/>
      <c r="AW36" s="172" t="n"/>
      <c r="AX36" s="172" t="n"/>
    </row>
    <row r="37">
      <c r="AM37" s="172" t="inlineStr">
        <is>
          <t>volta_com</t>
        </is>
      </c>
      <c r="AN37" s="172" t="inlineStr">
        <is>
          <t>Z65</t>
        </is>
      </c>
      <c r="AO37" s="172" t="n"/>
      <c r="AP37" s="172" t="n"/>
      <c r="AQ37" s="172" t="n"/>
      <c r="AR37" s="172" t="n"/>
      <c r="AS37" s="172" t="n"/>
      <c r="AT37" s="172" t="n"/>
      <c r="AU37" s="172" t="n"/>
      <c r="AV37" s="172" t="n"/>
      <c r="AW37" s="172" t="n"/>
      <c r="AX37" s="172" t="n"/>
    </row>
    <row r="38">
      <c r="AM38" s="172" t="inlineStr">
        <is>
          <t>orcamento</t>
        </is>
      </c>
      <c r="AN38" s="172" t="inlineStr">
        <is>
          <t>D76</t>
        </is>
      </c>
      <c r="AO38" s="172" t="n"/>
      <c r="AP38" s="172" t="n"/>
      <c r="AQ38" s="172" t="n"/>
      <c r="AR38" s="172" t="n"/>
      <c r="AS38" s="172" t="n"/>
      <c r="AT38" s="172" t="n"/>
      <c r="AU38" s="172" t="n"/>
      <c r="AV38" s="172" t="n"/>
      <c r="AW38" s="172" t="n"/>
      <c r="AX38" s="172" t="n"/>
    </row>
    <row r="39">
      <c r="AM39" s="172" t="inlineStr">
        <is>
          <t>gasto</t>
        </is>
      </c>
      <c r="AN39" s="172" t="inlineStr">
        <is>
          <t>D91</t>
        </is>
      </c>
      <c r="AO39" s="172" t="n"/>
      <c r="AP39" s="172" t="n"/>
      <c r="AQ39" s="172" t="n"/>
      <c r="AR39" s="172" t="n"/>
      <c r="AS39" s="172" t="n"/>
      <c r="AT39" s="172" t="n"/>
      <c r="AU39" s="172" t="n"/>
      <c r="AV39" s="172" t="n"/>
      <c r="AW39" s="172" t="n"/>
      <c r="AX39" s="172" t="n"/>
    </row>
    <row r="40">
      <c r="AM40" s="172" t="inlineStr">
        <is>
          <t>sobra</t>
        </is>
      </c>
      <c r="AN40" s="172" t="inlineStr">
        <is>
          <t>O91</t>
        </is>
      </c>
      <c r="AO40" s="172" t="n"/>
      <c r="AP40" s="172" t="n"/>
      <c r="AQ40" s="172" t="n"/>
      <c r="AR40" s="172" t="n"/>
      <c r="AS40" s="172" t="n"/>
      <c r="AT40" s="172" t="n"/>
      <c r="AU40" s="172" t="n"/>
      <c r="AV40" s="172" t="n"/>
      <c r="AW40" s="172" t="n"/>
      <c r="AX40" s="172" t="n"/>
    </row>
    <row r="41">
      <c r="AM41" s="172" t="inlineStr">
        <is>
          <t>investir</t>
        </is>
      </c>
      <c r="AN41" s="172" t="inlineStr">
        <is>
          <t>D99</t>
        </is>
      </c>
      <c r="AO41" s="172" t="n"/>
      <c r="AP41" s="172" t="n"/>
      <c r="AQ41" s="172" t="n"/>
      <c r="AR41" s="172" t="n"/>
      <c r="AS41" s="172" t="n"/>
      <c r="AT41" s="172" t="n"/>
      <c r="AU41" s="172" t="n"/>
      <c r="AV41" s="172" t="n"/>
      <c r="AW41" s="172" t="n"/>
      <c r="AX41" s="172" t="n"/>
    </row>
    <row r="42">
      <c r="AM42" s="172" t="inlineStr">
        <is>
          <t>cd_pendente</t>
        </is>
      </c>
      <c r="AN42" s="172" t="inlineStr">
        <is>
          <t>D116</t>
        </is>
      </c>
      <c r="AO42" s="172" t="n"/>
      <c r="AP42" s="172" t="n"/>
      <c r="AQ42" s="172" t="n"/>
      <c r="AR42" s="172" t="n"/>
      <c r="AS42" s="172" t="n"/>
      <c r="AT42" s="172" t="n"/>
      <c r="AU42" s="172" t="n"/>
      <c r="AV42" s="172" t="n"/>
      <c r="AW42" s="172" t="n"/>
      <c r="AX42" s="172" t="n"/>
    </row>
    <row r="43">
      <c r="AM43" s="172" t="inlineStr">
        <is>
          <t>atr_Força</t>
        </is>
      </c>
      <c r="AN43" s="172" t="inlineStr">
        <is>
          <t>D30</t>
        </is>
      </c>
      <c r="AO43" s="172" t="n"/>
      <c r="AP43" s="172" t="n"/>
      <c r="AQ43" s="172" t="n"/>
      <c r="AR43" s="172" t="n"/>
      <c r="AS43" s="172" t="n"/>
      <c r="AT43" s="172" t="n"/>
      <c r="AU43" s="172" t="n"/>
      <c r="AV43" s="172" t="n"/>
      <c r="AW43" s="172" t="n"/>
      <c r="AX43" s="172" t="n"/>
    </row>
    <row r="44">
      <c r="AM44" s="172" t="inlineStr">
        <is>
          <t>atr_Destreza</t>
        </is>
      </c>
      <c r="AN44" s="172" t="inlineStr">
        <is>
          <t>L30</t>
        </is>
      </c>
      <c r="AO44" s="172" t="n"/>
      <c r="AP44" s="172" t="n"/>
      <c r="AQ44" s="172" t="n"/>
      <c r="AR44" s="172" t="n"/>
      <c r="AS44" s="172" t="n"/>
      <c r="AT44" s="172" t="n"/>
      <c r="AU44" s="172" t="n"/>
      <c r="AV44" s="172" t="n"/>
      <c r="AW44" s="172" t="n"/>
      <c r="AX44" s="172" t="n"/>
    </row>
    <row r="45">
      <c r="AM45" s="172" t="inlineStr">
        <is>
          <t>atr_Constituição</t>
        </is>
      </c>
      <c r="AN45" s="172" t="inlineStr">
        <is>
          <t>T30</t>
        </is>
      </c>
      <c r="AO45" s="172" t="n"/>
      <c r="AP45" s="172" t="n"/>
      <c r="AQ45" s="172" t="n"/>
      <c r="AR45" s="172" t="n"/>
      <c r="AS45" s="172" t="n"/>
      <c r="AT45" s="172" t="n"/>
      <c r="AU45" s="172" t="n"/>
      <c r="AV45" s="172" t="n"/>
      <c r="AW45" s="172" t="n"/>
      <c r="AX45" s="172" t="n"/>
    </row>
    <row r="46">
      <c r="AM46" s="172" t="inlineStr">
        <is>
          <t>atr_Inteligência</t>
        </is>
      </c>
      <c r="AN46" s="172" t="inlineStr">
        <is>
          <t>AB30</t>
        </is>
      </c>
      <c r="AO46" s="172" t="n"/>
      <c r="AP46" s="172" t="n"/>
      <c r="AQ46" s="172" t="n"/>
      <c r="AR46" s="172" t="n"/>
      <c r="AS46" s="172" t="n"/>
      <c r="AT46" s="172" t="n"/>
      <c r="AU46" s="172" t="n"/>
      <c r="AV46" s="172" t="n"/>
      <c r="AW46" s="172" t="n"/>
      <c r="AX46" s="172" t="n"/>
    </row>
    <row r="47">
      <c r="AM47" s="172" t="inlineStr">
        <is>
          <t>atr_Essência</t>
        </is>
      </c>
      <c r="AN47" s="172" t="inlineStr">
        <is>
          <t>AJ30</t>
        </is>
      </c>
      <c r="AO47" s="172" t="n"/>
      <c r="AP47" s="172" t="n"/>
      <c r="AQ47" s="172" t="n"/>
      <c r="AR47" s="172" t="n"/>
      <c r="AS47" s="172" t="n"/>
      <c r="AT47" s="172" t="n"/>
      <c r="AU47" s="172" t="n"/>
      <c r="AV47" s="172" t="n"/>
      <c r="AW47" s="172" t="n"/>
      <c r="AX47" s="172" t="n"/>
    </row>
    <row r="48">
      <c r="AM48" s="172" t="inlineStr">
        <is>
          <t>slot_pontos_1</t>
        </is>
      </c>
      <c r="AN48" s="172" t="inlineStr">
        <is>
          <t>S80</t>
        </is>
      </c>
      <c r="AO48" s="172" t="n"/>
      <c r="AP48" s="172" t="n"/>
      <c r="AQ48" s="172" t="n"/>
      <c r="AR48" s="172" t="n"/>
      <c r="AS48" s="172" t="n"/>
      <c r="AT48" s="172" t="n"/>
      <c r="AU48" s="172" t="n"/>
      <c r="AV48" s="172" t="n"/>
      <c r="AW48" s="172" t="n"/>
      <c r="AX48" s="172" t="n"/>
    </row>
    <row r="49">
      <c r="AM49" s="172" t="inlineStr">
        <is>
          <t>slot_pontos_2</t>
        </is>
      </c>
      <c r="AN49" s="172" t="inlineStr">
        <is>
          <t>S81</t>
        </is>
      </c>
      <c r="AO49" s="172" t="n"/>
      <c r="AP49" s="172" t="n"/>
      <c r="AQ49" s="172" t="n"/>
      <c r="AR49" s="172" t="n"/>
      <c r="AS49" s="172" t="n"/>
      <c r="AT49" s="172" t="n"/>
      <c r="AU49" s="172" t="n"/>
      <c r="AV49" s="172" t="n"/>
      <c r="AW49" s="172" t="n"/>
      <c r="AX49" s="172" t="n"/>
    </row>
    <row r="50">
      <c r="AM50" s="172" t="inlineStr">
        <is>
          <t>slot_pontos_3</t>
        </is>
      </c>
      <c r="AN50" s="172" t="inlineStr">
        <is>
          <t>S82</t>
        </is>
      </c>
      <c r="AO50" s="172" t="n"/>
      <c r="AP50" s="172" t="n"/>
      <c r="AQ50" s="172" t="n"/>
      <c r="AR50" s="172" t="n"/>
      <c r="AS50" s="172" t="n"/>
      <c r="AT50" s="172" t="n"/>
      <c r="AU50" s="172" t="n"/>
      <c r="AV50" s="172" t="n"/>
      <c r="AW50" s="172" t="n"/>
      <c r="AX50" s="172" t="n"/>
    </row>
    <row r="51">
      <c r="AM51" s="172" t="inlineStr">
        <is>
          <t>slot_pontos_4</t>
        </is>
      </c>
      <c r="AN51" s="172" t="inlineStr">
        <is>
          <t>S83</t>
        </is>
      </c>
      <c r="AO51" s="172" t="n"/>
      <c r="AP51" s="172" t="n"/>
      <c r="AQ51" s="172" t="n"/>
      <c r="AR51" s="172" t="n"/>
      <c r="AS51" s="172" t="n"/>
      <c r="AT51" s="172" t="n"/>
      <c r="AU51" s="172" t="n"/>
      <c r="AV51" s="172" t="n"/>
      <c r="AW51" s="172" t="n"/>
      <c r="AX51" s="172" t="n"/>
    </row>
    <row r="52">
      <c r="AM52" s="172" t="inlineStr">
        <is>
          <t>slot_pontos_5</t>
        </is>
      </c>
      <c r="AN52" s="172" t="inlineStr">
        <is>
          <t>S84</t>
        </is>
      </c>
      <c r="AO52" s="172" t="n"/>
      <c r="AP52" s="172" t="n"/>
      <c r="AQ52" s="172" t="n"/>
      <c r="AR52" s="172" t="n"/>
      <c r="AS52" s="172" t="n"/>
      <c r="AT52" s="172" t="n"/>
      <c r="AU52" s="172" t="n"/>
      <c r="AV52" s="172" t="n"/>
      <c r="AW52" s="172" t="n"/>
      <c r="AX52" s="172" t="n"/>
    </row>
    <row r="53">
      <c r="AM53" s="172" t="inlineStr">
        <is>
          <t>slot_pontos_6</t>
        </is>
      </c>
      <c r="AN53" s="172" t="inlineStr">
        <is>
          <t>S85</t>
        </is>
      </c>
      <c r="AO53" s="172" t="n"/>
      <c r="AP53" s="172" t="n"/>
      <c r="AQ53" s="172" t="n"/>
      <c r="AR53" s="172" t="n"/>
      <c r="AS53" s="172" t="n"/>
      <c r="AT53" s="172" t="n"/>
      <c r="AU53" s="172" t="n"/>
      <c r="AV53" s="172" t="n"/>
      <c r="AW53" s="172" t="n"/>
      <c r="AX53" s="172" t="n"/>
    </row>
    <row r="54">
      <c r="AM54" s="172" t="inlineStr">
        <is>
          <t>slot_pontos_7</t>
        </is>
      </c>
      <c r="AN54" s="172" t="inlineStr">
        <is>
          <t>S86</t>
        </is>
      </c>
      <c r="AO54" s="172" t="n"/>
      <c r="AP54" s="172" t="n"/>
      <c r="AQ54" s="172" t="n"/>
      <c r="AR54" s="172" t="n"/>
      <c r="AS54" s="172" t="n"/>
      <c r="AT54" s="172" t="n"/>
      <c r="AU54" s="172" t="n"/>
      <c r="AV54" s="172" t="n"/>
      <c r="AW54" s="172" t="n"/>
      <c r="AX54" s="172" t="n"/>
    </row>
    <row r="55">
      <c r="AM55" s="172" t="inlineStr">
        <is>
          <t>slot_pontos_8</t>
        </is>
      </c>
      <c r="AN55" s="172" t="inlineStr">
        <is>
          <t>S87</t>
        </is>
      </c>
      <c r="AO55" s="172" t="n"/>
      <c r="AP55" s="172" t="n"/>
      <c r="AQ55" s="172" t="n"/>
      <c r="AR55" s="172" t="n"/>
      <c r="AS55" s="172" t="n"/>
      <c r="AT55" s="172" t="n"/>
      <c r="AU55" s="172" t="n"/>
      <c r="AV55" s="172" t="n"/>
      <c r="AW55" s="172" t="n"/>
      <c r="AX55" s="172" t="n"/>
    </row>
    <row r="56">
      <c r="AM56" s="172" t="inlineStr">
        <is>
          <t>slot_pontos_9</t>
        </is>
      </c>
      <c r="AN56" s="172" t="inlineStr">
        <is>
          <t>S88</t>
        </is>
      </c>
      <c r="AO56" s="172" t="n"/>
      <c r="AP56" s="172" t="n"/>
      <c r="AQ56" s="172" t="n"/>
      <c r="AR56" s="172" t="n"/>
      <c r="AS56" s="172" t="n"/>
      <c r="AT56" s="172" t="n"/>
      <c r="AU56" s="172" t="n"/>
      <c r="AV56" s="172" t="n"/>
      <c r="AW56" s="172" t="n"/>
      <c r="AX56" s="172" t="n"/>
    </row>
    <row r="57">
      <c r="AM57" s="172" t="inlineStr">
        <is>
          <t>slot_pontos_10</t>
        </is>
      </c>
      <c r="AN57" s="172" t="inlineStr">
        <is>
          <t>AO80</t>
        </is>
      </c>
      <c r="AO57" s="172" t="n"/>
      <c r="AP57" s="172" t="n"/>
      <c r="AQ57" s="172" t="n"/>
      <c r="AR57" s="172" t="n"/>
      <c r="AS57" s="172" t="n"/>
      <c r="AT57" s="172" t="n"/>
      <c r="AU57" s="172" t="n"/>
      <c r="AV57" s="172" t="n"/>
      <c r="AW57" s="172" t="n"/>
      <c r="AX57" s="172" t="n"/>
    </row>
    <row r="58">
      <c r="AM58" s="172" t="inlineStr">
        <is>
          <t>slot_pontos_11</t>
        </is>
      </c>
      <c r="AN58" s="172" t="inlineStr">
        <is>
          <t>AO81</t>
        </is>
      </c>
      <c r="AO58" s="172" t="n"/>
      <c r="AP58" s="172" t="n"/>
      <c r="AQ58" s="172" t="n"/>
      <c r="AR58" s="172" t="n"/>
      <c r="AS58" s="172" t="n"/>
      <c r="AT58" s="172" t="n"/>
      <c r="AU58" s="172" t="n"/>
      <c r="AV58" s="172" t="n"/>
      <c r="AW58" s="172" t="n"/>
      <c r="AX58" s="172" t="n"/>
    </row>
    <row r="59">
      <c r="AM59" s="172" t="inlineStr">
        <is>
          <t>slot_pontos_12</t>
        </is>
      </c>
      <c r="AN59" s="172" t="inlineStr">
        <is>
          <t>AO82</t>
        </is>
      </c>
      <c r="AO59" s="172" t="n"/>
      <c r="AP59" s="172" t="n"/>
      <c r="AQ59" s="172" t="n"/>
      <c r="AR59" s="172" t="n"/>
      <c r="AS59" s="172" t="n"/>
      <c r="AT59" s="172" t="n"/>
      <c r="AU59" s="172" t="n"/>
      <c r="AV59" s="172" t="n"/>
      <c r="AW59" s="172" t="n"/>
      <c r="AX59" s="172" t="n"/>
    </row>
    <row r="60">
      <c r="AM60" s="172" t="inlineStr">
        <is>
          <t>slot_pontos_13</t>
        </is>
      </c>
      <c r="AN60" s="172" t="inlineStr">
        <is>
          <t>AO83</t>
        </is>
      </c>
      <c r="AO60" s="172" t="n"/>
      <c r="AP60" s="172" t="n"/>
      <c r="AQ60" s="172" t="n"/>
      <c r="AR60" s="172" t="n"/>
      <c r="AS60" s="172" t="n"/>
      <c r="AT60" s="172" t="n"/>
      <c r="AU60" s="172" t="n"/>
      <c r="AV60" s="172" t="n"/>
      <c r="AW60" s="172" t="n"/>
      <c r="AX60" s="172" t="n"/>
    </row>
    <row r="61">
      <c r="AM61" s="172" t="inlineStr">
        <is>
          <t>slot_pontos_14</t>
        </is>
      </c>
      <c r="AN61" s="172" t="inlineStr">
        <is>
          <t>AO84</t>
        </is>
      </c>
      <c r="AO61" s="172" t="n"/>
      <c r="AP61" s="172" t="n"/>
      <c r="AQ61" s="172" t="n"/>
      <c r="AR61" s="172" t="n"/>
      <c r="AS61" s="172" t="n"/>
      <c r="AT61" s="172" t="n"/>
      <c r="AU61" s="172" t="n"/>
      <c r="AV61" s="172" t="n"/>
      <c r="AW61" s="172" t="n"/>
      <c r="AX61" s="172" t="n"/>
    </row>
    <row r="62">
      <c r="AM62" s="172" t="inlineStr">
        <is>
          <t>slot_pontos_15</t>
        </is>
      </c>
      <c r="AN62" s="172" t="inlineStr">
        <is>
          <t>AO85</t>
        </is>
      </c>
      <c r="AO62" s="172" t="n"/>
      <c r="AP62" s="172" t="n"/>
      <c r="AQ62" s="172" t="n"/>
      <c r="AR62" s="172" t="n"/>
      <c r="AS62" s="172" t="n"/>
      <c r="AT62" s="172" t="n"/>
      <c r="AU62" s="172" t="n"/>
      <c r="AV62" s="172" t="n"/>
      <c r="AW62" s="172" t="n"/>
      <c r="AX62" s="172" t="n"/>
    </row>
    <row r="63">
      <c r="AM63" s="172" t="inlineStr">
        <is>
          <t>traco_1</t>
        </is>
      </c>
      <c r="AN63" s="172" t="inlineStr">
        <is>
          <t>D80</t>
        </is>
      </c>
      <c r="AO63" s="172" t="n"/>
      <c r="AP63" s="172" t="n"/>
      <c r="AQ63" s="172" t="n"/>
      <c r="AR63" s="172" t="n"/>
      <c r="AS63" s="172" t="n"/>
      <c r="AT63" s="172" t="n"/>
      <c r="AU63" s="172" t="n"/>
      <c r="AV63" s="172" t="n"/>
      <c r="AW63" s="172" t="n"/>
      <c r="AX63" s="172" t="n"/>
    </row>
    <row r="64">
      <c r="AM64" s="172" t="inlineStr">
        <is>
          <t>traco_2</t>
        </is>
      </c>
      <c r="AN64" s="172" t="inlineStr">
        <is>
          <t>D81</t>
        </is>
      </c>
      <c r="AO64" s="172" t="n"/>
      <c r="AP64" s="172" t="n"/>
      <c r="AQ64" s="172" t="n"/>
      <c r="AR64" s="172" t="n"/>
      <c r="AS64" s="172" t="n"/>
      <c r="AT64" s="172" t="n"/>
      <c r="AU64" s="172" t="n"/>
      <c r="AV64" s="172" t="n"/>
      <c r="AW64" s="172" t="n"/>
      <c r="AX64" s="172" t="n"/>
    </row>
    <row r="65">
      <c r="AM65" s="172" t="inlineStr">
        <is>
          <t>traco_3</t>
        </is>
      </c>
      <c r="AN65" s="172" t="inlineStr">
        <is>
          <t>D82</t>
        </is>
      </c>
      <c r="AO65" s="172" t="n"/>
      <c r="AP65" s="172" t="n"/>
      <c r="AQ65" s="172" t="n"/>
      <c r="AR65" s="172" t="n"/>
      <c r="AS65" s="172" t="n"/>
      <c r="AT65" s="172" t="n"/>
      <c r="AU65" s="172" t="n"/>
      <c r="AV65" s="172" t="n"/>
      <c r="AW65" s="172" t="n"/>
      <c r="AX65" s="172" t="n"/>
    </row>
    <row r="66">
      <c r="AM66" s="172" t="inlineStr">
        <is>
          <t>traco_4</t>
        </is>
      </c>
      <c r="AN66" s="172" t="inlineStr">
        <is>
          <t>D83</t>
        </is>
      </c>
      <c r="AO66" s="172" t="n"/>
      <c r="AP66" s="172" t="n"/>
      <c r="AQ66" s="172" t="n"/>
      <c r="AR66" s="172" t="n"/>
      <c r="AS66" s="172" t="n"/>
      <c r="AT66" s="172" t="n"/>
      <c r="AU66" s="172" t="n"/>
      <c r="AV66" s="172" t="n"/>
      <c r="AW66" s="172" t="n"/>
      <c r="AX66" s="172" t="n"/>
    </row>
    <row r="67">
      <c r="AM67" s="172" t="inlineStr">
        <is>
          <t>traco_5</t>
        </is>
      </c>
      <c r="AN67" s="172" t="inlineStr">
        <is>
          <t>D84</t>
        </is>
      </c>
      <c r="AO67" s="172" t="n"/>
      <c r="AP67" s="172" t="n"/>
      <c r="AQ67" s="172" t="n"/>
      <c r="AR67" s="172" t="n"/>
      <c r="AS67" s="172" t="n"/>
      <c r="AT67" s="172" t="n"/>
      <c r="AU67" s="172" t="n"/>
      <c r="AV67" s="172" t="n"/>
      <c r="AW67" s="172" t="n"/>
      <c r="AX67" s="172" t="n"/>
    </row>
    <row r="68">
      <c r="AM68" s="172" t="inlineStr">
        <is>
          <t>traco_6</t>
        </is>
      </c>
      <c r="AN68" s="172" t="inlineStr">
        <is>
          <t>D85</t>
        </is>
      </c>
      <c r="AO68" s="172" t="n"/>
      <c r="AP68" s="172" t="n"/>
      <c r="AQ68" s="172" t="n"/>
      <c r="AR68" s="172" t="n"/>
      <c r="AS68" s="172" t="n"/>
      <c r="AT68" s="172" t="n"/>
      <c r="AU68" s="172" t="n"/>
      <c r="AV68" s="172" t="n"/>
      <c r="AW68" s="172" t="n"/>
      <c r="AX68" s="172" t="n"/>
    </row>
    <row r="69">
      <c r="AM69" s="172" t="inlineStr">
        <is>
          <t>traco_7</t>
        </is>
      </c>
      <c r="AN69" s="172" t="inlineStr">
        <is>
          <t>D86</t>
        </is>
      </c>
      <c r="AO69" s="172" t="n"/>
      <c r="AP69" s="172" t="n"/>
      <c r="AQ69" s="172" t="n"/>
      <c r="AR69" s="172" t="n"/>
      <c r="AS69" s="172" t="n"/>
      <c r="AT69" s="172" t="n"/>
      <c r="AU69" s="172" t="n"/>
      <c r="AV69" s="172" t="n"/>
      <c r="AW69" s="172" t="n"/>
      <c r="AX69" s="172" t="n"/>
    </row>
    <row r="70">
      <c r="AM70" s="172" t="inlineStr">
        <is>
          <t>traco_8</t>
        </is>
      </c>
      <c r="AN70" s="172" t="inlineStr">
        <is>
          <t>D87</t>
        </is>
      </c>
      <c r="AO70" s="172" t="n"/>
      <c r="AP70" s="172" t="n"/>
      <c r="AQ70" s="172" t="n"/>
      <c r="AR70" s="172" t="n"/>
      <c r="AS70" s="172" t="n"/>
      <c r="AT70" s="172" t="n"/>
      <c r="AU70" s="172" t="n"/>
      <c r="AV70" s="172" t="n"/>
      <c r="AW70" s="172" t="n"/>
      <c r="AX70" s="172" t="n"/>
    </row>
    <row r="71">
      <c r="AM71" s="172" t="inlineStr">
        <is>
          <t>traco_9</t>
        </is>
      </c>
      <c r="AN71" s="172" t="inlineStr">
        <is>
          <t>D88</t>
        </is>
      </c>
      <c r="AO71" s="172" t="n"/>
      <c r="AP71" s="172" t="n"/>
      <c r="AQ71" s="172" t="n"/>
      <c r="AR71" s="172" t="n"/>
      <c r="AS71" s="172" t="n"/>
      <c r="AT71" s="172" t="n"/>
      <c r="AU71" s="172" t="n"/>
      <c r="AV71" s="172" t="n"/>
      <c r="AW71" s="172" t="n"/>
      <c r="AX71" s="172" t="n"/>
    </row>
    <row r="72">
      <c r="AM72" s="172" t="inlineStr">
        <is>
          <t>comando_1</t>
        </is>
      </c>
      <c r="AN72" s="172" t="inlineStr">
        <is>
          <t>Z80</t>
        </is>
      </c>
      <c r="AO72" s="172" t="n"/>
      <c r="AP72" s="172" t="n"/>
      <c r="AQ72" s="172" t="n"/>
      <c r="AR72" s="172" t="n"/>
      <c r="AS72" s="172" t="n"/>
      <c r="AT72" s="172" t="n"/>
      <c r="AU72" s="172" t="n"/>
      <c r="AV72" s="172" t="n"/>
      <c r="AW72" s="172" t="n"/>
      <c r="AX72" s="172" t="n"/>
    </row>
    <row r="73">
      <c r="AM73" s="172" t="inlineStr">
        <is>
          <t>comando_2</t>
        </is>
      </c>
      <c r="AN73" s="172" t="inlineStr">
        <is>
          <t>Z81</t>
        </is>
      </c>
      <c r="AO73" s="172" t="n"/>
      <c r="AP73" s="172" t="n"/>
      <c r="AQ73" s="172" t="n"/>
      <c r="AR73" s="172" t="n"/>
      <c r="AS73" s="172" t="n"/>
      <c r="AT73" s="172" t="n"/>
      <c r="AU73" s="172" t="n"/>
      <c r="AV73" s="172" t="n"/>
      <c r="AW73" s="172" t="n"/>
      <c r="AX73" s="172" t="n"/>
    </row>
    <row r="74">
      <c r="AM74" s="172" t="inlineStr">
        <is>
          <t>comando_3</t>
        </is>
      </c>
      <c r="AN74" s="172" t="inlineStr">
        <is>
          <t>Z82</t>
        </is>
      </c>
      <c r="AO74" s="172" t="n"/>
      <c r="AP74" s="172" t="n"/>
      <c r="AQ74" s="172" t="n"/>
      <c r="AR74" s="172" t="n"/>
      <c r="AS74" s="172" t="n"/>
      <c r="AT74" s="172" t="n"/>
      <c r="AU74" s="172" t="n"/>
      <c r="AV74" s="172" t="n"/>
      <c r="AW74" s="172" t="n"/>
      <c r="AX74" s="172" t="n"/>
    </row>
    <row r="75">
      <c r="AM75" s="172" t="inlineStr">
        <is>
          <t>comando_4</t>
        </is>
      </c>
      <c r="AN75" s="172" t="inlineStr">
        <is>
          <t>Z83</t>
        </is>
      </c>
      <c r="AO75" s="172" t="n"/>
      <c r="AP75" s="172" t="n"/>
      <c r="AQ75" s="172" t="n"/>
      <c r="AR75" s="172" t="n"/>
      <c r="AS75" s="172" t="n"/>
      <c r="AT75" s="172" t="n"/>
      <c r="AU75" s="172" t="n"/>
      <c r="AV75" s="172" t="n"/>
      <c r="AW75" s="172" t="n"/>
      <c r="AX75" s="172" t="n"/>
    </row>
    <row r="76">
      <c r="AM76" s="172" t="inlineStr">
        <is>
          <t>comando_5</t>
        </is>
      </c>
      <c r="AN76" s="172" t="inlineStr">
        <is>
          <t>Z84</t>
        </is>
      </c>
      <c r="AO76" s="172" t="n"/>
      <c r="AP76" s="172" t="n"/>
      <c r="AQ76" s="172" t="n"/>
      <c r="AR76" s="172" t="n"/>
      <c r="AS76" s="172" t="n"/>
      <c r="AT76" s="172" t="n"/>
      <c r="AU76" s="172" t="n"/>
      <c r="AV76" s="172" t="n"/>
      <c r="AW76" s="172" t="n"/>
      <c r="AX76" s="172" t="n"/>
    </row>
    <row r="77">
      <c r="AM77" s="172" t="inlineStr">
        <is>
          <t>comando_6</t>
        </is>
      </c>
      <c r="AN77" s="172" t="inlineStr">
        <is>
          <t>Z85</t>
        </is>
      </c>
      <c r="AO77" s="172" t="n"/>
      <c r="AP77" s="172" t="n"/>
      <c r="AQ77" s="172" t="n"/>
      <c r="AR77" s="172" t="n"/>
      <c r="AS77" s="172" t="n"/>
      <c r="AT77" s="172" t="n"/>
      <c r="AU77" s="172" t="n"/>
      <c r="AV77" s="172" t="n"/>
      <c r="AW77" s="172" t="n"/>
      <c r="AX77" s="1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2026-09-16T20:04:27Z</dcterms:created>
  <dcterms:modified xmlns:dcterms="http://purl.org/dc/terms/" xmlns:xsi="http://www.w3.org/2001/XMLSchema-instance" xsi:type="dcterms:W3CDTF">2026-09-16T20:04:30Z</dcterms:modified>
</cp:coreProperties>
</file>